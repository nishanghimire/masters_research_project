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shanghimire/Desktop/MRP/R codes &amp; Excel Files/"/>
    </mc:Choice>
  </mc:AlternateContent>
  <xr:revisionPtr revIDLastSave="0" documentId="13_ncr:1_{431AAB58-205A-7E41-A409-E0E548BEAE53}" xr6:coauthVersionLast="47" xr6:coauthVersionMax="47" xr10:uidLastSave="{00000000-0000-0000-0000-000000000000}"/>
  <bookViews>
    <workbookView xWindow="0" yWindow="780" windowWidth="34200" windowHeight="19780" xr2:uid="{FA25C635-D88B-6E44-A323-32EF267B4E79}"/>
  </bookViews>
  <sheets>
    <sheet name="Primary &amp; Disposable Income" sheetId="1" r:id="rId1"/>
    <sheet name="Average Primary Income" sheetId="6" r:id="rId2"/>
    <sheet name="Tax Liability" sheetId="8" r:id="rId3"/>
    <sheet name="Tau_it &amp; Equation 20" sheetId="7" r:id="rId4"/>
    <sheet name="Computation" sheetId="5" r:id="rId5"/>
    <sheet name="Filter NUM!" sheetId="11" r:id="rId6"/>
    <sheet name="Table for Regression" sheetId="12" r:id="rId7"/>
    <sheet name="Results 1979-2021" sheetId="13" r:id="rId8"/>
    <sheet name="Results 1979-1999" sheetId="14" r:id="rId9"/>
    <sheet name="Results 2000-2021" sheetId="16" r:id="rId10"/>
    <sheet name="Shares of Taxed Paid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7" l="1"/>
  <c r="K2" i="7" s="1"/>
  <c r="F2" i="7"/>
  <c r="E2" i="7"/>
  <c r="I2" i="7"/>
  <c r="H216" i="5" l="1"/>
  <c r="AS35" i="1"/>
  <c r="H211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2" i="5"/>
  <c r="H213" i="5"/>
  <c r="H214" i="5"/>
  <c r="H215" i="5"/>
  <c r="H2" i="5"/>
  <c r="E198" i="7" l="1"/>
  <c r="E197" i="7"/>
  <c r="E3" i="7"/>
  <c r="E4" i="7"/>
  <c r="E5" i="7"/>
  <c r="I5" i="7" s="1"/>
  <c r="E6" i="7"/>
  <c r="E7" i="7"/>
  <c r="E8" i="7"/>
  <c r="I8" i="7" s="1"/>
  <c r="E9" i="7"/>
  <c r="E10" i="7"/>
  <c r="E11" i="7"/>
  <c r="E12" i="7"/>
  <c r="E13" i="7"/>
  <c r="E14" i="7"/>
  <c r="E15" i="7"/>
  <c r="I15" i="7" s="1"/>
  <c r="E16" i="7"/>
  <c r="E17" i="7"/>
  <c r="E18" i="7"/>
  <c r="I18" i="7" s="1"/>
  <c r="E19" i="7"/>
  <c r="E20" i="7"/>
  <c r="E21" i="7"/>
  <c r="E22" i="7"/>
  <c r="E23" i="7"/>
  <c r="E24" i="7"/>
  <c r="E25" i="7"/>
  <c r="I25" i="7" s="1"/>
  <c r="E26" i="7"/>
  <c r="E27" i="7"/>
  <c r="E28" i="7"/>
  <c r="I28" i="7" s="1"/>
  <c r="E29" i="7"/>
  <c r="E30" i="7"/>
  <c r="E31" i="7"/>
  <c r="E32" i="7"/>
  <c r="E33" i="7"/>
  <c r="E34" i="7"/>
  <c r="E35" i="7"/>
  <c r="I35" i="7" s="1"/>
  <c r="E36" i="7"/>
  <c r="E37" i="7"/>
  <c r="E38" i="7"/>
  <c r="I38" i="7" s="1"/>
  <c r="E39" i="7"/>
  <c r="E40" i="7"/>
  <c r="E41" i="7"/>
  <c r="E42" i="7"/>
  <c r="E43" i="7"/>
  <c r="E44" i="7"/>
  <c r="E45" i="7"/>
  <c r="I45" i="7" s="1"/>
  <c r="E46" i="7"/>
  <c r="E47" i="7"/>
  <c r="E48" i="7"/>
  <c r="I48" i="7" s="1"/>
  <c r="E49" i="7"/>
  <c r="E50" i="7"/>
  <c r="E51" i="7"/>
  <c r="E52" i="7"/>
  <c r="E53" i="7"/>
  <c r="E54" i="7"/>
  <c r="E55" i="7"/>
  <c r="I55" i="7" s="1"/>
  <c r="E56" i="7"/>
  <c r="E57" i="7"/>
  <c r="E58" i="7"/>
  <c r="I58" i="7" s="1"/>
  <c r="E59" i="7"/>
  <c r="E60" i="7"/>
  <c r="E61" i="7"/>
  <c r="E62" i="7"/>
  <c r="E63" i="7"/>
  <c r="E64" i="7"/>
  <c r="E65" i="7"/>
  <c r="I65" i="7" s="1"/>
  <c r="E66" i="7"/>
  <c r="E67" i="7"/>
  <c r="E68" i="7"/>
  <c r="I68" i="7" s="1"/>
  <c r="E69" i="7"/>
  <c r="E70" i="7"/>
  <c r="E71" i="7"/>
  <c r="E72" i="7"/>
  <c r="E73" i="7"/>
  <c r="E74" i="7"/>
  <c r="E75" i="7"/>
  <c r="I75" i="7" s="1"/>
  <c r="E76" i="7"/>
  <c r="E77" i="7"/>
  <c r="E78" i="7"/>
  <c r="I78" i="7" s="1"/>
  <c r="E79" i="7"/>
  <c r="E80" i="7"/>
  <c r="E81" i="7"/>
  <c r="E82" i="7"/>
  <c r="E83" i="7"/>
  <c r="E84" i="7"/>
  <c r="E85" i="7"/>
  <c r="I85" i="7" s="1"/>
  <c r="E86" i="7"/>
  <c r="E87" i="7"/>
  <c r="E88" i="7"/>
  <c r="I88" i="7" s="1"/>
  <c r="E89" i="7"/>
  <c r="E90" i="7"/>
  <c r="E91" i="7"/>
  <c r="E92" i="7"/>
  <c r="E93" i="7"/>
  <c r="E94" i="7"/>
  <c r="E95" i="7"/>
  <c r="I95" i="7" s="1"/>
  <c r="E96" i="7"/>
  <c r="E97" i="7"/>
  <c r="E98" i="7"/>
  <c r="I98" i="7" s="1"/>
  <c r="E99" i="7"/>
  <c r="E100" i="7"/>
  <c r="E101" i="7"/>
  <c r="E102" i="7"/>
  <c r="E103" i="7"/>
  <c r="E104" i="7"/>
  <c r="E105" i="7"/>
  <c r="I105" i="7" s="1"/>
  <c r="E106" i="7"/>
  <c r="E107" i="7"/>
  <c r="E108" i="7"/>
  <c r="I108" i="7" s="1"/>
  <c r="E109" i="7"/>
  <c r="E110" i="7"/>
  <c r="E111" i="7"/>
  <c r="E112" i="7"/>
  <c r="E113" i="7"/>
  <c r="E114" i="7"/>
  <c r="E115" i="7"/>
  <c r="I115" i="7" s="1"/>
  <c r="E116" i="7"/>
  <c r="E117" i="7"/>
  <c r="E118" i="7"/>
  <c r="I118" i="7" s="1"/>
  <c r="E119" i="7"/>
  <c r="E120" i="7"/>
  <c r="E121" i="7"/>
  <c r="E122" i="7"/>
  <c r="E123" i="7"/>
  <c r="E124" i="7"/>
  <c r="E125" i="7"/>
  <c r="I125" i="7" s="1"/>
  <c r="E126" i="7"/>
  <c r="E127" i="7"/>
  <c r="E128" i="7"/>
  <c r="I128" i="7" s="1"/>
  <c r="E129" i="7"/>
  <c r="E130" i="7"/>
  <c r="E131" i="7"/>
  <c r="E132" i="7"/>
  <c r="E133" i="7"/>
  <c r="E134" i="7"/>
  <c r="E135" i="7"/>
  <c r="I135" i="7" s="1"/>
  <c r="E136" i="7"/>
  <c r="E137" i="7"/>
  <c r="E138" i="7"/>
  <c r="I138" i="7" s="1"/>
  <c r="E139" i="7"/>
  <c r="E140" i="7"/>
  <c r="E141" i="7"/>
  <c r="E142" i="7"/>
  <c r="E143" i="7"/>
  <c r="E144" i="7"/>
  <c r="E145" i="7"/>
  <c r="I145" i="7" s="1"/>
  <c r="E146" i="7"/>
  <c r="E147" i="7"/>
  <c r="E148" i="7"/>
  <c r="I148" i="7" s="1"/>
  <c r="E149" i="7"/>
  <c r="E150" i="7"/>
  <c r="E151" i="7"/>
  <c r="E152" i="7"/>
  <c r="E153" i="7"/>
  <c r="E154" i="7"/>
  <c r="E155" i="7"/>
  <c r="I155" i="7" s="1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9" i="7"/>
  <c r="I199" i="7" s="1"/>
  <c r="E200" i="7"/>
  <c r="E201" i="7"/>
  <c r="E202" i="7"/>
  <c r="E203" i="7"/>
  <c r="E204" i="7"/>
  <c r="E205" i="7"/>
  <c r="E206" i="7"/>
  <c r="E207" i="7"/>
  <c r="E208" i="7"/>
  <c r="I208" i="7" s="1"/>
  <c r="E209" i="7"/>
  <c r="I209" i="7" s="1"/>
  <c r="E210" i="7"/>
  <c r="E211" i="7"/>
  <c r="E212" i="7"/>
  <c r="E213" i="7"/>
  <c r="E214" i="7"/>
  <c r="E215" i="7"/>
  <c r="E216" i="7"/>
  <c r="F209" i="7"/>
  <c r="F4" i="7"/>
  <c r="H213" i="7"/>
  <c r="H214" i="7"/>
  <c r="H215" i="7"/>
  <c r="H216" i="7"/>
  <c r="H212" i="7"/>
  <c r="H211" i="7"/>
  <c r="H208" i="7"/>
  <c r="H209" i="7"/>
  <c r="H210" i="7"/>
  <c r="H207" i="7"/>
  <c r="H203" i="7"/>
  <c r="H204" i="7"/>
  <c r="H205" i="7"/>
  <c r="H206" i="7"/>
  <c r="H202" i="7"/>
  <c r="H198" i="7"/>
  <c r="I198" i="7" s="1"/>
  <c r="H199" i="7"/>
  <c r="H200" i="7"/>
  <c r="H201" i="7"/>
  <c r="H197" i="7"/>
  <c r="I197" i="7" s="1"/>
  <c r="H193" i="7"/>
  <c r="H194" i="7"/>
  <c r="H195" i="7"/>
  <c r="H196" i="7"/>
  <c r="H192" i="7"/>
  <c r="H188" i="7"/>
  <c r="H189" i="7"/>
  <c r="H190" i="7"/>
  <c r="H191" i="7"/>
  <c r="H187" i="7"/>
  <c r="H183" i="7"/>
  <c r="H184" i="7"/>
  <c r="H185" i="7"/>
  <c r="H186" i="7"/>
  <c r="H182" i="7"/>
  <c r="H178" i="7"/>
  <c r="H179" i="7"/>
  <c r="H180" i="7"/>
  <c r="H181" i="7"/>
  <c r="H177" i="7"/>
  <c r="H173" i="7"/>
  <c r="H174" i="7"/>
  <c r="H175" i="7"/>
  <c r="H176" i="7"/>
  <c r="H172" i="7"/>
  <c r="H168" i="7"/>
  <c r="H169" i="7"/>
  <c r="H170" i="7"/>
  <c r="H171" i="7"/>
  <c r="H167" i="7"/>
  <c r="H163" i="7"/>
  <c r="H164" i="7"/>
  <c r="H165" i="7"/>
  <c r="H166" i="7"/>
  <c r="H162" i="7"/>
  <c r="H158" i="7"/>
  <c r="H159" i="7"/>
  <c r="H160" i="7"/>
  <c r="H161" i="7"/>
  <c r="H157" i="7"/>
  <c r="H156" i="7"/>
  <c r="H155" i="7"/>
  <c r="H154" i="7"/>
  <c r="H153" i="7"/>
  <c r="H152" i="7"/>
  <c r="H151" i="7"/>
  <c r="H150" i="7"/>
  <c r="H149" i="7"/>
  <c r="H148" i="7"/>
  <c r="H147" i="7"/>
  <c r="H146" i="7"/>
  <c r="H145" i="7"/>
  <c r="H144" i="7"/>
  <c r="H143" i="7"/>
  <c r="H142" i="7"/>
  <c r="H141" i="7"/>
  <c r="H140" i="7"/>
  <c r="H139" i="7"/>
  <c r="H138" i="7"/>
  <c r="H137" i="7"/>
  <c r="H136" i="7"/>
  <c r="H135" i="7"/>
  <c r="H134" i="7"/>
  <c r="H133" i="7"/>
  <c r="H132" i="7"/>
  <c r="H131" i="7"/>
  <c r="H130" i="7"/>
  <c r="H129" i="7"/>
  <c r="H128" i="7"/>
  <c r="H127" i="7"/>
  <c r="H126" i="7"/>
  <c r="H125" i="7"/>
  <c r="H124" i="7"/>
  <c r="H123" i="7"/>
  <c r="H122" i="7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F213" i="7"/>
  <c r="F214" i="7"/>
  <c r="F215" i="7"/>
  <c r="F216" i="7"/>
  <c r="F212" i="7"/>
  <c r="G216" i="7" s="1"/>
  <c r="F211" i="7"/>
  <c r="F208" i="7"/>
  <c r="F210" i="7"/>
  <c r="F207" i="7"/>
  <c r="F203" i="7"/>
  <c r="F204" i="7"/>
  <c r="F205" i="7"/>
  <c r="F206" i="7"/>
  <c r="F202" i="7"/>
  <c r="G206" i="7" s="1"/>
  <c r="F201" i="7"/>
  <c r="F3" i="7"/>
  <c r="F199" i="7"/>
  <c r="F200" i="7"/>
  <c r="F198" i="7"/>
  <c r="F197" i="7"/>
  <c r="F193" i="7"/>
  <c r="F194" i="7"/>
  <c r="F195" i="7"/>
  <c r="F196" i="7"/>
  <c r="F192" i="7"/>
  <c r="G196" i="7" s="1"/>
  <c r="F188" i="7"/>
  <c r="F189" i="7"/>
  <c r="F190" i="7"/>
  <c r="F191" i="7"/>
  <c r="F187" i="7"/>
  <c r="F186" i="7"/>
  <c r="F183" i="7"/>
  <c r="F184" i="7"/>
  <c r="F185" i="7"/>
  <c r="F182" i="7"/>
  <c r="G186" i="7" s="1"/>
  <c r="F178" i="7"/>
  <c r="F179" i="7"/>
  <c r="F180" i="7"/>
  <c r="F181" i="7"/>
  <c r="F177" i="7"/>
  <c r="F173" i="7"/>
  <c r="F174" i="7"/>
  <c r="F175" i="7"/>
  <c r="F176" i="7"/>
  <c r="F172" i="7"/>
  <c r="G176" i="7" s="1"/>
  <c r="F169" i="7"/>
  <c r="F170" i="7"/>
  <c r="F171" i="7"/>
  <c r="F168" i="7"/>
  <c r="F167" i="7"/>
  <c r="F166" i="7"/>
  <c r="F163" i="7"/>
  <c r="F164" i="7"/>
  <c r="F165" i="7"/>
  <c r="F162" i="7"/>
  <c r="G166" i="7" s="1"/>
  <c r="F161" i="7"/>
  <c r="F158" i="7"/>
  <c r="F159" i="7"/>
  <c r="F160" i="7"/>
  <c r="F157" i="7"/>
  <c r="F156" i="7"/>
  <c r="F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5" i="7"/>
  <c r="I157" i="7" l="1"/>
  <c r="I127" i="7"/>
  <c r="I77" i="7"/>
  <c r="I7" i="7"/>
  <c r="I146" i="7"/>
  <c r="I106" i="7"/>
  <c r="I76" i="7"/>
  <c r="I16" i="7"/>
  <c r="I164" i="7"/>
  <c r="I174" i="7"/>
  <c r="I184" i="7"/>
  <c r="I194" i="7"/>
  <c r="I211" i="7"/>
  <c r="I201" i="7"/>
  <c r="I189" i="7"/>
  <c r="I179" i="7"/>
  <c r="J181" i="7" s="1"/>
  <c r="K181" i="7" s="1"/>
  <c r="I169" i="7"/>
  <c r="I159" i="7"/>
  <c r="G6" i="7"/>
  <c r="I167" i="7"/>
  <c r="I117" i="7"/>
  <c r="I87" i="7"/>
  <c r="I47" i="7"/>
  <c r="I17" i="7"/>
  <c r="I156" i="7"/>
  <c r="I116" i="7"/>
  <c r="I86" i="7"/>
  <c r="I46" i="7"/>
  <c r="J46" i="7" s="1"/>
  <c r="K46" i="7" s="1"/>
  <c r="I36" i="7"/>
  <c r="J32" i="7" s="1"/>
  <c r="K32" i="7" s="1"/>
  <c r="I187" i="7"/>
  <c r="J190" i="7" s="1"/>
  <c r="K190" i="7" s="1"/>
  <c r="I177" i="7"/>
  <c r="I137" i="7"/>
  <c r="I97" i="7"/>
  <c r="I57" i="7"/>
  <c r="I27" i="7"/>
  <c r="I126" i="7"/>
  <c r="I66" i="7"/>
  <c r="I6" i="7"/>
  <c r="I206" i="7"/>
  <c r="I147" i="7"/>
  <c r="I107" i="7"/>
  <c r="I67" i="7"/>
  <c r="I37" i="7"/>
  <c r="I136" i="7"/>
  <c r="I96" i="7"/>
  <c r="I56" i="7"/>
  <c r="I26" i="7"/>
  <c r="I4" i="7"/>
  <c r="I14" i="7"/>
  <c r="J12" i="7" s="1"/>
  <c r="K12" i="7" s="1"/>
  <c r="I24" i="7"/>
  <c r="I34" i="7"/>
  <c r="I44" i="7"/>
  <c r="I54" i="7"/>
  <c r="I64" i="7"/>
  <c r="I74" i="7"/>
  <c r="I84" i="7"/>
  <c r="I94" i="7"/>
  <c r="I104" i="7"/>
  <c r="I114" i="7"/>
  <c r="I124" i="7"/>
  <c r="I134" i="7"/>
  <c r="I144" i="7"/>
  <c r="I154" i="7"/>
  <c r="G16" i="7"/>
  <c r="G26" i="7"/>
  <c r="G36" i="7"/>
  <c r="G46" i="7"/>
  <c r="G56" i="7"/>
  <c r="G66" i="7"/>
  <c r="G76" i="7"/>
  <c r="G86" i="7"/>
  <c r="G96" i="7"/>
  <c r="G106" i="7"/>
  <c r="G116" i="7"/>
  <c r="G126" i="7"/>
  <c r="G136" i="7"/>
  <c r="G146" i="7"/>
  <c r="G156" i="7"/>
  <c r="I165" i="7"/>
  <c r="I175" i="7"/>
  <c r="I185" i="7"/>
  <c r="I195" i="7"/>
  <c r="I212" i="7"/>
  <c r="I202" i="7"/>
  <c r="I190" i="7"/>
  <c r="I180" i="7"/>
  <c r="I170" i="7"/>
  <c r="I160" i="7"/>
  <c r="I150" i="7"/>
  <c r="J149" i="7" s="1"/>
  <c r="K149" i="7" s="1"/>
  <c r="I140" i="7"/>
  <c r="I130" i="7"/>
  <c r="I120" i="7"/>
  <c r="I110" i="7"/>
  <c r="I100" i="7"/>
  <c r="I90" i="7"/>
  <c r="J87" i="7" s="1"/>
  <c r="K87" i="7" s="1"/>
  <c r="I80" i="7"/>
  <c r="I70" i="7"/>
  <c r="I60" i="7"/>
  <c r="J57" i="7" s="1"/>
  <c r="K57" i="7" s="1"/>
  <c r="I50" i="7"/>
  <c r="J48" i="7" s="1"/>
  <c r="K48" i="7" s="1"/>
  <c r="I40" i="7"/>
  <c r="I30" i="7"/>
  <c r="I20" i="7"/>
  <c r="I10" i="7"/>
  <c r="I149" i="7"/>
  <c r="I139" i="7"/>
  <c r="J140" i="7" s="1"/>
  <c r="K140" i="7" s="1"/>
  <c r="I129" i="7"/>
  <c r="J127" i="7" s="1"/>
  <c r="K127" i="7" s="1"/>
  <c r="I119" i="7"/>
  <c r="J117" i="7" s="1"/>
  <c r="K117" i="7" s="1"/>
  <c r="I109" i="7"/>
  <c r="J108" i="7" s="1"/>
  <c r="K108" i="7" s="1"/>
  <c r="I99" i="7"/>
  <c r="J99" i="7" s="1"/>
  <c r="K99" i="7" s="1"/>
  <c r="I89" i="7"/>
  <c r="I79" i="7"/>
  <c r="I69" i="7"/>
  <c r="I59" i="7"/>
  <c r="I49" i="7"/>
  <c r="I39" i="7"/>
  <c r="I29" i="7"/>
  <c r="I19" i="7"/>
  <c r="I9" i="7"/>
  <c r="J11" i="7" s="1"/>
  <c r="K11" i="7" s="1"/>
  <c r="I210" i="7"/>
  <c r="I200" i="7"/>
  <c r="J201" i="7" s="1"/>
  <c r="K201" i="7" s="1"/>
  <c r="I207" i="7"/>
  <c r="I158" i="7"/>
  <c r="I168" i="7"/>
  <c r="I178" i="7"/>
  <c r="J177" i="7" s="1"/>
  <c r="K177" i="7" s="1"/>
  <c r="I188" i="7"/>
  <c r="J191" i="7" s="1"/>
  <c r="K191" i="7" s="1"/>
  <c r="I215" i="7"/>
  <c r="I205" i="7"/>
  <c r="I193" i="7"/>
  <c r="I183" i="7"/>
  <c r="I173" i="7"/>
  <c r="J173" i="7" s="1"/>
  <c r="K173" i="7" s="1"/>
  <c r="I163" i="7"/>
  <c r="I153" i="7"/>
  <c r="I143" i="7"/>
  <c r="I133" i="7"/>
  <c r="I123" i="7"/>
  <c r="I113" i="7"/>
  <c r="I103" i="7"/>
  <c r="I93" i="7"/>
  <c r="J94" i="7" s="1"/>
  <c r="K94" i="7" s="1"/>
  <c r="I83" i="7"/>
  <c r="I73" i="7"/>
  <c r="J73" i="7" s="1"/>
  <c r="K73" i="7" s="1"/>
  <c r="I63" i="7"/>
  <c r="I53" i="7"/>
  <c r="I43" i="7"/>
  <c r="I33" i="7"/>
  <c r="I23" i="7"/>
  <c r="I13" i="7"/>
  <c r="I3" i="7"/>
  <c r="I214" i="7"/>
  <c r="J214" i="7" s="1"/>
  <c r="K214" i="7" s="1"/>
  <c r="I204" i="7"/>
  <c r="J204" i="7" s="1"/>
  <c r="K204" i="7" s="1"/>
  <c r="I192" i="7"/>
  <c r="I182" i="7"/>
  <c r="I172" i="7"/>
  <c r="I162" i="7"/>
  <c r="I152" i="7"/>
  <c r="J154" i="7" s="1"/>
  <c r="K154" i="7" s="1"/>
  <c r="I142" i="7"/>
  <c r="J143" i="7" s="1"/>
  <c r="K143" i="7" s="1"/>
  <c r="I132" i="7"/>
  <c r="J136" i="7" s="1"/>
  <c r="K136" i="7" s="1"/>
  <c r="I122" i="7"/>
  <c r="J122" i="7" s="1"/>
  <c r="K122" i="7" s="1"/>
  <c r="I112" i="7"/>
  <c r="I102" i="7"/>
  <c r="J104" i="7" s="1"/>
  <c r="K104" i="7" s="1"/>
  <c r="I92" i="7"/>
  <c r="I82" i="7"/>
  <c r="I72" i="7"/>
  <c r="I62" i="7"/>
  <c r="I52" i="7"/>
  <c r="J54" i="7" s="1"/>
  <c r="K54" i="7" s="1"/>
  <c r="I42" i="7"/>
  <c r="J45" i="7" s="1"/>
  <c r="K45" i="7" s="1"/>
  <c r="I32" i="7"/>
  <c r="J34" i="7" s="1"/>
  <c r="K34" i="7" s="1"/>
  <c r="I22" i="7"/>
  <c r="J22" i="7" s="1"/>
  <c r="K22" i="7" s="1"/>
  <c r="I12" i="7"/>
  <c r="J3" i="7"/>
  <c r="K3" i="7" s="1"/>
  <c r="I166" i="7"/>
  <c r="I176" i="7"/>
  <c r="I186" i="7"/>
  <c r="I196" i="7"/>
  <c r="I216" i="7"/>
  <c r="I213" i="7"/>
  <c r="I203" i="7"/>
  <c r="I191" i="7"/>
  <c r="J189" i="7" s="1"/>
  <c r="K189" i="7" s="1"/>
  <c r="I181" i="7"/>
  <c r="J179" i="7" s="1"/>
  <c r="K179" i="7" s="1"/>
  <c r="I171" i="7"/>
  <c r="J167" i="7" s="1"/>
  <c r="K167" i="7" s="1"/>
  <c r="I161" i="7"/>
  <c r="I151" i="7"/>
  <c r="I141" i="7"/>
  <c r="I131" i="7"/>
  <c r="I121" i="7"/>
  <c r="I111" i="7"/>
  <c r="I101" i="7"/>
  <c r="I91" i="7"/>
  <c r="I81" i="7"/>
  <c r="I71" i="7"/>
  <c r="I61" i="7"/>
  <c r="I51" i="7"/>
  <c r="I41" i="7"/>
  <c r="I31" i="7"/>
  <c r="I21" i="7"/>
  <c r="I11" i="7"/>
  <c r="J212" i="7"/>
  <c r="K212" i="7" s="1"/>
  <c r="J202" i="7"/>
  <c r="K202" i="7" s="1"/>
  <c r="J142" i="7"/>
  <c r="K142" i="7" s="1"/>
  <c r="J144" i="7"/>
  <c r="K144" i="7" s="1"/>
  <c r="J133" i="7"/>
  <c r="K133" i="7" s="1"/>
  <c r="J134" i="7"/>
  <c r="K134" i="7" s="1"/>
  <c r="J135" i="7"/>
  <c r="K135" i="7" s="1"/>
  <c r="J105" i="7"/>
  <c r="K105" i="7" s="1"/>
  <c r="J33" i="7"/>
  <c r="K33" i="7" s="1"/>
  <c r="J4" i="7"/>
  <c r="K4" i="7" s="1"/>
  <c r="G31" i="7"/>
  <c r="G71" i="7"/>
  <c r="G81" i="7"/>
  <c r="J197" i="7"/>
  <c r="K197" i="7" s="1"/>
  <c r="J198" i="7"/>
  <c r="K198" i="7" s="1"/>
  <c r="J21" i="7"/>
  <c r="K21" i="7" s="1"/>
  <c r="G21" i="7"/>
  <c r="G111" i="7"/>
  <c r="G11" i="7"/>
  <c r="G61" i="7"/>
  <c r="G121" i="7"/>
  <c r="G131" i="7"/>
  <c r="G211" i="7"/>
  <c r="G201" i="7"/>
  <c r="G91" i="7"/>
  <c r="G171" i="7"/>
  <c r="G181" i="7"/>
  <c r="G161" i="7"/>
  <c r="G191" i="7"/>
  <c r="G41" i="7"/>
  <c r="G101" i="7"/>
  <c r="G151" i="7"/>
  <c r="G51" i="7"/>
  <c r="G141" i="7"/>
  <c r="J15" i="7" l="1"/>
  <c r="K15" i="7" s="1"/>
  <c r="J14" i="7"/>
  <c r="K14" i="7" s="1"/>
  <c r="J8" i="7"/>
  <c r="K8" i="7" s="1"/>
  <c r="J42" i="7"/>
  <c r="K42" i="7" s="1"/>
  <c r="J206" i="7"/>
  <c r="K206" i="7" s="1"/>
  <c r="J132" i="7"/>
  <c r="K132" i="7" s="1"/>
  <c r="J203" i="7"/>
  <c r="K203" i="7" s="1"/>
  <c r="J58" i="7"/>
  <c r="K58" i="7" s="1"/>
  <c r="J93" i="7"/>
  <c r="K93" i="7" s="1"/>
  <c r="J195" i="7"/>
  <c r="K195" i="7" s="1"/>
  <c r="J90" i="7"/>
  <c r="K90" i="7" s="1"/>
  <c r="J39" i="7"/>
  <c r="K39" i="7" s="1"/>
  <c r="J141" i="7"/>
  <c r="K141" i="7" s="1"/>
  <c r="J103" i="7"/>
  <c r="K103" i="7" s="1"/>
  <c r="J115" i="7"/>
  <c r="K115" i="7" s="1"/>
  <c r="J51" i="7"/>
  <c r="K51" i="7" s="1"/>
  <c r="J43" i="7"/>
  <c r="K43" i="7" s="1"/>
  <c r="J50" i="7"/>
  <c r="K50" i="7" s="1"/>
  <c r="J13" i="7"/>
  <c r="K13" i="7" s="1"/>
  <c r="J215" i="7"/>
  <c r="K215" i="7" s="1"/>
  <c r="J7" i="7"/>
  <c r="K7" i="7" s="1"/>
  <c r="J25" i="7"/>
  <c r="K25" i="7" s="1"/>
  <c r="J112" i="7"/>
  <c r="K112" i="7" s="1"/>
  <c r="J126" i="7"/>
  <c r="K126" i="7" s="1"/>
  <c r="J164" i="7"/>
  <c r="K164" i="7" s="1"/>
  <c r="J145" i="7"/>
  <c r="K145" i="7" s="1"/>
  <c r="J216" i="7"/>
  <c r="K216" i="7" s="1"/>
  <c r="J9" i="7"/>
  <c r="K9" i="7" s="1"/>
  <c r="J61" i="7"/>
  <c r="K61" i="7" s="1"/>
  <c r="J111" i="7"/>
  <c r="K111" i="7" s="1"/>
  <c r="J113" i="7"/>
  <c r="K113" i="7" s="1"/>
  <c r="J110" i="7"/>
  <c r="K110" i="7" s="1"/>
  <c r="J128" i="7"/>
  <c r="K128" i="7" s="1"/>
  <c r="J125" i="7"/>
  <c r="K125" i="7" s="1"/>
  <c r="J109" i="7"/>
  <c r="K109" i="7" s="1"/>
  <c r="J178" i="7"/>
  <c r="K178" i="7" s="1"/>
  <c r="J124" i="7"/>
  <c r="K124" i="7" s="1"/>
  <c r="J139" i="7"/>
  <c r="K139" i="7" s="1"/>
  <c r="J74" i="7"/>
  <c r="K74" i="7" s="1"/>
  <c r="J175" i="7"/>
  <c r="K175" i="7" s="1"/>
  <c r="J53" i="7"/>
  <c r="K53" i="7" s="1"/>
  <c r="J155" i="7"/>
  <c r="K155" i="7" s="1"/>
  <c r="J160" i="7"/>
  <c r="K160" i="7" s="1"/>
  <c r="J68" i="7"/>
  <c r="K68" i="7" s="1"/>
  <c r="J19" i="7"/>
  <c r="K19" i="7" s="1"/>
  <c r="J118" i="7"/>
  <c r="K118" i="7" s="1"/>
  <c r="J196" i="7"/>
  <c r="K196" i="7" s="1"/>
  <c r="J114" i="7"/>
  <c r="K114" i="7" s="1"/>
  <c r="J213" i="7"/>
  <c r="K213" i="7" s="1"/>
  <c r="J60" i="7"/>
  <c r="K60" i="7" s="1"/>
  <c r="J35" i="7"/>
  <c r="K35" i="7" s="1"/>
  <c r="J107" i="7"/>
  <c r="K107" i="7" s="1"/>
  <c r="J24" i="7"/>
  <c r="K24" i="7" s="1"/>
  <c r="J188" i="7"/>
  <c r="K188" i="7" s="1"/>
  <c r="J26" i="7"/>
  <c r="K26" i="7" s="1"/>
  <c r="J62" i="7"/>
  <c r="K62" i="7" s="1"/>
  <c r="J44" i="7"/>
  <c r="K44" i="7" s="1"/>
  <c r="J170" i="7"/>
  <c r="K170" i="7" s="1"/>
  <c r="J187" i="7"/>
  <c r="K187" i="7" s="1"/>
  <c r="J23" i="7"/>
  <c r="K23" i="7" s="1"/>
  <c r="J200" i="7"/>
  <c r="K200" i="7" s="1"/>
  <c r="J36" i="7"/>
  <c r="K36" i="7" s="1"/>
  <c r="J95" i="7"/>
  <c r="K95" i="7" s="1"/>
  <c r="J123" i="7"/>
  <c r="K123" i="7" s="1"/>
  <c r="J192" i="7"/>
  <c r="K192" i="7" s="1"/>
  <c r="J49" i="7"/>
  <c r="K49" i="7" s="1"/>
  <c r="J86" i="7"/>
  <c r="K86" i="7" s="1"/>
  <c r="J182" i="7"/>
  <c r="K182" i="7" s="1"/>
  <c r="J63" i="7"/>
  <c r="K63" i="7" s="1"/>
  <c r="J166" i="7"/>
  <c r="K166" i="7" s="1"/>
  <c r="J211" i="7"/>
  <c r="K211" i="7" s="1"/>
  <c r="J79" i="7"/>
  <c r="K79" i="7" s="1"/>
  <c r="J29" i="7"/>
  <c r="K29" i="7" s="1"/>
  <c r="J130" i="7"/>
  <c r="K130" i="7" s="1"/>
  <c r="J172" i="7"/>
  <c r="K172" i="7" s="1"/>
  <c r="J47" i="7"/>
  <c r="K47" i="7" s="1"/>
  <c r="J91" i="7"/>
  <c r="K91" i="7" s="1"/>
  <c r="J38" i="7"/>
  <c r="K38" i="7" s="1"/>
  <c r="J78" i="7"/>
  <c r="K78" i="7" s="1"/>
  <c r="J159" i="7"/>
  <c r="K159" i="7" s="1"/>
  <c r="J138" i="7"/>
  <c r="K138" i="7" s="1"/>
  <c r="J17" i="7"/>
  <c r="K17" i="7" s="1"/>
  <c r="J199" i="7"/>
  <c r="K199" i="7" s="1"/>
  <c r="J28" i="7"/>
  <c r="K28" i="7" s="1"/>
  <c r="J98" i="7"/>
  <c r="K98" i="7" s="1"/>
  <c r="J169" i="7"/>
  <c r="K169" i="7" s="1"/>
  <c r="J52" i="7"/>
  <c r="K52" i="7" s="1"/>
  <c r="J75" i="7"/>
  <c r="K75" i="7" s="1"/>
  <c r="J96" i="7"/>
  <c r="K96" i="7" s="1"/>
  <c r="J156" i="7"/>
  <c r="K156" i="7" s="1"/>
  <c r="J174" i="7"/>
  <c r="K174" i="7" s="1"/>
  <c r="J194" i="7"/>
  <c r="K194" i="7" s="1"/>
  <c r="J20" i="7"/>
  <c r="K20" i="7" s="1"/>
  <c r="J184" i="7"/>
  <c r="K184" i="7" s="1"/>
  <c r="J56" i="7"/>
  <c r="K56" i="7" s="1"/>
  <c r="J209" i="7"/>
  <c r="K209" i="7" s="1"/>
  <c r="J85" i="7"/>
  <c r="K85" i="7" s="1"/>
  <c r="J186" i="7"/>
  <c r="K186" i="7" s="1"/>
  <c r="J151" i="7"/>
  <c r="K151" i="7" s="1"/>
  <c r="J84" i="7"/>
  <c r="K84" i="7" s="1"/>
  <c r="J185" i="7"/>
  <c r="K185" i="7" s="1"/>
  <c r="J80" i="7"/>
  <c r="K80" i="7" s="1"/>
  <c r="J180" i="7"/>
  <c r="K180" i="7" s="1"/>
  <c r="J148" i="7"/>
  <c r="K148" i="7" s="1"/>
  <c r="J6" i="7"/>
  <c r="K6" i="7" s="1"/>
  <c r="J83" i="7"/>
  <c r="K83" i="7" s="1"/>
  <c r="J146" i="7"/>
  <c r="K146" i="7" s="1"/>
  <c r="J147" i="7"/>
  <c r="K147" i="7" s="1"/>
  <c r="J100" i="7"/>
  <c r="K100" i="7" s="1"/>
  <c r="J168" i="7"/>
  <c r="K168" i="7" s="1"/>
  <c r="J5" i="7"/>
  <c r="K5" i="7" s="1"/>
  <c r="J66" i="7"/>
  <c r="K66" i="7" s="1"/>
  <c r="J82" i="7"/>
  <c r="K82" i="7" s="1"/>
  <c r="J106" i="7"/>
  <c r="K106" i="7" s="1"/>
  <c r="J162" i="7"/>
  <c r="K162" i="7" s="1"/>
  <c r="J183" i="7"/>
  <c r="K183" i="7" s="1"/>
  <c r="J207" i="7"/>
  <c r="K207" i="7" s="1"/>
  <c r="J121" i="7"/>
  <c r="K121" i="7" s="1"/>
  <c r="J72" i="7"/>
  <c r="K72" i="7" s="1"/>
  <c r="J153" i="7"/>
  <c r="K153" i="7" s="1"/>
  <c r="J120" i="7"/>
  <c r="K120" i="7" s="1"/>
  <c r="J131" i="7"/>
  <c r="K131" i="7" s="1"/>
  <c r="J65" i="7"/>
  <c r="K65" i="7" s="1"/>
  <c r="J165" i="7"/>
  <c r="K165" i="7" s="1"/>
  <c r="J119" i="7"/>
  <c r="K119" i="7" s="1"/>
  <c r="J18" i="7"/>
  <c r="K18" i="7" s="1"/>
  <c r="J59" i="7"/>
  <c r="K59" i="7" s="1"/>
  <c r="J163" i="7"/>
  <c r="K163" i="7" s="1"/>
  <c r="J129" i="7"/>
  <c r="K129" i="7" s="1"/>
  <c r="J102" i="7"/>
  <c r="K102" i="7" s="1"/>
  <c r="J208" i="7"/>
  <c r="K208" i="7" s="1"/>
  <c r="J41" i="7"/>
  <c r="K41" i="7" s="1"/>
  <c r="J89" i="7"/>
  <c r="K89" i="7" s="1"/>
  <c r="J30" i="7"/>
  <c r="K30" i="7" s="1"/>
  <c r="J210" i="7"/>
  <c r="K210" i="7" s="1"/>
  <c r="J40" i="7"/>
  <c r="K40" i="7" s="1"/>
  <c r="J77" i="7"/>
  <c r="K77" i="7" s="1"/>
  <c r="J88" i="7"/>
  <c r="K88" i="7" s="1"/>
  <c r="J70" i="7"/>
  <c r="K70" i="7" s="1"/>
  <c r="J157" i="7"/>
  <c r="K157" i="7" s="1"/>
  <c r="J69" i="7"/>
  <c r="K69" i="7" s="1"/>
  <c r="J97" i="7"/>
  <c r="K97" i="7" s="1"/>
  <c r="J16" i="7"/>
  <c r="K16" i="7" s="1"/>
  <c r="J55" i="7"/>
  <c r="K55" i="7" s="1"/>
  <c r="J76" i="7"/>
  <c r="K76" i="7" s="1"/>
  <c r="J92" i="7"/>
  <c r="K92" i="7" s="1"/>
  <c r="J116" i="7"/>
  <c r="K116" i="7" s="1"/>
  <c r="J152" i="7"/>
  <c r="K152" i="7" s="1"/>
  <c r="J176" i="7"/>
  <c r="K176" i="7" s="1"/>
  <c r="J193" i="7"/>
  <c r="K193" i="7" s="1"/>
  <c r="J205" i="7"/>
  <c r="K205" i="7" s="1"/>
  <c r="J64" i="7"/>
  <c r="K64" i="7" s="1"/>
  <c r="J67" i="7"/>
  <c r="K67" i="7" s="1"/>
  <c r="J161" i="7"/>
  <c r="K161" i="7" s="1"/>
  <c r="J71" i="7"/>
  <c r="K71" i="7" s="1"/>
  <c r="J101" i="7"/>
  <c r="K101" i="7" s="1"/>
  <c r="J158" i="7"/>
  <c r="K158" i="7" s="1"/>
  <c r="J31" i="7"/>
  <c r="K31" i="7" s="1"/>
  <c r="J37" i="7"/>
  <c r="K37" i="7" s="1"/>
  <c r="J81" i="7"/>
  <c r="K81" i="7" s="1"/>
  <c r="J10" i="7"/>
  <c r="K10" i="7" s="1"/>
  <c r="J137" i="7"/>
  <c r="K137" i="7" s="1"/>
  <c r="J150" i="7"/>
  <c r="K150" i="7" s="1"/>
  <c r="J27" i="7"/>
  <c r="K27" i="7" s="1"/>
  <c r="J171" i="7"/>
  <c r="K171" i="7" s="1"/>
  <c r="F3" i="5"/>
  <c r="G3" i="5" s="1"/>
  <c r="F4" i="5"/>
  <c r="G4" i="5" s="1"/>
  <c r="F5" i="5"/>
  <c r="G5" i="5" s="1"/>
  <c r="F6" i="5"/>
  <c r="G6" i="5" s="1"/>
  <c r="F7" i="5"/>
  <c r="G7" i="5" s="1"/>
  <c r="F8" i="5"/>
  <c r="G8" i="5" s="1"/>
  <c r="F9" i="5"/>
  <c r="G9" i="5" s="1"/>
  <c r="F10" i="5"/>
  <c r="G10" i="5" s="1"/>
  <c r="F11" i="5"/>
  <c r="G11" i="5" s="1"/>
  <c r="F12" i="5"/>
  <c r="G12" i="5" s="1"/>
  <c r="F13" i="5"/>
  <c r="G13" i="5" s="1"/>
  <c r="F14" i="5"/>
  <c r="G14" i="5" s="1"/>
  <c r="F15" i="5"/>
  <c r="G15" i="5" s="1"/>
  <c r="F16" i="5"/>
  <c r="G16" i="5" s="1"/>
  <c r="F17" i="5"/>
  <c r="G17" i="5" s="1"/>
  <c r="F18" i="5"/>
  <c r="G18" i="5" s="1"/>
  <c r="F19" i="5"/>
  <c r="G19" i="5" s="1"/>
  <c r="F20" i="5"/>
  <c r="G20" i="5" s="1"/>
  <c r="F21" i="5"/>
  <c r="G21" i="5" s="1"/>
  <c r="F22" i="5"/>
  <c r="G22" i="5" s="1"/>
  <c r="F23" i="5"/>
  <c r="G23" i="5" s="1"/>
  <c r="F24" i="5"/>
  <c r="G24" i="5" s="1"/>
  <c r="F25" i="5"/>
  <c r="G25" i="5" s="1"/>
  <c r="F26" i="5"/>
  <c r="G26" i="5" s="1"/>
  <c r="F27" i="5"/>
  <c r="G27" i="5" s="1"/>
  <c r="F28" i="5"/>
  <c r="G28" i="5" s="1"/>
  <c r="F29" i="5"/>
  <c r="G29" i="5" s="1"/>
  <c r="F30" i="5"/>
  <c r="G30" i="5" s="1"/>
  <c r="F31" i="5"/>
  <c r="G31" i="5" s="1"/>
  <c r="F32" i="5"/>
  <c r="G32" i="5" s="1"/>
  <c r="F33" i="5"/>
  <c r="G33" i="5" s="1"/>
  <c r="F34" i="5"/>
  <c r="G34" i="5" s="1"/>
  <c r="F35" i="5"/>
  <c r="G35" i="5" s="1"/>
  <c r="F36" i="5"/>
  <c r="G36" i="5" s="1"/>
  <c r="F37" i="5"/>
  <c r="G37" i="5" s="1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1" i="5"/>
  <c r="G51" i="5" s="1"/>
  <c r="F52" i="5"/>
  <c r="G52" i="5" s="1"/>
  <c r="F53" i="5"/>
  <c r="G53" i="5" s="1"/>
  <c r="F54" i="5"/>
  <c r="G54" i="5" s="1"/>
  <c r="F55" i="5"/>
  <c r="G55" i="5" s="1"/>
  <c r="F56" i="5"/>
  <c r="G56" i="5" s="1"/>
  <c r="F57" i="5"/>
  <c r="G57" i="5" s="1"/>
  <c r="F58" i="5"/>
  <c r="G58" i="5" s="1"/>
  <c r="F59" i="5"/>
  <c r="G59" i="5" s="1"/>
  <c r="F60" i="5"/>
  <c r="G60" i="5" s="1"/>
  <c r="F61" i="5"/>
  <c r="G61" i="5" s="1"/>
  <c r="F62" i="5"/>
  <c r="G62" i="5" s="1"/>
  <c r="F63" i="5"/>
  <c r="G63" i="5" s="1"/>
  <c r="F64" i="5"/>
  <c r="G64" i="5" s="1"/>
  <c r="F65" i="5"/>
  <c r="G65" i="5" s="1"/>
  <c r="F66" i="5"/>
  <c r="G66" i="5" s="1"/>
  <c r="F67" i="5"/>
  <c r="G67" i="5" s="1"/>
  <c r="F68" i="5"/>
  <c r="G68" i="5" s="1"/>
  <c r="F69" i="5"/>
  <c r="G69" i="5" s="1"/>
  <c r="F70" i="5"/>
  <c r="G70" i="5" s="1"/>
  <c r="F71" i="5"/>
  <c r="G71" i="5" s="1"/>
  <c r="F72" i="5"/>
  <c r="G72" i="5" s="1"/>
  <c r="F73" i="5"/>
  <c r="G73" i="5" s="1"/>
  <c r="F74" i="5"/>
  <c r="G74" i="5" s="1"/>
  <c r="F75" i="5"/>
  <c r="G75" i="5" s="1"/>
  <c r="F76" i="5"/>
  <c r="G76" i="5" s="1"/>
  <c r="F77" i="5"/>
  <c r="G77" i="5" s="1"/>
  <c r="F78" i="5"/>
  <c r="G78" i="5" s="1"/>
  <c r="F79" i="5"/>
  <c r="G79" i="5" s="1"/>
  <c r="F80" i="5"/>
  <c r="G80" i="5" s="1"/>
  <c r="F81" i="5"/>
  <c r="G81" i="5" s="1"/>
  <c r="F82" i="5"/>
  <c r="G82" i="5" s="1"/>
  <c r="F83" i="5"/>
  <c r="G83" i="5" s="1"/>
  <c r="F84" i="5"/>
  <c r="G84" i="5" s="1"/>
  <c r="F85" i="5"/>
  <c r="G85" i="5" s="1"/>
  <c r="F86" i="5"/>
  <c r="G86" i="5" s="1"/>
  <c r="F87" i="5"/>
  <c r="G87" i="5" s="1"/>
  <c r="F88" i="5"/>
  <c r="G88" i="5" s="1"/>
  <c r="F89" i="5"/>
  <c r="G89" i="5" s="1"/>
  <c r="F90" i="5"/>
  <c r="G90" i="5" s="1"/>
  <c r="F91" i="5"/>
  <c r="G91" i="5" s="1"/>
  <c r="F92" i="5"/>
  <c r="G92" i="5" s="1"/>
  <c r="F93" i="5"/>
  <c r="G93" i="5" s="1"/>
  <c r="F94" i="5"/>
  <c r="G94" i="5" s="1"/>
  <c r="F95" i="5"/>
  <c r="G95" i="5" s="1"/>
  <c r="F96" i="5"/>
  <c r="G96" i="5" s="1"/>
  <c r="F97" i="5"/>
  <c r="G97" i="5" s="1"/>
  <c r="F98" i="5"/>
  <c r="G98" i="5" s="1"/>
  <c r="F99" i="5"/>
  <c r="G99" i="5" s="1"/>
  <c r="F100" i="5"/>
  <c r="G100" i="5" s="1"/>
  <c r="F101" i="5"/>
  <c r="G101" i="5" s="1"/>
  <c r="F102" i="5"/>
  <c r="G102" i="5" s="1"/>
  <c r="F103" i="5"/>
  <c r="G103" i="5" s="1"/>
  <c r="F104" i="5"/>
  <c r="G104" i="5" s="1"/>
  <c r="F105" i="5"/>
  <c r="G105" i="5" s="1"/>
  <c r="F106" i="5"/>
  <c r="G106" i="5" s="1"/>
  <c r="F107" i="5"/>
  <c r="G107" i="5" s="1"/>
  <c r="F108" i="5"/>
  <c r="G108" i="5" s="1"/>
  <c r="F109" i="5"/>
  <c r="G109" i="5" s="1"/>
  <c r="F110" i="5"/>
  <c r="G110" i="5" s="1"/>
  <c r="F111" i="5"/>
  <c r="G111" i="5" s="1"/>
  <c r="F112" i="5"/>
  <c r="G112" i="5" s="1"/>
  <c r="F113" i="5"/>
  <c r="G113" i="5" s="1"/>
  <c r="F114" i="5"/>
  <c r="G114" i="5" s="1"/>
  <c r="F115" i="5"/>
  <c r="G115" i="5" s="1"/>
  <c r="F116" i="5"/>
  <c r="G116" i="5" s="1"/>
  <c r="F117" i="5"/>
  <c r="G117" i="5" s="1"/>
  <c r="F118" i="5"/>
  <c r="G118" i="5" s="1"/>
  <c r="F119" i="5"/>
  <c r="G119" i="5" s="1"/>
  <c r="F120" i="5"/>
  <c r="G120" i="5" s="1"/>
  <c r="F121" i="5"/>
  <c r="G121" i="5" s="1"/>
  <c r="F122" i="5"/>
  <c r="G122" i="5" s="1"/>
  <c r="F123" i="5"/>
  <c r="G123" i="5" s="1"/>
  <c r="F124" i="5"/>
  <c r="G124" i="5" s="1"/>
  <c r="F125" i="5"/>
  <c r="G125" i="5" s="1"/>
  <c r="F126" i="5"/>
  <c r="G126" i="5" s="1"/>
  <c r="F127" i="5"/>
  <c r="G127" i="5" s="1"/>
  <c r="F128" i="5"/>
  <c r="G128" i="5" s="1"/>
  <c r="F129" i="5"/>
  <c r="G129" i="5" s="1"/>
  <c r="F130" i="5"/>
  <c r="G130" i="5" s="1"/>
  <c r="F131" i="5"/>
  <c r="G131" i="5" s="1"/>
  <c r="F132" i="5"/>
  <c r="G132" i="5" s="1"/>
  <c r="F133" i="5"/>
  <c r="G133" i="5" s="1"/>
  <c r="F134" i="5"/>
  <c r="G134" i="5" s="1"/>
  <c r="F135" i="5"/>
  <c r="G135" i="5" s="1"/>
  <c r="F136" i="5"/>
  <c r="G136" i="5" s="1"/>
  <c r="F137" i="5"/>
  <c r="G137" i="5" s="1"/>
  <c r="F138" i="5"/>
  <c r="G138" i="5" s="1"/>
  <c r="F139" i="5"/>
  <c r="G139" i="5" s="1"/>
  <c r="F140" i="5"/>
  <c r="G140" i="5" s="1"/>
  <c r="F141" i="5"/>
  <c r="G141" i="5" s="1"/>
  <c r="F142" i="5"/>
  <c r="G142" i="5" s="1"/>
  <c r="F143" i="5"/>
  <c r="G143" i="5" s="1"/>
  <c r="F144" i="5"/>
  <c r="G144" i="5" s="1"/>
  <c r="F145" i="5"/>
  <c r="G145" i="5" s="1"/>
  <c r="F146" i="5"/>
  <c r="G146" i="5" s="1"/>
  <c r="F147" i="5"/>
  <c r="G147" i="5" s="1"/>
  <c r="F148" i="5"/>
  <c r="G148" i="5" s="1"/>
  <c r="F149" i="5"/>
  <c r="G149" i="5" s="1"/>
  <c r="F150" i="5"/>
  <c r="G150" i="5" s="1"/>
  <c r="F151" i="5"/>
  <c r="G151" i="5" s="1"/>
  <c r="F152" i="5"/>
  <c r="G152" i="5" s="1"/>
  <c r="F153" i="5"/>
  <c r="G153" i="5" s="1"/>
  <c r="F154" i="5"/>
  <c r="G154" i="5" s="1"/>
  <c r="F155" i="5"/>
  <c r="G155" i="5" s="1"/>
  <c r="F156" i="5"/>
  <c r="G156" i="5" s="1"/>
  <c r="F157" i="5"/>
  <c r="G157" i="5" s="1"/>
  <c r="F158" i="5"/>
  <c r="G158" i="5" s="1"/>
  <c r="F159" i="5"/>
  <c r="G159" i="5" s="1"/>
  <c r="F160" i="5"/>
  <c r="G160" i="5" s="1"/>
  <c r="F161" i="5"/>
  <c r="G161" i="5" s="1"/>
  <c r="F162" i="5"/>
  <c r="G162" i="5" s="1"/>
  <c r="F163" i="5"/>
  <c r="G163" i="5" s="1"/>
  <c r="F164" i="5"/>
  <c r="G164" i="5" s="1"/>
  <c r="F165" i="5"/>
  <c r="G165" i="5" s="1"/>
  <c r="F166" i="5"/>
  <c r="G166" i="5" s="1"/>
  <c r="F167" i="5"/>
  <c r="G167" i="5" s="1"/>
  <c r="F168" i="5"/>
  <c r="G168" i="5" s="1"/>
  <c r="F169" i="5"/>
  <c r="G169" i="5" s="1"/>
  <c r="F170" i="5"/>
  <c r="G170" i="5" s="1"/>
  <c r="F171" i="5"/>
  <c r="G171" i="5" s="1"/>
  <c r="F172" i="5"/>
  <c r="G172" i="5" s="1"/>
  <c r="F173" i="5"/>
  <c r="G173" i="5" s="1"/>
  <c r="F174" i="5"/>
  <c r="G174" i="5" s="1"/>
  <c r="F175" i="5"/>
  <c r="G175" i="5" s="1"/>
  <c r="F176" i="5"/>
  <c r="G176" i="5" s="1"/>
  <c r="F177" i="5"/>
  <c r="G177" i="5" s="1"/>
  <c r="F178" i="5"/>
  <c r="G178" i="5" s="1"/>
  <c r="F179" i="5"/>
  <c r="G179" i="5" s="1"/>
  <c r="F180" i="5"/>
  <c r="G180" i="5" s="1"/>
  <c r="F181" i="5"/>
  <c r="G181" i="5" s="1"/>
  <c r="F182" i="5"/>
  <c r="G182" i="5" s="1"/>
  <c r="F183" i="5"/>
  <c r="G183" i="5" s="1"/>
  <c r="F184" i="5"/>
  <c r="G184" i="5" s="1"/>
  <c r="F185" i="5"/>
  <c r="G185" i="5" s="1"/>
  <c r="F186" i="5"/>
  <c r="G186" i="5" s="1"/>
  <c r="F187" i="5"/>
  <c r="G187" i="5" s="1"/>
  <c r="F188" i="5"/>
  <c r="G188" i="5" s="1"/>
  <c r="F189" i="5"/>
  <c r="G189" i="5" s="1"/>
  <c r="F190" i="5"/>
  <c r="G190" i="5" s="1"/>
  <c r="F191" i="5"/>
  <c r="G191" i="5" s="1"/>
  <c r="F192" i="5"/>
  <c r="G192" i="5" s="1"/>
  <c r="F193" i="5"/>
  <c r="G193" i="5" s="1"/>
  <c r="F194" i="5"/>
  <c r="G194" i="5" s="1"/>
  <c r="F195" i="5"/>
  <c r="G195" i="5" s="1"/>
  <c r="F196" i="5"/>
  <c r="G196" i="5" s="1"/>
  <c r="F197" i="5"/>
  <c r="G197" i="5" s="1"/>
  <c r="F198" i="5"/>
  <c r="G198" i="5" s="1"/>
  <c r="F199" i="5"/>
  <c r="G199" i="5" s="1"/>
  <c r="F200" i="5"/>
  <c r="G200" i="5" s="1"/>
  <c r="F201" i="5"/>
  <c r="G201" i="5" s="1"/>
  <c r="F202" i="5"/>
  <c r="G202" i="5" s="1"/>
  <c r="F203" i="5"/>
  <c r="G203" i="5" s="1"/>
  <c r="F204" i="5"/>
  <c r="G204" i="5" s="1"/>
  <c r="F205" i="5"/>
  <c r="G205" i="5" s="1"/>
  <c r="F206" i="5"/>
  <c r="G206" i="5" s="1"/>
  <c r="F207" i="5"/>
  <c r="G207" i="5" s="1"/>
  <c r="F208" i="5"/>
  <c r="G208" i="5" s="1"/>
  <c r="F209" i="5"/>
  <c r="G209" i="5" s="1"/>
  <c r="F210" i="5"/>
  <c r="G210" i="5" s="1"/>
  <c r="F211" i="5"/>
  <c r="G211" i="5" s="1"/>
  <c r="F212" i="5"/>
  <c r="G212" i="5" s="1"/>
  <c r="F213" i="5"/>
  <c r="G213" i="5" s="1"/>
  <c r="F214" i="5"/>
  <c r="G214" i="5" s="1"/>
  <c r="F215" i="5"/>
  <c r="G215" i="5" s="1"/>
  <c r="F216" i="5"/>
  <c r="G216" i="5" s="1"/>
  <c r="F2" i="5"/>
  <c r="G2" i="5" s="1"/>
  <c r="C31" i="1"/>
  <c r="C40" i="1"/>
  <c r="C44" i="1"/>
  <c r="C43" i="1"/>
  <c r="C42" i="1"/>
  <c r="C41" i="1"/>
  <c r="AS34" i="1"/>
  <c r="AS33" i="1"/>
  <c r="AS32" i="1"/>
  <c r="AS31" i="1"/>
  <c r="AQ40" i="1"/>
  <c r="AR40" i="1"/>
  <c r="AS40" i="1"/>
  <c r="AQ41" i="1"/>
  <c r="AR41" i="1"/>
  <c r="AS41" i="1"/>
  <c r="AQ42" i="1"/>
  <c r="AR42" i="1"/>
  <c r="AS42" i="1"/>
  <c r="AQ43" i="1"/>
  <c r="AR43" i="1"/>
  <c r="AS43" i="1"/>
  <c r="AQ44" i="1"/>
  <c r="AR44" i="1"/>
  <c r="AS44" i="1"/>
  <c r="AI40" i="1"/>
  <c r="AJ40" i="1"/>
  <c r="AK40" i="1"/>
  <c r="AL40" i="1"/>
  <c r="AM40" i="1"/>
  <c r="AN40" i="1"/>
  <c r="AO40" i="1"/>
  <c r="AP40" i="1"/>
  <c r="AI41" i="1"/>
  <c r="AJ41" i="1"/>
  <c r="AK41" i="1"/>
  <c r="AL41" i="1"/>
  <c r="AM41" i="1"/>
  <c r="AN41" i="1"/>
  <c r="AO41" i="1"/>
  <c r="AP41" i="1"/>
  <c r="AI42" i="1"/>
  <c r="AJ42" i="1"/>
  <c r="AK42" i="1"/>
  <c r="AL42" i="1"/>
  <c r="AM42" i="1"/>
  <c r="AN42" i="1"/>
  <c r="AO42" i="1"/>
  <c r="AP42" i="1"/>
  <c r="AI43" i="1"/>
  <c r="AJ43" i="1"/>
  <c r="AK43" i="1"/>
  <c r="AL43" i="1"/>
  <c r="AM43" i="1"/>
  <c r="AN43" i="1"/>
  <c r="AO43" i="1"/>
  <c r="AP43" i="1"/>
  <c r="AI44" i="1"/>
  <c r="AJ44" i="1"/>
  <c r="AK44" i="1"/>
  <c r="AL44" i="1"/>
  <c r="AM44" i="1"/>
  <c r="AN44" i="1"/>
  <c r="AO44" i="1"/>
  <c r="AP44" i="1"/>
  <c r="Y40" i="1"/>
  <c r="Z40" i="1"/>
  <c r="AA40" i="1"/>
  <c r="AB40" i="1"/>
  <c r="AC40" i="1"/>
  <c r="AD40" i="1"/>
  <c r="AE40" i="1"/>
  <c r="AF40" i="1"/>
  <c r="AG40" i="1"/>
  <c r="AH40" i="1"/>
  <c r="Y41" i="1"/>
  <c r="Z41" i="1"/>
  <c r="AA41" i="1"/>
  <c r="AB41" i="1"/>
  <c r="AC41" i="1"/>
  <c r="AD41" i="1"/>
  <c r="AE41" i="1"/>
  <c r="AF41" i="1"/>
  <c r="AG41" i="1"/>
  <c r="AH41" i="1"/>
  <c r="Y42" i="1"/>
  <c r="Z42" i="1"/>
  <c r="AA42" i="1"/>
  <c r="AB42" i="1"/>
  <c r="AC42" i="1"/>
  <c r="AD42" i="1"/>
  <c r="AE42" i="1"/>
  <c r="AF42" i="1"/>
  <c r="AG42" i="1"/>
  <c r="AH42" i="1"/>
  <c r="Y43" i="1"/>
  <c r="Z43" i="1"/>
  <c r="AA43" i="1"/>
  <c r="AB43" i="1"/>
  <c r="AC43" i="1"/>
  <c r="AD43" i="1"/>
  <c r="AE43" i="1"/>
  <c r="AF43" i="1"/>
  <c r="AG43" i="1"/>
  <c r="AH43" i="1"/>
  <c r="Y44" i="1"/>
  <c r="Z44" i="1"/>
  <c r="AA44" i="1"/>
  <c r="AB44" i="1"/>
  <c r="AC44" i="1"/>
  <c r="AD44" i="1"/>
  <c r="AE44" i="1"/>
  <c r="AF44" i="1"/>
  <c r="AG44" i="1"/>
  <c r="AH44" i="1"/>
  <c r="N40" i="1"/>
  <c r="O40" i="1"/>
  <c r="P40" i="1"/>
  <c r="Q40" i="1"/>
  <c r="R40" i="1"/>
  <c r="S40" i="1"/>
  <c r="T40" i="1"/>
  <c r="U40" i="1"/>
  <c r="V40" i="1"/>
  <c r="W40" i="1"/>
  <c r="X40" i="1"/>
  <c r="N41" i="1"/>
  <c r="O41" i="1"/>
  <c r="P41" i="1"/>
  <c r="Q41" i="1"/>
  <c r="R41" i="1"/>
  <c r="S41" i="1"/>
  <c r="T41" i="1"/>
  <c r="U41" i="1"/>
  <c r="V41" i="1"/>
  <c r="W41" i="1"/>
  <c r="X41" i="1"/>
  <c r="N42" i="1"/>
  <c r="O42" i="1"/>
  <c r="P42" i="1"/>
  <c r="Q42" i="1"/>
  <c r="R42" i="1"/>
  <c r="S42" i="1"/>
  <c r="T42" i="1"/>
  <c r="U42" i="1"/>
  <c r="V42" i="1"/>
  <c r="W42" i="1"/>
  <c r="X42" i="1"/>
  <c r="N43" i="1"/>
  <c r="O43" i="1"/>
  <c r="P43" i="1"/>
  <c r="Q43" i="1"/>
  <c r="R43" i="1"/>
  <c r="S43" i="1"/>
  <c r="T43" i="1"/>
  <c r="U43" i="1"/>
  <c r="V43" i="1"/>
  <c r="W43" i="1"/>
  <c r="X43" i="1"/>
  <c r="N44" i="1"/>
  <c r="O44" i="1"/>
  <c r="P44" i="1"/>
  <c r="Q44" i="1"/>
  <c r="R44" i="1"/>
  <c r="S44" i="1"/>
  <c r="T44" i="1"/>
  <c r="U44" i="1"/>
  <c r="V44" i="1"/>
  <c r="W44" i="1"/>
  <c r="X44" i="1"/>
  <c r="D40" i="1"/>
  <c r="E40" i="1"/>
  <c r="F40" i="1"/>
  <c r="G40" i="1"/>
  <c r="H40" i="1"/>
  <c r="I40" i="1"/>
  <c r="J40" i="1"/>
  <c r="K40" i="1"/>
  <c r="L40" i="1"/>
  <c r="M40" i="1"/>
  <c r="D41" i="1"/>
  <c r="E41" i="1"/>
  <c r="F41" i="1"/>
  <c r="G41" i="1"/>
  <c r="H41" i="1"/>
  <c r="I41" i="1"/>
  <c r="J41" i="1"/>
  <c r="K41" i="1"/>
  <c r="L41" i="1"/>
  <c r="M41" i="1"/>
  <c r="D42" i="1"/>
  <c r="E42" i="1"/>
  <c r="F42" i="1"/>
  <c r="G42" i="1"/>
  <c r="H42" i="1"/>
  <c r="I42" i="1"/>
  <c r="J42" i="1"/>
  <c r="K42" i="1"/>
  <c r="L42" i="1"/>
  <c r="M42" i="1"/>
  <c r="D43" i="1"/>
  <c r="E43" i="1"/>
  <c r="F43" i="1"/>
  <c r="G43" i="1"/>
  <c r="H43" i="1"/>
  <c r="I43" i="1"/>
  <c r="J43" i="1"/>
  <c r="K43" i="1"/>
  <c r="L43" i="1"/>
  <c r="M43" i="1"/>
  <c r="D44" i="1"/>
  <c r="E44" i="1"/>
  <c r="F44" i="1"/>
  <c r="G44" i="1"/>
  <c r="H44" i="1"/>
  <c r="I44" i="1"/>
  <c r="J44" i="1"/>
  <c r="K44" i="1"/>
  <c r="L44" i="1"/>
  <c r="M44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P31" i="1"/>
  <c r="AQ31" i="1"/>
  <c r="AR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D31" i="1"/>
  <c r="E31" i="1"/>
</calcChain>
</file>

<file path=xl/sharedStrings.xml><?xml version="1.0" encoding="utf-8"?>
<sst xmlns="http://schemas.openxmlformats.org/spreadsheetml/2006/main" count="1014" uniqueCount="63">
  <si>
    <t>Income Before Transfers and Taxes (Shares for income groups)</t>
  </si>
  <si>
    <t>Households Ranked by Income Before Transfers and Taxes</t>
  </si>
  <si>
    <t xml:space="preserve"> </t>
  </si>
  <si>
    <t>All Households</t>
  </si>
  <si>
    <t>Lowest Quintile</t>
  </si>
  <si>
    <t>Second Quintile</t>
  </si>
  <si>
    <t>Middle Quintile</t>
  </si>
  <si>
    <t>Fourth Quintile</t>
  </si>
  <si>
    <t>Highest Quintile</t>
  </si>
  <si>
    <t>Year</t>
  </si>
  <si>
    <t>Households Ranked by Income After Transfers and Taxes</t>
  </si>
  <si>
    <t xml:space="preserve">Into Decimal </t>
  </si>
  <si>
    <t xml:space="preserve">Primary income </t>
  </si>
  <si>
    <t xml:space="preserve">Disposable Income </t>
  </si>
  <si>
    <t xml:space="preserve">Year </t>
  </si>
  <si>
    <t xml:space="preserve">Primary Income Shares </t>
  </si>
  <si>
    <t>Disposable Income Shares</t>
  </si>
  <si>
    <t>Quintiles (from Lowest to Highest)</t>
  </si>
  <si>
    <t>Taxes</t>
  </si>
  <si>
    <t xml:space="preserve">Ratio of Disposable Income to Primary Income </t>
  </si>
  <si>
    <t>Income Before Transfers and Taxes (Average amount, 2021 dollars)</t>
  </si>
  <si>
    <t xml:space="preserve">Average Primary Income </t>
  </si>
  <si>
    <t>Quintiles</t>
  </si>
  <si>
    <t>Total Federal Taxes (Average amount, 2021 dollars)</t>
  </si>
  <si>
    <t>Average Federal Taxes</t>
  </si>
  <si>
    <t>Tax Liability</t>
  </si>
  <si>
    <t xml:space="preserve">Share of Average Incomes </t>
  </si>
  <si>
    <t>SUM= 1 Check (i.e = 1/5*Summation of Share of Average Incomes)</t>
  </si>
  <si>
    <t>Average income for a given year by Quintile</t>
  </si>
  <si>
    <t>Equation 20</t>
  </si>
  <si>
    <t>Tau_it= Tax Liability/Primary Income</t>
  </si>
  <si>
    <t xml:space="preserve">Summation </t>
  </si>
  <si>
    <t>Tau_bar_t</t>
  </si>
  <si>
    <t>LN of LHS of the equation</t>
  </si>
  <si>
    <t>LN of Primary Income Shares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</si>
  <si>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</si>
  <si>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</si>
  <si>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</si>
  <si>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</si>
  <si>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</si>
  <si>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</si>
  <si>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</si>
  <si>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</si>
  <si>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</si>
  <si>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</si>
  <si>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</si>
  <si>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</si>
  <si>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</si>
  <si>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</si>
  <si>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</si>
  <si>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</si>
  <si>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</si>
  <si>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</si>
  <si>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</si>
  <si>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</si>
  <si>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</si>
  <si>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</si>
  <si>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</si>
  <si>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</si>
  <si>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 %</t>
  </si>
  <si>
    <t>Total Federal Taxes (Shares for income groups)</t>
  </si>
  <si>
    <t>Share of Federal Taxes</t>
  </si>
  <si>
    <t>LHS of the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</si>
</sst>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&quot;$&quot;#,##0.00"/>
    <numFmt numFmtId="166" formatCode="#,##0.000"/>
  </numFmts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right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2" fillId="0" borderId="0" xfId="0" applyFont="1" applyAlignment="1">
      <alignment horizontal="right" vertical="center" wrapText="1"/>
    </xf>
    <xf numFmtId="164" fontId="0" fillId="0" borderId="0" xfId="0" applyNumberFormat="1" applyAlignment="1">
      <alignment horizontal="right" vertical="center" wrapText="1"/>
    </xf>
    <xf numFmtId="164" fontId="0" fillId="0" borderId="0" xfId="0" applyNumberFormat="1"/>
    <xf numFmtId="165" fontId="0" fillId="0" borderId="0" xfId="0" applyNumberFormat="1"/>
    <xf numFmtId="4" fontId="0" fillId="0" borderId="0" xfId="0" applyNumberFormat="1"/>
    <xf numFmtId="166" fontId="0" fillId="0" borderId="0" xfId="0" applyNumberFormat="1"/>
    <xf numFmtId="164" fontId="2" fillId="0" borderId="0" xfId="0" applyNumberFormat="1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/>
  </cellXfs>
  <cellStyles count="1">
    <cellStyle name="Normal" xfId="0" builtinId="0"/>
  </cellStyles>
  <dxfs count="1"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C087E5-3EFF-D44B-A087-1C3AB5341130}" name="Table1" displayName="Table1" ref="A1:D216" totalsRowShown="0">
  <autoFilter ref="A1:D216" xr:uid="{7BC087E5-3EFF-D44B-A087-1C3AB5341130}">
    <filterColumn colId="2">
      <filters>
        <filter val="-1.378582241"/>
        <filter val="-1.385544642"/>
        <filter val="-1.389178516"/>
        <filter val="-1.389958208"/>
        <filter val="-1.392424221"/>
        <filter val="-1.39869526"/>
        <filter val="-1.402393853"/>
        <filter val="-1.402996448"/>
        <filter val="-1.408309766"/>
        <filter val="-1.409071809"/>
        <filter val="-1.409858722"/>
        <filter val="-1.411355792"/>
        <filter val="-1.421988831"/>
        <filter val="-1.423499715"/>
        <filter val="-1.428464065"/>
        <filter val="-1.434482871"/>
        <filter val="-1.436064315"/>
        <filter val="-1.436248839"/>
        <filter val="-1.438234034"/>
        <filter val="-1.438289656"/>
        <filter val="-1.43919886"/>
        <filter val="-1.440334647"/>
        <filter val="-1.442330516"/>
        <filter val="-1.443307331"/>
        <filter val="-1.448110252"/>
        <filter val="-1.448262951"/>
        <filter val="-1.453914549"/>
        <filter val="-1.455287233"/>
        <filter val="-1.456804418"/>
        <filter val="-1.457087256"/>
        <filter val="-1.458887225"/>
        <filter val="-1.46182052"/>
        <filter val="-1.462445371"/>
        <filter val="-1.465922155"/>
        <filter val="-1.466637114"/>
        <filter val="-1.468270309"/>
        <filter val="-1.469916165"/>
        <filter val="-1.470202382"/>
        <filter val="-1.47119476"/>
        <filter val="-1.471739289"/>
        <filter val="-1.473863154"/>
        <filter val="-1.473982302"/>
        <filter val="-1.474453249"/>
        <filter val="-1.474820154"/>
        <filter val="-1.476519453"/>
        <filter val="-1.477262579"/>
        <filter val="-1.477819406"/>
        <filter val="-1.477919235"/>
        <filter val="-1.48023067"/>
        <filter val="-1.480572561"/>
        <filter val="-1.482401671"/>
        <filter val="-1.482479706"/>
        <filter val="-1.482805262"/>
        <filter val="-1.483096769"/>
        <filter val="-1.483411172"/>
        <filter val="-1.48377127"/>
        <filter val="-1.488580625"/>
        <filter val="-1.490030181"/>
        <filter val="-1.491370017"/>
        <filter val="-1.492156256"/>
        <filter val="-1.496109227"/>
        <filter val="-1.496141345"/>
        <filter val="-1.497870101"/>
        <filter val="-1.501923406"/>
        <filter val="-1.504242973"/>
        <filter val="-1.506663155"/>
        <filter val="-1.509592577"/>
        <filter val="-1.511625815"/>
        <filter val="-1.511741729"/>
        <filter val="-1.513640838"/>
        <filter val="-1.514127733"/>
        <filter val="-1.51556181"/>
        <filter val="-1.516260688"/>
        <filter val="-1.517289291"/>
        <filter val="-1.517902792"/>
        <filter val="-1.520846683"/>
        <filter val="-1.522354406"/>
        <filter val="-1.52260103"/>
        <filter val="-1.524138795"/>
        <filter val="-1.52457955"/>
        <filter val="-1.527077793"/>
        <filter val="-1.527194551"/>
        <filter val="-1.529021648"/>
        <filter val="-1.531791235"/>
        <filter val="-1.532459201"/>
        <filter val="-1.536423288"/>
        <filter val="-1.53920909"/>
        <filter val="-1.539775554"/>
        <filter val="-1.541873196"/>
        <filter val="-1.544317779"/>
        <filter val="-1.544983287"/>
        <filter val="-1.546463113"/>
        <filter val="-1.548173861"/>
        <filter val="-1.549697636"/>
        <filter val="-1.549807626"/>
        <filter val="-1.550410238"/>
        <filter val="-1.550464768"/>
        <filter val="-1.551982906"/>
        <filter val="-1.553551388"/>
        <filter val="-1.554058858"/>
        <filter val="-1.554613159"/>
        <filter val="-1.555471911"/>
        <filter val="-1.555574519"/>
        <filter val="-1.555679547"/>
        <filter val="-1.555926953"/>
        <filter val="-1.556247404"/>
        <filter val="-1.556710598"/>
        <filter val="-1.556832099"/>
        <filter val="-1.558615183"/>
        <filter val="-1.558692713"/>
        <filter val="-1.559110602"/>
        <filter val="-1.55936557"/>
        <filter val="-1.561521874"/>
        <filter val="-1.562406113"/>
        <filter val="-1.562735019"/>
        <filter val="-1.563323162"/>
        <filter val="-1.563913838"/>
        <filter val="-1.566702257"/>
        <filter val="-1.567200903"/>
        <filter val="-1.568650701"/>
        <filter val="-1.5698498"/>
        <filter val="-1.570217199"/>
        <filter val="-1.575036486"/>
        <filter val="-1.578289277"/>
        <filter val="-1.578507975"/>
        <filter val="-1.57987911"/>
        <filter val="-1.580165756"/>
        <filter val="-1.586642834"/>
        <filter val="-1.588170352"/>
        <filter val="-1.589699425"/>
        <filter val="-1.589845017"/>
        <filter val="-1.592440336"/>
        <filter val="-1.592522957"/>
        <filter val="-1.597235875"/>
        <filter val="-1.601395626"/>
        <filter val="-1.604450371"/>
        <filter val="-1.606277444"/>
        <filter val="-1.609966507"/>
        <filter val="-1.612152705"/>
        <filter val="-1.614740837"/>
        <filter val="-1.618734726"/>
        <filter val="-1.621496629"/>
        <filter val="-1.62455155"/>
        <filter val="-1.631204189"/>
        <filter val="-1.632434258"/>
        <filter val="-1.634680308"/>
        <filter val="-1.636068448"/>
        <filter val="-1.640279363"/>
        <filter val="-1.641229828"/>
        <filter val="-1.649324015"/>
        <filter val="-1.655016572"/>
        <filter val="-1.655481851"/>
        <filter val="-1.656674828"/>
        <filter val="-1.658896905"/>
        <filter val="-1.665420547"/>
        <filter val="-1.666388984"/>
        <filter val="-1.673769048"/>
        <filter val="-1.678858112"/>
        <filter val="-1.682008605"/>
        <filter val="-1.689925163"/>
        <filter val="-1.69352103"/>
        <filter val="-1.697911701"/>
        <filter val="-1.704810594"/>
        <filter val="-1.714618928"/>
        <filter val="-1.716286682"/>
        <filter val="-1.743061641"/>
        <filter val="-1.81770864"/>
        <filter val="-1.92157341"/>
        <filter val="-2.02229514"/>
        <filter val="-2.039181867"/>
        <filter val="-2.042068689"/>
        <filter val="-2.065386926"/>
        <filter val="-2.065659402"/>
        <filter val="-2.07995231"/>
        <filter val="-2.174416894"/>
        <filter val="-2.202025557"/>
        <filter val="-2.204617693"/>
        <filter val="-2.246158654"/>
        <filter val="-2.325574611"/>
        <filter val="-2.374328998"/>
        <filter val="-2.388960309"/>
        <filter val="-2.428148316"/>
        <filter val="-2.442149686"/>
        <filter val="-2.586607205"/>
        <filter val="-2.676551534"/>
        <filter val="-2.681857776"/>
        <filter val="-2.763785479"/>
        <filter val="-2.834136847"/>
        <filter val="-2.930536074"/>
        <filter val="-2.964929535"/>
        <filter val="-3.050911224"/>
        <filter val="-3.457338825"/>
        <filter val="-3.48096235"/>
        <filter val="-3.644862569"/>
        <filter val="-4.353255337"/>
        <filter val="-4.442782844"/>
        <filter val="-4.448824116"/>
      </filters>
    </filterColumn>
  </autoFilter>
  <tableColumns count="4">
    <tableColumn id="1" xr3:uid="{6D05A683-896A-FB4E-BA81-10A38CA86F77}" name="Year "/>
    <tableColumn id="2" xr3:uid="{A45E9E95-C3A2-F948-B8E1-C013DDF8D921}" name="Quintiles (from Lowest to Highest)"/>
    <tableColumn id="3" xr3:uid="{F3C760FF-CB1A-A44C-81FC-6128BD05570D}" name="LN of LHS of the equation"/>
    <tableColumn id="4" xr3:uid="{3552BBAE-A5FA-584C-8AE5-EB8245F69D2F}" name="LN of Primary Income Shar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631B-E0E0-F041-AE39-9E3D751A42FA}">
  <dimension ref="A1:AS262"/>
  <sheetViews>
    <sheetView tabSelected="1" workbookViewId="0">
      <selection activeCell="B12" sqref="B12"/>
    </sheetView>
  </sheetViews>
  <sheetFormatPr baseColWidth="10" defaultRowHeight="16" x14ac:dyDescent="0.2"/>
  <cols>
    <col min="1" max="1" width="69.6640625" customWidth="1"/>
    <col min="2" max="2" width="14.1640625" bestFit="1" customWidth="1"/>
    <col min="3" max="3" width="20" bestFit="1" customWidth="1"/>
    <col min="4" max="4" width="22.6640625" bestFit="1" customWidth="1"/>
    <col min="5" max="5" width="17.33203125" customWidth="1"/>
    <col min="6" max="6" width="18" customWidth="1"/>
    <col min="7" max="7" width="14.1640625" bestFit="1" customWidth="1"/>
    <col min="9" max="9" width="12.33203125" customWidth="1"/>
    <col min="10" max="10" width="13" customWidth="1"/>
    <col min="44" max="44" width="14.83203125" customWidth="1"/>
    <col min="45" max="45" width="27.6640625" customWidth="1"/>
  </cols>
  <sheetData>
    <row r="1" spans="1:45" ht="22" x14ac:dyDescent="0.2">
      <c r="A1" s="2"/>
      <c r="B1" s="1"/>
      <c r="C1" s="1"/>
      <c r="D1" s="1"/>
      <c r="E1" s="1"/>
      <c r="F1" s="1"/>
      <c r="G1" s="1"/>
    </row>
    <row r="2" spans="1:45" ht="22" x14ac:dyDescent="0.2">
      <c r="A2" s="2" t="s">
        <v>0</v>
      </c>
      <c r="B2" s="1"/>
      <c r="C2" s="1"/>
      <c r="D2" s="1"/>
      <c r="E2" s="1"/>
      <c r="F2" s="1"/>
      <c r="G2" s="1"/>
      <c r="I2" s="1"/>
      <c r="J2" s="1"/>
    </row>
    <row r="3" spans="1:45" ht="17" x14ac:dyDescent="0.2">
      <c r="A3" s="5" t="s">
        <v>1</v>
      </c>
      <c r="B3" s="1"/>
      <c r="C3" s="1"/>
      <c r="D3" s="1"/>
      <c r="E3" s="1"/>
      <c r="F3" s="1"/>
      <c r="G3" s="1"/>
      <c r="I3" s="1"/>
    </row>
    <row r="4" spans="1:45" ht="17" x14ac:dyDescent="0.2">
      <c r="A4" s="4" t="s">
        <v>2</v>
      </c>
      <c r="B4" s="1"/>
      <c r="C4" s="1"/>
      <c r="D4" s="1"/>
      <c r="E4" s="1"/>
      <c r="F4" s="1"/>
      <c r="G4" s="1"/>
      <c r="I4" s="1"/>
    </row>
    <row r="5" spans="1:45" ht="17" x14ac:dyDescent="0.2">
      <c r="A5" s="4"/>
      <c r="B5" s="1" t="s">
        <v>59</v>
      </c>
      <c r="C5" s="1">
        <v>1979</v>
      </c>
      <c r="D5" s="1">
        <v>1980</v>
      </c>
      <c r="E5" s="1">
        <v>1981</v>
      </c>
      <c r="F5" s="1">
        <v>1982</v>
      </c>
      <c r="G5" s="1">
        <v>1983</v>
      </c>
      <c r="H5">
        <v>1984</v>
      </c>
      <c r="I5" s="1">
        <v>1985</v>
      </c>
      <c r="J5">
        <v>1986</v>
      </c>
      <c r="K5">
        <v>1987</v>
      </c>
      <c r="L5">
        <v>1988</v>
      </c>
      <c r="M5">
        <v>1989</v>
      </c>
      <c r="N5">
        <v>1990</v>
      </c>
      <c r="O5">
        <v>1991</v>
      </c>
      <c r="P5">
        <v>1992</v>
      </c>
      <c r="Q5">
        <v>1993</v>
      </c>
      <c r="R5">
        <v>1994</v>
      </c>
      <c r="S5">
        <v>1995</v>
      </c>
      <c r="T5">
        <v>1996</v>
      </c>
      <c r="U5">
        <v>1997</v>
      </c>
      <c r="V5">
        <v>1998</v>
      </c>
      <c r="W5">
        <v>1999</v>
      </c>
      <c r="X5">
        <v>2000</v>
      </c>
      <c r="Y5">
        <v>2001</v>
      </c>
      <c r="Z5">
        <v>2002</v>
      </c>
      <c r="AA5">
        <v>2003</v>
      </c>
      <c r="AB5">
        <v>2004</v>
      </c>
      <c r="AC5">
        <v>2005</v>
      </c>
      <c r="AD5">
        <v>2006</v>
      </c>
      <c r="AE5">
        <v>2007</v>
      </c>
      <c r="AF5">
        <v>2008</v>
      </c>
      <c r="AG5">
        <v>2009</v>
      </c>
      <c r="AH5">
        <v>2010</v>
      </c>
      <c r="AI5">
        <v>2011</v>
      </c>
      <c r="AJ5">
        <v>2012</v>
      </c>
      <c r="AK5">
        <v>2013</v>
      </c>
      <c r="AL5">
        <v>2014</v>
      </c>
      <c r="AM5">
        <v>2015</v>
      </c>
      <c r="AN5">
        <v>2016</v>
      </c>
      <c r="AO5">
        <v>2017</v>
      </c>
      <c r="AP5">
        <v>2018</v>
      </c>
      <c r="AQ5">
        <v>2019</v>
      </c>
      <c r="AR5">
        <v>2020</v>
      </c>
      <c r="AS5">
        <v>2021</v>
      </c>
    </row>
    <row r="6" spans="1:45" ht="17" x14ac:dyDescent="0.2">
      <c r="A6" s="4" t="s">
        <v>3</v>
      </c>
      <c r="B6" s="1"/>
      <c r="C6" s="1"/>
      <c r="D6" s="1"/>
      <c r="E6" s="1"/>
      <c r="F6" s="1"/>
      <c r="G6" s="1"/>
      <c r="I6" s="1"/>
    </row>
    <row r="7" spans="1:45" ht="17" x14ac:dyDescent="0.2">
      <c r="A7" s="4"/>
      <c r="B7" s="1" t="s">
        <v>4</v>
      </c>
      <c r="C7" s="1">
        <v>5</v>
      </c>
      <c r="D7" s="1">
        <v>4.9000000000000004</v>
      </c>
      <c r="E7" s="1">
        <v>4.7</v>
      </c>
      <c r="F7" s="1">
        <v>4.4000000000000004</v>
      </c>
      <c r="G7" s="1">
        <v>4.0999999999999996</v>
      </c>
      <c r="H7">
        <v>4.3</v>
      </c>
      <c r="I7" s="1">
        <v>4.0999999999999996</v>
      </c>
      <c r="J7">
        <v>3.9</v>
      </c>
      <c r="K7">
        <v>3.7</v>
      </c>
      <c r="L7">
        <v>3.7</v>
      </c>
      <c r="M7">
        <v>3.8</v>
      </c>
      <c r="N7">
        <v>3.9</v>
      </c>
      <c r="O7">
        <v>4</v>
      </c>
      <c r="P7">
        <v>3.8</v>
      </c>
      <c r="Q7">
        <v>3.8</v>
      </c>
      <c r="R7">
        <v>3.7</v>
      </c>
      <c r="S7">
        <v>4</v>
      </c>
      <c r="T7">
        <v>3.8</v>
      </c>
      <c r="U7">
        <v>3.9</v>
      </c>
      <c r="V7">
        <v>4</v>
      </c>
      <c r="W7">
        <v>4</v>
      </c>
      <c r="X7">
        <v>3.8</v>
      </c>
      <c r="Y7">
        <v>3.9</v>
      </c>
      <c r="Z7">
        <v>4</v>
      </c>
      <c r="AA7">
        <v>3.9</v>
      </c>
      <c r="AB7">
        <v>3.8</v>
      </c>
      <c r="AC7">
        <v>3.7</v>
      </c>
      <c r="AD7">
        <v>3.6</v>
      </c>
      <c r="AE7">
        <v>3.9</v>
      </c>
      <c r="AF7">
        <v>4</v>
      </c>
      <c r="AG7">
        <v>4</v>
      </c>
      <c r="AH7">
        <v>3.8</v>
      </c>
      <c r="AI7">
        <v>3.9</v>
      </c>
      <c r="AJ7">
        <v>3.6</v>
      </c>
      <c r="AK7">
        <v>3.8</v>
      </c>
      <c r="AL7">
        <v>3.6</v>
      </c>
      <c r="AM7">
        <v>3.7</v>
      </c>
      <c r="AN7">
        <v>3.9</v>
      </c>
      <c r="AO7">
        <v>3.7</v>
      </c>
      <c r="AP7">
        <v>3.8</v>
      </c>
      <c r="AQ7">
        <v>4</v>
      </c>
      <c r="AR7">
        <v>3.6</v>
      </c>
      <c r="AS7">
        <v>3.3</v>
      </c>
    </row>
    <row r="8" spans="1:45" ht="17" x14ac:dyDescent="0.2">
      <c r="A8" s="4"/>
      <c r="B8" s="1" t="s">
        <v>5</v>
      </c>
      <c r="C8" s="1">
        <v>11.2</v>
      </c>
      <c r="D8" s="1">
        <v>11</v>
      </c>
      <c r="E8" s="1">
        <v>10.9</v>
      </c>
      <c r="F8" s="1">
        <v>10.7</v>
      </c>
      <c r="G8" s="1">
        <v>10.4</v>
      </c>
      <c r="H8">
        <v>10.4</v>
      </c>
      <c r="I8" s="1">
        <v>10.199999999999999</v>
      </c>
      <c r="J8">
        <v>9.6999999999999993</v>
      </c>
      <c r="K8">
        <v>10</v>
      </c>
      <c r="L8">
        <v>9.8000000000000007</v>
      </c>
      <c r="M8">
        <v>9.9</v>
      </c>
      <c r="N8">
        <v>10.1</v>
      </c>
      <c r="O8">
        <v>10.1</v>
      </c>
      <c r="P8">
        <v>9.9</v>
      </c>
      <c r="Q8">
        <v>10</v>
      </c>
      <c r="R8">
        <v>10</v>
      </c>
      <c r="S8">
        <v>9.9</v>
      </c>
      <c r="T8">
        <v>9.6</v>
      </c>
      <c r="U8">
        <v>9.3000000000000007</v>
      </c>
      <c r="V8">
        <v>9.1999999999999993</v>
      </c>
      <c r="W8">
        <v>9</v>
      </c>
      <c r="X8">
        <v>8.6999999999999993</v>
      </c>
      <c r="Y8">
        <v>9.1</v>
      </c>
      <c r="Z8">
        <v>9.4</v>
      </c>
      <c r="AA8">
        <v>9.1999999999999993</v>
      </c>
      <c r="AB8">
        <v>8.9</v>
      </c>
      <c r="AC8">
        <v>8.5</v>
      </c>
      <c r="AD8">
        <v>8.4</v>
      </c>
      <c r="AE8">
        <v>8.5</v>
      </c>
      <c r="AF8">
        <v>8.9</v>
      </c>
      <c r="AG8">
        <v>9.3000000000000007</v>
      </c>
      <c r="AH8">
        <v>9</v>
      </c>
      <c r="AI8">
        <v>9</v>
      </c>
      <c r="AJ8">
        <v>8.4</v>
      </c>
      <c r="AK8">
        <v>8.6999999999999993</v>
      </c>
      <c r="AL8">
        <v>8.5</v>
      </c>
      <c r="AM8">
        <v>8.6</v>
      </c>
      <c r="AN8">
        <v>8.8000000000000007</v>
      </c>
      <c r="AO8">
        <v>8.6</v>
      </c>
      <c r="AP8">
        <v>8.5</v>
      </c>
      <c r="AQ8">
        <v>8.8000000000000007</v>
      </c>
      <c r="AR8">
        <v>8.5</v>
      </c>
      <c r="AS8">
        <v>7.8</v>
      </c>
    </row>
    <row r="9" spans="1:45" ht="17" x14ac:dyDescent="0.2">
      <c r="A9" s="4"/>
      <c r="B9" s="1" t="s">
        <v>6</v>
      </c>
      <c r="C9" s="1">
        <v>16</v>
      </c>
      <c r="D9" s="1">
        <v>16</v>
      </c>
      <c r="E9" s="1">
        <v>16.100000000000001</v>
      </c>
      <c r="F9" s="1">
        <v>15.9</v>
      </c>
      <c r="G9" s="1">
        <v>15.7</v>
      </c>
      <c r="H9">
        <v>15.6</v>
      </c>
      <c r="I9" s="1">
        <v>15.4</v>
      </c>
      <c r="J9">
        <v>14.9</v>
      </c>
      <c r="K9">
        <v>15.6</v>
      </c>
      <c r="L9">
        <v>15.1</v>
      </c>
      <c r="M9">
        <v>15.2</v>
      </c>
      <c r="N9">
        <v>15.2</v>
      </c>
      <c r="O9">
        <v>15.6</v>
      </c>
      <c r="P9">
        <v>15.3</v>
      </c>
      <c r="Q9">
        <v>15.3</v>
      </c>
      <c r="R9">
        <v>15.4</v>
      </c>
      <c r="S9">
        <v>15.1</v>
      </c>
      <c r="T9">
        <v>14.8</v>
      </c>
      <c r="U9">
        <v>14.4</v>
      </c>
      <c r="V9">
        <v>14.2</v>
      </c>
      <c r="W9">
        <v>14</v>
      </c>
      <c r="X9">
        <v>13.6</v>
      </c>
      <c r="Y9">
        <v>14.3</v>
      </c>
      <c r="Z9">
        <v>14.6</v>
      </c>
      <c r="AA9">
        <v>14.4</v>
      </c>
      <c r="AB9">
        <v>13.9</v>
      </c>
      <c r="AC9">
        <v>13.5</v>
      </c>
      <c r="AD9">
        <v>13.3</v>
      </c>
      <c r="AE9">
        <v>13.3</v>
      </c>
      <c r="AF9">
        <v>13.9</v>
      </c>
      <c r="AG9">
        <v>14.6</v>
      </c>
      <c r="AH9">
        <v>14.2</v>
      </c>
      <c r="AI9">
        <v>14</v>
      </c>
      <c r="AJ9">
        <v>13.5</v>
      </c>
      <c r="AK9">
        <v>13.9</v>
      </c>
      <c r="AL9">
        <v>13.5</v>
      </c>
      <c r="AM9">
        <v>13.6</v>
      </c>
      <c r="AN9">
        <v>13.7</v>
      </c>
      <c r="AO9">
        <v>13.5</v>
      </c>
      <c r="AP9">
        <v>13.4</v>
      </c>
      <c r="AQ9">
        <v>13.7</v>
      </c>
      <c r="AR9">
        <v>13.5</v>
      </c>
      <c r="AS9">
        <v>12.3</v>
      </c>
    </row>
    <row r="10" spans="1:45" ht="17" x14ac:dyDescent="0.2">
      <c r="A10" s="4"/>
      <c r="B10" s="1" t="s">
        <v>7</v>
      </c>
      <c r="C10" s="1">
        <v>22.4</v>
      </c>
      <c r="D10" s="1">
        <v>22.4</v>
      </c>
      <c r="E10" s="1">
        <v>22.5</v>
      </c>
      <c r="F10" s="1">
        <v>22.5</v>
      </c>
      <c r="G10" s="1">
        <v>22.5</v>
      </c>
      <c r="H10">
        <v>22.4</v>
      </c>
      <c r="I10" s="1">
        <v>22.1</v>
      </c>
      <c r="J10">
        <v>21.4</v>
      </c>
      <c r="K10">
        <v>22.4</v>
      </c>
      <c r="L10">
        <v>21.8</v>
      </c>
      <c r="M10">
        <v>21.9</v>
      </c>
      <c r="N10">
        <v>22</v>
      </c>
      <c r="O10">
        <v>22.1</v>
      </c>
      <c r="P10">
        <v>21.8</v>
      </c>
      <c r="Q10">
        <v>21.9</v>
      </c>
      <c r="R10">
        <v>22</v>
      </c>
      <c r="S10">
        <v>21.6</v>
      </c>
      <c r="T10">
        <v>21.2</v>
      </c>
      <c r="U10">
        <v>20.6</v>
      </c>
      <c r="V10">
        <v>20.3</v>
      </c>
      <c r="W10">
        <v>20</v>
      </c>
      <c r="X10">
        <v>19.7</v>
      </c>
      <c r="Y10">
        <v>21</v>
      </c>
      <c r="Z10">
        <v>21.3</v>
      </c>
      <c r="AA10">
        <v>21.1</v>
      </c>
      <c r="AB10">
        <v>20.6</v>
      </c>
      <c r="AC10">
        <v>19.899999999999999</v>
      </c>
      <c r="AD10">
        <v>19.600000000000001</v>
      </c>
      <c r="AE10">
        <v>19.3</v>
      </c>
      <c r="AF10">
        <v>20.399999999999999</v>
      </c>
      <c r="AG10">
        <v>21.5</v>
      </c>
      <c r="AH10">
        <v>20.9</v>
      </c>
      <c r="AI10">
        <v>20.9</v>
      </c>
      <c r="AJ10">
        <v>20.100000000000001</v>
      </c>
      <c r="AK10">
        <v>20.7</v>
      </c>
      <c r="AL10">
        <v>20.3</v>
      </c>
      <c r="AM10">
        <v>20.3</v>
      </c>
      <c r="AN10">
        <v>20.5</v>
      </c>
      <c r="AO10">
        <v>20.3</v>
      </c>
      <c r="AP10">
        <v>20.3</v>
      </c>
      <c r="AQ10">
        <v>20.399999999999999</v>
      </c>
      <c r="AR10">
        <v>20.2</v>
      </c>
      <c r="AS10">
        <v>18.7</v>
      </c>
    </row>
    <row r="11" spans="1:45" ht="17" x14ac:dyDescent="0.2">
      <c r="A11" s="4"/>
      <c r="B11" s="1" t="s">
        <v>8</v>
      </c>
      <c r="C11" s="1">
        <v>45.6</v>
      </c>
      <c r="D11" s="1">
        <v>46</v>
      </c>
      <c r="E11" s="1">
        <v>46.2</v>
      </c>
      <c r="F11" s="1">
        <v>47</v>
      </c>
      <c r="G11" s="1">
        <v>47.9</v>
      </c>
      <c r="H11">
        <v>47.9</v>
      </c>
      <c r="I11" s="1">
        <v>48.7</v>
      </c>
      <c r="J11">
        <v>50.7</v>
      </c>
      <c r="K11">
        <v>49.1</v>
      </c>
      <c r="L11">
        <v>50.4</v>
      </c>
      <c r="M11">
        <v>50</v>
      </c>
      <c r="N11">
        <v>49.6</v>
      </c>
      <c r="O11">
        <v>49.1</v>
      </c>
      <c r="P11">
        <v>50.1</v>
      </c>
      <c r="Q11">
        <v>49.9</v>
      </c>
      <c r="R11">
        <v>49.8</v>
      </c>
      <c r="S11">
        <v>50.2</v>
      </c>
      <c r="T11">
        <v>51.4</v>
      </c>
      <c r="U11">
        <v>52.5</v>
      </c>
      <c r="V11">
        <v>52.9</v>
      </c>
      <c r="W11">
        <v>53.7</v>
      </c>
      <c r="X11">
        <v>54.8</v>
      </c>
      <c r="Y11">
        <v>52.4</v>
      </c>
      <c r="Z11">
        <v>51.5</v>
      </c>
      <c r="AA11">
        <v>52.2</v>
      </c>
      <c r="AB11">
        <v>53.5</v>
      </c>
      <c r="AC11">
        <v>55.1</v>
      </c>
      <c r="AD11">
        <v>55.7</v>
      </c>
      <c r="AE11">
        <v>55.9</v>
      </c>
      <c r="AF11">
        <v>54</v>
      </c>
      <c r="AG11">
        <v>52.3</v>
      </c>
      <c r="AH11">
        <v>53.5</v>
      </c>
      <c r="AI11">
        <v>53.5</v>
      </c>
      <c r="AJ11">
        <v>55.6</v>
      </c>
      <c r="AK11">
        <v>54.2</v>
      </c>
      <c r="AL11">
        <v>55.4</v>
      </c>
      <c r="AM11">
        <v>55.1</v>
      </c>
      <c r="AN11">
        <v>54.5</v>
      </c>
      <c r="AO11">
        <v>55.2</v>
      </c>
      <c r="AP11">
        <v>55.3</v>
      </c>
      <c r="AQ11">
        <v>54.5</v>
      </c>
      <c r="AR11">
        <v>55.7</v>
      </c>
      <c r="AS11">
        <v>58.8</v>
      </c>
    </row>
    <row r="12" spans="1:45" x14ac:dyDescent="0.2">
      <c r="A12" s="4"/>
      <c r="B12" s="1"/>
      <c r="C12" s="1"/>
      <c r="D12" s="1"/>
      <c r="E12" s="1"/>
      <c r="F12" s="1"/>
      <c r="G12" s="1"/>
      <c r="I12" s="1"/>
    </row>
    <row r="13" spans="1:45" x14ac:dyDescent="0.2">
      <c r="A13" s="4"/>
      <c r="B13" s="1"/>
      <c r="C13" s="1"/>
      <c r="D13" s="1"/>
      <c r="E13" s="1"/>
      <c r="F13" s="1"/>
      <c r="G13" s="1"/>
      <c r="I13" s="1"/>
    </row>
    <row r="14" spans="1:45" x14ac:dyDescent="0.2">
      <c r="A14" s="4"/>
      <c r="B14" s="1"/>
      <c r="C14" s="1"/>
      <c r="D14" s="1"/>
      <c r="E14" s="1"/>
      <c r="F14" s="1"/>
      <c r="G14" s="1"/>
      <c r="I14" s="1"/>
    </row>
    <row r="15" spans="1:4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 spans="1:45" ht="22" x14ac:dyDescent="0.2">
      <c r="A16" s="2" t="s">
        <v>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x14ac:dyDescent="0.2">
      <c r="A17" s="3" t="s">
        <v>10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17" x14ac:dyDescent="0.2">
      <c r="A18" s="1" t="s">
        <v>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 spans="1:45" ht="17" x14ac:dyDescent="0.2">
      <c r="A19" s="1"/>
      <c r="B19" s="1" t="s">
        <v>59</v>
      </c>
      <c r="C19" s="1">
        <v>1979</v>
      </c>
      <c r="D19" s="1">
        <v>1980</v>
      </c>
      <c r="E19" s="1">
        <v>1981</v>
      </c>
      <c r="F19" s="1">
        <v>1982</v>
      </c>
      <c r="G19" s="1">
        <v>1983</v>
      </c>
      <c r="H19" s="1">
        <v>1984</v>
      </c>
      <c r="I19" s="1">
        <v>1985</v>
      </c>
      <c r="J19" s="1">
        <v>1986</v>
      </c>
      <c r="K19" s="1">
        <v>1987</v>
      </c>
      <c r="L19" s="1">
        <v>1988</v>
      </c>
      <c r="M19" s="1">
        <v>1989</v>
      </c>
      <c r="N19" s="1">
        <v>1990</v>
      </c>
      <c r="O19" s="1">
        <v>1991</v>
      </c>
      <c r="P19" s="1">
        <v>1992</v>
      </c>
      <c r="Q19" s="1">
        <v>1993</v>
      </c>
      <c r="R19" s="1">
        <v>1994</v>
      </c>
      <c r="S19" s="1">
        <v>1995</v>
      </c>
      <c r="T19" s="1">
        <v>1996</v>
      </c>
      <c r="U19" s="1">
        <v>1997</v>
      </c>
      <c r="V19" s="1">
        <v>1998</v>
      </c>
      <c r="W19" s="1">
        <v>1999</v>
      </c>
      <c r="X19" s="1">
        <v>2000</v>
      </c>
      <c r="Y19" s="1">
        <v>2001</v>
      </c>
      <c r="Z19" s="1">
        <v>2002</v>
      </c>
      <c r="AA19" s="1">
        <v>2003</v>
      </c>
      <c r="AB19" s="1">
        <v>2004</v>
      </c>
      <c r="AC19" s="1">
        <v>2005</v>
      </c>
      <c r="AD19" s="1">
        <v>2006</v>
      </c>
      <c r="AE19" s="1">
        <v>2007</v>
      </c>
      <c r="AF19" s="1">
        <v>2008</v>
      </c>
      <c r="AG19" s="1">
        <v>2009</v>
      </c>
      <c r="AH19" s="1">
        <v>2010</v>
      </c>
      <c r="AI19" s="1">
        <v>2011</v>
      </c>
      <c r="AJ19" s="1">
        <v>2012</v>
      </c>
      <c r="AK19" s="1">
        <v>2013</v>
      </c>
      <c r="AL19" s="1">
        <v>2014</v>
      </c>
      <c r="AM19" s="1">
        <v>2015</v>
      </c>
      <c r="AN19" s="1">
        <v>2016</v>
      </c>
      <c r="AO19" s="1">
        <v>2017</v>
      </c>
      <c r="AP19" s="1">
        <v>2018</v>
      </c>
      <c r="AQ19" s="1">
        <v>2019</v>
      </c>
      <c r="AR19" s="1">
        <v>2020</v>
      </c>
      <c r="AS19" s="1">
        <v>2021</v>
      </c>
    </row>
    <row r="20" spans="1:45" ht="17" x14ac:dyDescent="0.2">
      <c r="A20" s="1" t="s">
        <v>3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 spans="1:45" ht="17" x14ac:dyDescent="0.2">
      <c r="A21" s="1"/>
      <c r="B21" s="1" t="s">
        <v>4</v>
      </c>
      <c r="C21" s="1">
        <v>5.6</v>
      </c>
      <c r="D21" s="1">
        <v>5.5</v>
      </c>
      <c r="E21" s="1">
        <v>5.3</v>
      </c>
      <c r="F21" s="1">
        <v>5</v>
      </c>
      <c r="G21" s="1">
        <v>4.5999999999999996</v>
      </c>
      <c r="H21" s="1">
        <v>4.8</v>
      </c>
      <c r="I21" s="1">
        <v>4.5999999999999996</v>
      </c>
      <c r="J21" s="1">
        <v>4.3</v>
      </c>
      <c r="K21" s="1">
        <v>4.0999999999999996</v>
      </c>
      <c r="L21" s="1">
        <v>4.0999999999999996</v>
      </c>
      <c r="M21" s="1">
        <v>4.3</v>
      </c>
      <c r="N21" s="1">
        <v>4.5</v>
      </c>
      <c r="O21" s="1">
        <v>4.7</v>
      </c>
      <c r="P21" s="1">
        <v>4.5999999999999996</v>
      </c>
      <c r="Q21" s="1">
        <v>4.5999999999999996</v>
      </c>
      <c r="R21" s="1">
        <v>4.5999999999999996</v>
      </c>
      <c r="S21" s="1">
        <v>4.8</v>
      </c>
      <c r="T21" s="1">
        <v>4.5999999999999996</v>
      </c>
      <c r="U21" s="1">
        <v>4.7</v>
      </c>
      <c r="V21" s="1">
        <v>4.7</v>
      </c>
      <c r="W21" s="1">
        <v>4.7</v>
      </c>
      <c r="X21" s="1">
        <v>4.5</v>
      </c>
      <c r="Y21" s="1">
        <v>4.7</v>
      </c>
      <c r="Z21" s="1">
        <v>4.9000000000000004</v>
      </c>
      <c r="AA21" s="1">
        <v>4.8</v>
      </c>
      <c r="AB21" s="1">
        <v>4.7</v>
      </c>
      <c r="AC21" s="1">
        <v>4.5999999999999996</v>
      </c>
      <c r="AD21" s="1">
        <v>4.4000000000000004</v>
      </c>
      <c r="AE21" s="1">
        <v>4.5999999999999996</v>
      </c>
      <c r="AF21" s="1">
        <v>4.9000000000000004</v>
      </c>
      <c r="AG21" s="1">
        <v>5</v>
      </c>
      <c r="AH21" s="1">
        <v>5</v>
      </c>
      <c r="AI21" s="1">
        <v>5.0999999999999996</v>
      </c>
      <c r="AJ21" s="1">
        <v>4.5999999999999996</v>
      </c>
      <c r="AK21" s="1">
        <v>4.9000000000000004</v>
      </c>
      <c r="AL21" s="1">
        <v>4.7</v>
      </c>
      <c r="AM21" s="1">
        <v>4.9000000000000004</v>
      </c>
      <c r="AN21" s="1">
        <v>5</v>
      </c>
      <c r="AO21" s="1">
        <v>4.8</v>
      </c>
      <c r="AP21" s="1">
        <v>4.9000000000000004</v>
      </c>
      <c r="AQ21" s="1">
        <v>5.0999999999999996</v>
      </c>
      <c r="AR21" s="1">
        <v>4.9000000000000004</v>
      </c>
      <c r="AS21" s="1">
        <v>4.8</v>
      </c>
    </row>
    <row r="22" spans="1:45" ht="17" x14ac:dyDescent="0.2">
      <c r="A22" s="1"/>
      <c r="B22" s="1" t="s">
        <v>5</v>
      </c>
      <c r="C22" s="1">
        <v>10.9</v>
      </c>
      <c r="D22" s="1">
        <v>10.8</v>
      </c>
      <c r="E22" s="1">
        <v>10.7</v>
      </c>
      <c r="F22" s="1">
        <v>10.4</v>
      </c>
      <c r="G22" s="1">
        <v>10</v>
      </c>
      <c r="H22" s="1">
        <v>10.1</v>
      </c>
      <c r="I22" s="1">
        <v>9.9</v>
      </c>
      <c r="J22" s="1">
        <v>9.4</v>
      </c>
      <c r="K22" s="1">
        <v>9.8000000000000007</v>
      </c>
      <c r="L22" s="1">
        <v>9.6</v>
      </c>
      <c r="M22" s="1">
        <v>9.6</v>
      </c>
      <c r="N22" s="1">
        <v>9.8000000000000007</v>
      </c>
      <c r="O22" s="1">
        <v>9.8000000000000007</v>
      </c>
      <c r="P22" s="1">
        <v>9.6</v>
      </c>
      <c r="Q22" s="1">
        <v>9.6</v>
      </c>
      <c r="R22" s="1">
        <v>9.6999999999999993</v>
      </c>
      <c r="S22" s="1">
        <v>9.6999999999999993</v>
      </c>
      <c r="T22" s="1">
        <v>9.3000000000000007</v>
      </c>
      <c r="U22" s="1">
        <v>9</v>
      </c>
      <c r="V22" s="1">
        <v>9</v>
      </c>
      <c r="W22" s="1">
        <v>8.8000000000000007</v>
      </c>
      <c r="X22" s="1">
        <v>8.6</v>
      </c>
      <c r="Y22" s="1">
        <v>9</v>
      </c>
      <c r="Z22" s="1">
        <v>9.3000000000000007</v>
      </c>
      <c r="AA22" s="1">
        <v>9.1999999999999993</v>
      </c>
      <c r="AB22" s="1">
        <v>8.9</v>
      </c>
      <c r="AC22" s="1">
        <v>8.5</v>
      </c>
      <c r="AD22" s="1">
        <v>8.4</v>
      </c>
      <c r="AE22" s="1">
        <v>8.4</v>
      </c>
      <c r="AF22" s="1">
        <v>8.8000000000000007</v>
      </c>
      <c r="AG22" s="1">
        <v>9.1999999999999993</v>
      </c>
      <c r="AH22" s="1">
        <v>8.9</v>
      </c>
      <c r="AI22" s="1">
        <v>8.9</v>
      </c>
      <c r="AJ22" s="1">
        <v>8.4</v>
      </c>
      <c r="AK22" s="1">
        <v>8.6</v>
      </c>
      <c r="AL22" s="1">
        <v>8.5</v>
      </c>
      <c r="AM22" s="1">
        <v>8.6</v>
      </c>
      <c r="AN22" s="1">
        <v>8.8000000000000007</v>
      </c>
      <c r="AO22" s="1">
        <v>8.6999999999999993</v>
      </c>
      <c r="AP22" s="1">
        <v>8.5</v>
      </c>
      <c r="AQ22" s="1">
        <v>8.9</v>
      </c>
      <c r="AR22" s="1">
        <v>8.6999999999999993</v>
      </c>
      <c r="AS22" s="1">
        <v>7.9</v>
      </c>
    </row>
    <row r="23" spans="1:45" ht="17" x14ac:dyDescent="0.2">
      <c r="A23" s="1"/>
      <c r="B23" s="1" t="s">
        <v>6</v>
      </c>
      <c r="C23" s="1">
        <v>16.100000000000001</v>
      </c>
      <c r="D23" s="1">
        <v>15.9</v>
      </c>
      <c r="E23" s="1">
        <v>16</v>
      </c>
      <c r="F23" s="1">
        <v>15.8</v>
      </c>
      <c r="G23" s="1">
        <v>15.6</v>
      </c>
      <c r="H23" s="1">
        <v>15.5</v>
      </c>
      <c r="I23" s="1">
        <v>15.3</v>
      </c>
      <c r="J23" s="1">
        <v>14.8</v>
      </c>
      <c r="K23" s="1">
        <v>15.4</v>
      </c>
      <c r="L23" s="1">
        <v>15</v>
      </c>
      <c r="M23" s="1">
        <v>15.1</v>
      </c>
      <c r="N23" s="1">
        <v>15.1</v>
      </c>
      <c r="O23" s="1">
        <v>15.3</v>
      </c>
      <c r="P23" s="1">
        <v>15</v>
      </c>
      <c r="Q23" s="1">
        <v>15</v>
      </c>
      <c r="R23" s="1">
        <v>15</v>
      </c>
      <c r="S23" s="1">
        <v>14.7</v>
      </c>
      <c r="T23" s="1">
        <v>14.4</v>
      </c>
      <c r="U23" s="1">
        <v>14</v>
      </c>
      <c r="V23" s="1">
        <v>13.8</v>
      </c>
      <c r="W23" s="1">
        <v>13.6</v>
      </c>
      <c r="X23" s="1">
        <v>13.3</v>
      </c>
      <c r="Y23" s="1">
        <v>13.9</v>
      </c>
      <c r="Z23" s="1">
        <v>14.2</v>
      </c>
      <c r="AA23" s="1">
        <v>14</v>
      </c>
      <c r="AB23" s="1">
        <v>13.5</v>
      </c>
      <c r="AC23" s="1">
        <v>13.1</v>
      </c>
      <c r="AD23" s="1">
        <v>13</v>
      </c>
      <c r="AE23" s="1">
        <v>13</v>
      </c>
      <c r="AF23" s="1">
        <v>13.6</v>
      </c>
      <c r="AG23" s="1">
        <v>14.2</v>
      </c>
      <c r="AH23" s="1">
        <v>13.7</v>
      </c>
      <c r="AI23" s="1">
        <v>13.6</v>
      </c>
      <c r="AJ23" s="1">
        <v>13</v>
      </c>
      <c r="AK23" s="1">
        <v>13.4</v>
      </c>
      <c r="AL23" s="1">
        <v>13</v>
      </c>
      <c r="AM23" s="1">
        <v>13.1</v>
      </c>
      <c r="AN23" s="1">
        <v>13.2</v>
      </c>
      <c r="AO23" s="1">
        <v>13.1</v>
      </c>
      <c r="AP23" s="1">
        <v>13</v>
      </c>
      <c r="AQ23" s="1">
        <v>13.2</v>
      </c>
      <c r="AR23" s="1">
        <v>13.2</v>
      </c>
      <c r="AS23" s="1">
        <v>11.9</v>
      </c>
    </row>
    <row r="24" spans="1:45" ht="17" x14ac:dyDescent="0.2">
      <c r="A24" s="1"/>
      <c r="B24" s="1" t="s">
        <v>7</v>
      </c>
      <c r="C24" s="1">
        <v>22.5</v>
      </c>
      <c r="D24" s="1">
        <v>22.5</v>
      </c>
      <c r="E24" s="1">
        <v>22.6</v>
      </c>
      <c r="F24" s="1">
        <v>22.7</v>
      </c>
      <c r="G24" s="1">
        <v>22.6</v>
      </c>
      <c r="H24" s="1">
        <v>22.5</v>
      </c>
      <c r="I24" s="1">
        <v>22.2</v>
      </c>
      <c r="J24" s="1">
        <v>21.5</v>
      </c>
      <c r="K24" s="1">
        <v>22.5</v>
      </c>
      <c r="L24" s="1">
        <v>22</v>
      </c>
      <c r="M24" s="1">
        <v>22</v>
      </c>
      <c r="N24" s="1">
        <v>22.1</v>
      </c>
      <c r="O24" s="1">
        <v>22.2</v>
      </c>
      <c r="P24" s="1">
        <v>21.8</v>
      </c>
      <c r="Q24" s="1">
        <v>22</v>
      </c>
      <c r="R24" s="1">
        <v>22</v>
      </c>
      <c r="S24" s="1">
        <v>21.6</v>
      </c>
      <c r="T24" s="1">
        <v>21.1</v>
      </c>
      <c r="U24" s="1">
        <v>20.6</v>
      </c>
      <c r="V24" s="1">
        <v>20.3</v>
      </c>
      <c r="W24" s="1">
        <v>19.899999999999999</v>
      </c>
      <c r="X24" s="1">
        <v>19.600000000000001</v>
      </c>
      <c r="Y24" s="1">
        <v>20.9</v>
      </c>
      <c r="Z24" s="1">
        <v>21.2</v>
      </c>
      <c r="AA24" s="1">
        <v>20.9</v>
      </c>
      <c r="AB24" s="1">
        <v>20.3</v>
      </c>
      <c r="AC24" s="1">
        <v>19.7</v>
      </c>
      <c r="AD24" s="1">
        <v>19.5</v>
      </c>
      <c r="AE24" s="1">
        <v>19.100000000000001</v>
      </c>
      <c r="AF24" s="1">
        <v>20.100000000000001</v>
      </c>
      <c r="AG24" s="1">
        <v>21.1</v>
      </c>
      <c r="AH24" s="1">
        <v>20.6</v>
      </c>
      <c r="AI24" s="1">
        <v>20.5</v>
      </c>
      <c r="AJ24" s="1">
        <v>19.8</v>
      </c>
      <c r="AK24" s="1">
        <v>20.399999999999999</v>
      </c>
      <c r="AL24" s="1">
        <v>19.899999999999999</v>
      </c>
      <c r="AM24" s="1">
        <v>19.8</v>
      </c>
      <c r="AN24" s="1">
        <v>20</v>
      </c>
      <c r="AO24" s="1">
        <v>19.899999999999999</v>
      </c>
      <c r="AP24" s="1">
        <v>19.8</v>
      </c>
      <c r="AQ24" s="1">
        <v>19.899999999999999</v>
      </c>
      <c r="AR24" s="1">
        <v>19.600000000000001</v>
      </c>
      <c r="AS24" s="1">
        <v>18</v>
      </c>
    </row>
    <row r="25" spans="1:45" ht="17" x14ac:dyDescent="0.2">
      <c r="A25" s="1"/>
      <c r="B25" s="1" t="s">
        <v>8</v>
      </c>
      <c r="C25" s="1">
        <v>45.3</v>
      </c>
      <c r="D25" s="1">
        <v>45.7</v>
      </c>
      <c r="E25" s="1">
        <v>45.9</v>
      </c>
      <c r="F25" s="1">
        <v>46.7</v>
      </c>
      <c r="G25" s="1">
        <v>47.7</v>
      </c>
      <c r="H25" s="1">
        <v>47.7</v>
      </c>
      <c r="I25" s="1">
        <v>48.6</v>
      </c>
      <c r="J25" s="1">
        <v>50.6</v>
      </c>
      <c r="K25" s="1">
        <v>48.9</v>
      </c>
      <c r="L25" s="1">
        <v>50.2</v>
      </c>
      <c r="M25" s="1">
        <v>49.8</v>
      </c>
      <c r="N25" s="1">
        <v>49.4</v>
      </c>
      <c r="O25" s="1">
        <v>48.8</v>
      </c>
      <c r="P25" s="1">
        <v>49.8</v>
      </c>
      <c r="Q25" s="1">
        <v>49.6</v>
      </c>
      <c r="R25" s="1">
        <v>49.5</v>
      </c>
      <c r="S25" s="1">
        <v>50</v>
      </c>
      <c r="T25" s="1">
        <v>51.2</v>
      </c>
      <c r="U25" s="1">
        <v>52.3</v>
      </c>
      <c r="V25" s="1">
        <v>52.7</v>
      </c>
      <c r="W25" s="1">
        <v>53.5</v>
      </c>
      <c r="X25" s="1">
        <v>54.6</v>
      </c>
      <c r="Y25" s="1">
        <v>52.2</v>
      </c>
      <c r="Z25" s="1">
        <v>51.2</v>
      </c>
      <c r="AA25" s="1">
        <v>51.9</v>
      </c>
      <c r="AB25" s="1">
        <v>53.3</v>
      </c>
      <c r="AC25" s="1">
        <v>54.8</v>
      </c>
      <c r="AD25" s="1">
        <v>55.4</v>
      </c>
      <c r="AE25" s="1">
        <v>55.6</v>
      </c>
      <c r="AF25" s="1">
        <v>53.7</v>
      </c>
      <c r="AG25" s="1">
        <v>52</v>
      </c>
      <c r="AH25" s="1">
        <v>53.2</v>
      </c>
      <c r="AI25" s="1">
        <v>53.3</v>
      </c>
      <c r="AJ25" s="1">
        <v>55.4</v>
      </c>
      <c r="AK25" s="1">
        <v>54</v>
      </c>
      <c r="AL25" s="1">
        <v>55.1</v>
      </c>
      <c r="AM25" s="1">
        <v>54.8</v>
      </c>
      <c r="AN25" s="1">
        <v>54.1</v>
      </c>
      <c r="AO25" s="1">
        <v>54.9</v>
      </c>
      <c r="AP25" s="1">
        <v>55.1</v>
      </c>
      <c r="AQ25" s="1">
        <v>54.2</v>
      </c>
      <c r="AR25" s="1">
        <v>55.1</v>
      </c>
      <c r="AS25" s="1">
        <v>58.3</v>
      </c>
    </row>
    <row r="26" spans="1:45" x14ac:dyDescent="0.2">
      <c r="A26" s="4"/>
      <c r="B26" s="1"/>
      <c r="C26" s="1"/>
      <c r="D26" s="1"/>
      <c r="E26" s="1"/>
      <c r="F26" s="1"/>
      <c r="G26" s="1"/>
      <c r="I26" s="1"/>
    </row>
    <row r="27" spans="1:45" x14ac:dyDescent="0.2">
      <c r="A27" s="4"/>
      <c r="B27" s="1"/>
      <c r="C27" s="1"/>
      <c r="D27" s="1"/>
      <c r="E27" s="1"/>
      <c r="F27" s="1"/>
      <c r="G27" s="1"/>
      <c r="I27" s="1"/>
    </row>
    <row r="28" spans="1:45" x14ac:dyDescent="0.2">
      <c r="A28" s="4"/>
      <c r="B28" s="1"/>
      <c r="C28" s="1"/>
      <c r="D28" s="1"/>
      <c r="E28" s="1"/>
      <c r="F28" s="1"/>
      <c r="G28" s="1"/>
      <c r="I28" s="1"/>
    </row>
    <row r="29" spans="1:45" ht="17" x14ac:dyDescent="0.2">
      <c r="A29" s="4" t="s">
        <v>12</v>
      </c>
      <c r="B29" s="1" t="s">
        <v>11</v>
      </c>
      <c r="C29" s="1"/>
      <c r="D29" s="1"/>
      <c r="E29" s="1"/>
      <c r="F29" s="1"/>
      <c r="G29" s="1"/>
      <c r="I29" s="1"/>
    </row>
    <row r="30" spans="1:45" ht="17" x14ac:dyDescent="0.2">
      <c r="A30" s="4" t="s">
        <v>3</v>
      </c>
      <c r="B30" s="1"/>
      <c r="C30" s="1">
        <v>1979</v>
      </c>
      <c r="D30" s="1">
        <v>1980</v>
      </c>
      <c r="E30" s="1">
        <v>1981</v>
      </c>
      <c r="F30" s="1">
        <v>1982</v>
      </c>
      <c r="G30" s="1">
        <v>1983</v>
      </c>
      <c r="H30" s="1">
        <v>1984</v>
      </c>
      <c r="I30" s="1">
        <v>1985</v>
      </c>
      <c r="J30" s="1">
        <v>1986</v>
      </c>
      <c r="K30" s="1">
        <v>1987</v>
      </c>
      <c r="L30" s="1">
        <v>1988</v>
      </c>
      <c r="M30" s="1">
        <v>1989</v>
      </c>
      <c r="N30" s="1">
        <v>1990</v>
      </c>
      <c r="O30" s="1">
        <v>1991</v>
      </c>
      <c r="P30" s="1">
        <v>1992</v>
      </c>
      <c r="Q30" s="1">
        <v>1993</v>
      </c>
      <c r="R30" s="1">
        <v>1994</v>
      </c>
      <c r="S30" s="1">
        <v>1995</v>
      </c>
      <c r="T30" s="1">
        <v>1996</v>
      </c>
      <c r="U30" s="1">
        <v>1997</v>
      </c>
      <c r="V30" s="1">
        <v>1998</v>
      </c>
      <c r="W30" s="1">
        <v>1999</v>
      </c>
      <c r="X30" s="1">
        <v>2000</v>
      </c>
      <c r="Y30" s="1">
        <v>2001</v>
      </c>
      <c r="Z30" s="1">
        <v>2002</v>
      </c>
      <c r="AA30" s="1">
        <v>2003</v>
      </c>
      <c r="AB30" s="1">
        <v>2004</v>
      </c>
      <c r="AC30" s="1">
        <v>2005</v>
      </c>
      <c r="AD30" s="1">
        <v>2006</v>
      </c>
      <c r="AE30" s="1">
        <v>2007</v>
      </c>
      <c r="AF30" s="1">
        <v>2008</v>
      </c>
      <c r="AG30" s="1">
        <v>2009</v>
      </c>
      <c r="AH30" s="1">
        <v>2010</v>
      </c>
      <c r="AI30" s="1">
        <v>2011</v>
      </c>
      <c r="AJ30" s="1">
        <v>2012</v>
      </c>
      <c r="AK30" s="1">
        <v>2013</v>
      </c>
      <c r="AL30" s="1">
        <v>2014</v>
      </c>
      <c r="AM30" s="1">
        <v>2015</v>
      </c>
      <c r="AN30" s="1">
        <v>2016</v>
      </c>
      <c r="AO30" s="1">
        <v>2017</v>
      </c>
      <c r="AP30" s="1">
        <v>2018</v>
      </c>
      <c r="AQ30" s="1">
        <v>2019</v>
      </c>
      <c r="AR30" s="1">
        <v>2020</v>
      </c>
      <c r="AS30" s="1">
        <v>2021</v>
      </c>
    </row>
    <row r="31" spans="1:45" ht="17" x14ac:dyDescent="0.2">
      <c r="A31" s="4"/>
      <c r="B31" s="1" t="s">
        <v>4</v>
      </c>
      <c r="C31" s="7">
        <f>C7/100</f>
        <v>0.05</v>
      </c>
      <c r="D31" s="7">
        <f t="shared" ref="D31:AR31" si="0">D7/100</f>
        <v>4.9000000000000002E-2</v>
      </c>
      <c r="E31" s="7">
        <f t="shared" si="0"/>
        <v>4.7E-2</v>
      </c>
      <c r="F31" s="7">
        <f t="shared" si="0"/>
        <v>4.4000000000000004E-2</v>
      </c>
      <c r="G31" s="7">
        <f t="shared" si="0"/>
        <v>4.0999999999999995E-2</v>
      </c>
      <c r="H31" s="7">
        <f t="shared" si="0"/>
        <v>4.2999999999999997E-2</v>
      </c>
      <c r="I31" s="7">
        <f t="shared" si="0"/>
        <v>4.0999999999999995E-2</v>
      </c>
      <c r="J31" s="7">
        <f t="shared" si="0"/>
        <v>3.9E-2</v>
      </c>
      <c r="K31" s="7">
        <f t="shared" si="0"/>
        <v>3.7000000000000005E-2</v>
      </c>
      <c r="L31" s="7">
        <f t="shared" si="0"/>
        <v>3.7000000000000005E-2</v>
      </c>
      <c r="M31" s="7">
        <f t="shared" si="0"/>
        <v>3.7999999999999999E-2</v>
      </c>
      <c r="N31" s="7">
        <f t="shared" si="0"/>
        <v>3.9E-2</v>
      </c>
      <c r="O31" s="7">
        <f t="shared" si="0"/>
        <v>0.04</v>
      </c>
      <c r="P31" s="7">
        <f t="shared" si="0"/>
        <v>3.7999999999999999E-2</v>
      </c>
      <c r="Q31" s="7">
        <f t="shared" si="0"/>
        <v>3.7999999999999999E-2</v>
      </c>
      <c r="R31" s="7">
        <f t="shared" si="0"/>
        <v>3.7000000000000005E-2</v>
      </c>
      <c r="S31" s="7">
        <f t="shared" si="0"/>
        <v>0.04</v>
      </c>
      <c r="T31" s="7">
        <f t="shared" si="0"/>
        <v>3.7999999999999999E-2</v>
      </c>
      <c r="U31" s="7">
        <f t="shared" si="0"/>
        <v>3.9E-2</v>
      </c>
      <c r="V31" s="7">
        <f t="shared" si="0"/>
        <v>0.04</v>
      </c>
      <c r="W31" s="7">
        <f t="shared" si="0"/>
        <v>0.04</v>
      </c>
      <c r="X31" s="7">
        <f t="shared" si="0"/>
        <v>3.7999999999999999E-2</v>
      </c>
      <c r="Y31" s="7">
        <f t="shared" si="0"/>
        <v>3.9E-2</v>
      </c>
      <c r="Z31" s="7">
        <f t="shared" si="0"/>
        <v>0.04</v>
      </c>
      <c r="AA31" s="7">
        <f>AA7/100</f>
        <v>3.9E-2</v>
      </c>
      <c r="AB31" s="7">
        <f t="shared" si="0"/>
        <v>3.7999999999999999E-2</v>
      </c>
      <c r="AC31" s="7">
        <f t="shared" si="0"/>
        <v>3.7000000000000005E-2</v>
      </c>
      <c r="AD31" s="7">
        <f t="shared" si="0"/>
        <v>3.6000000000000004E-2</v>
      </c>
      <c r="AE31" s="7">
        <f t="shared" si="0"/>
        <v>3.9E-2</v>
      </c>
      <c r="AF31" s="7">
        <f t="shared" si="0"/>
        <v>0.04</v>
      </c>
      <c r="AG31" s="7">
        <f t="shared" si="0"/>
        <v>0.04</v>
      </c>
      <c r="AH31" s="7">
        <f t="shared" si="0"/>
        <v>3.7999999999999999E-2</v>
      </c>
      <c r="AI31" s="7">
        <f t="shared" si="0"/>
        <v>3.9E-2</v>
      </c>
      <c r="AJ31" s="7">
        <f t="shared" si="0"/>
        <v>3.6000000000000004E-2</v>
      </c>
      <c r="AK31" s="7">
        <f t="shared" si="0"/>
        <v>3.7999999999999999E-2</v>
      </c>
      <c r="AL31" s="7">
        <f t="shared" si="0"/>
        <v>3.6000000000000004E-2</v>
      </c>
      <c r="AM31" s="7">
        <f t="shared" si="0"/>
        <v>3.7000000000000005E-2</v>
      </c>
      <c r="AN31" s="7">
        <f t="shared" si="0"/>
        <v>3.9E-2</v>
      </c>
      <c r="AO31" s="7">
        <f t="shared" si="0"/>
        <v>3.7000000000000005E-2</v>
      </c>
      <c r="AP31" s="7">
        <f>AP7/100</f>
        <v>3.7999999999999999E-2</v>
      </c>
      <c r="AQ31" s="7">
        <f t="shared" si="0"/>
        <v>0.04</v>
      </c>
      <c r="AR31" s="7">
        <f t="shared" si="0"/>
        <v>3.6000000000000004E-2</v>
      </c>
      <c r="AS31" s="7">
        <f>AS7/100</f>
        <v>3.3000000000000002E-2</v>
      </c>
    </row>
    <row r="32" spans="1:45" ht="17" x14ac:dyDescent="0.2">
      <c r="A32" s="4"/>
      <c r="B32" s="1" t="s">
        <v>5</v>
      </c>
      <c r="C32" s="7">
        <f t="shared" ref="C32:AR32" si="1">C8/100</f>
        <v>0.11199999999999999</v>
      </c>
      <c r="D32" s="7">
        <f t="shared" si="1"/>
        <v>0.11</v>
      </c>
      <c r="E32" s="7">
        <f t="shared" si="1"/>
        <v>0.109</v>
      </c>
      <c r="F32" s="7">
        <f t="shared" si="1"/>
        <v>0.107</v>
      </c>
      <c r="G32" s="7">
        <f t="shared" si="1"/>
        <v>0.10400000000000001</v>
      </c>
      <c r="H32" s="7">
        <f t="shared" si="1"/>
        <v>0.10400000000000001</v>
      </c>
      <c r="I32" s="7">
        <f t="shared" si="1"/>
        <v>0.10199999999999999</v>
      </c>
      <c r="J32" s="7">
        <f t="shared" si="1"/>
        <v>9.6999999999999989E-2</v>
      </c>
      <c r="K32" s="7">
        <f t="shared" si="1"/>
        <v>0.1</v>
      </c>
      <c r="L32" s="7">
        <f t="shared" si="1"/>
        <v>9.8000000000000004E-2</v>
      </c>
      <c r="M32" s="7">
        <f t="shared" si="1"/>
        <v>9.9000000000000005E-2</v>
      </c>
      <c r="N32" s="7">
        <f t="shared" si="1"/>
        <v>0.10099999999999999</v>
      </c>
      <c r="O32" s="7">
        <f t="shared" si="1"/>
        <v>0.10099999999999999</v>
      </c>
      <c r="P32" s="7">
        <f t="shared" si="1"/>
        <v>9.9000000000000005E-2</v>
      </c>
      <c r="Q32" s="7">
        <f t="shared" si="1"/>
        <v>0.1</v>
      </c>
      <c r="R32" s="7">
        <f t="shared" si="1"/>
        <v>0.1</v>
      </c>
      <c r="S32" s="7">
        <f t="shared" si="1"/>
        <v>9.9000000000000005E-2</v>
      </c>
      <c r="T32" s="7">
        <f t="shared" si="1"/>
        <v>9.6000000000000002E-2</v>
      </c>
      <c r="U32" s="7">
        <f t="shared" si="1"/>
        <v>9.3000000000000013E-2</v>
      </c>
      <c r="V32" s="7">
        <f t="shared" si="1"/>
        <v>9.1999999999999998E-2</v>
      </c>
      <c r="W32" s="7">
        <f t="shared" si="1"/>
        <v>0.09</v>
      </c>
      <c r="X32" s="7">
        <f t="shared" si="1"/>
        <v>8.6999999999999994E-2</v>
      </c>
      <c r="Y32" s="7">
        <f t="shared" si="1"/>
        <v>9.0999999999999998E-2</v>
      </c>
      <c r="Z32" s="7">
        <f t="shared" si="1"/>
        <v>9.4E-2</v>
      </c>
      <c r="AA32" s="7">
        <f t="shared" si="1"/>
        <v>9.1999999999999998E-2</v>
      </c>
      <c r="AB32" s="7">
        <f t="shared" si="1"/>
        <v>8.900000000000001E-2</v>
      </c>
      <c r="AC32" s="7">
        <f t="shared" si="1"/>
        <v>8.5000000000000006E-2</v>
      </c>
      <c r="AD32" s="7">
        <f t="shared" si="1"/>
        <v>8.4000000000000005E-2</v>
      </c>
      <c r="AE32" s="7">
        <f t="shared" si="1"/>
        <v>8.5000000000000006E-2</v>
      </c>
      <c r="AF32" s="7">
        <f t="shared" si="1"/>
        <v>8.900000000000001E-2</v>
      </c>
      <c r="AG32" s="7">
        <f t="shared" si="1"/>
        <v>9.3000000000000013E-2</v>
      </c>
      <c r="AH32" s="7">
        <f t="shared" si="1"/>
        <v>0.09</v>
      </c>
      <c r="AI32" s="7">
        <f t="shared" si="1"/>
        <v>0.09</v>
      </c>
      <c r="AJ32" s="7">
        <f t="shared" si="1"/>
        <v>8.4000000000000005E-2</v>
      </c>
      <c r="AK32" s="7">
        <f t="shared" si="1"/>
        <v>8.6999999999999994E-2</v>
      </c>
      <c r="AL32" s="7">
        <f t="shared" si="1"/>
        <v>8.5000000000000006E-2</v>
      </c>
      <c r="AM32" s="7">
        <f t="shared" si="1"/>
        <v>8.5999999999999993E-2</v>
      </c>
      <c r="AN32" s="7">
        <f t="shared" si="1"/>
        <v>8.8000000000000009E-2</v>
      </c>
      <c r="AO32" s="7">
        <f t="shared" si="1"/>
        <v>8.5999999999999993E-2</v>
      </c>
      <c r="AP32" s="7">
        <f t="shared" si="1"/>
        <v>8.5000000000000006E-2</v>
      </c>
      <c r="AQ32" s="7">
        <f t="shared" si="1"/>
        <v>8.8000000000000009E-2</v>
      </c>
      <c r="AR32" s="7">
        <f t="shared" si="1"/>
        <v>8.5000000000000006E-2</v>
      </c>
      <c r="AS32" s="7">
        <f>AS8/100</f>
        <v>7.8E-2</v>
      </c>
    </row>
    <row r="33" spans="1:45" ht="17" x14ac:dyDescent="0.2">
      <c r="A33" s="4"/>
      <c r="B33" s="1" t="s">
        <v>6</v>
      </c>
      <c r="C33" s="7">
        <f t="shared" ref="C33:AR33" si="2">C9/100</f>
        <v>0.16</v>
      </c>
      <c r="D33" s="7">
        <f t="shared" si="2"/>
        <v>0.16</v>
      </c>
      <c r="E33" s="7">
        <f t="shared" si="2"/>
        <v>0.161</v>
      </c>
      <c r="F33" s="7">
        <f t="shared" si="2"/>
        <v>0.159</v>
      </c>
      <c r="G33" s="7">
        <f t="shared" si="2"/>
        <v>0.157</v>
      </c>
      <c r="H33" s="7">
        <f t="shared" si="2"/>
        <v>0.156</v>
      </c>
      <c r="I33" s="7">
        <f t="shared" si="2"/>
        <v>0.154</v>
      </c>
      <c r="J33" s="7">
        <f t="shared" si="2"/>
        <v>0.14899999999999999</v>
      </c>
      <c r="K33" s="7">
        <f t="shared" si="2"/>
        <v>0.156</v>
      </c>
      <c r="L33" s="7">
        <f t="shared" si="2"/>
        <v>0.151</v>
      </c>
      <c r="M33" s="7">
        <f t="shared" si="2"/>
        <v>0.152</v>
      </c>
      <c r="N33" s="7">
        <f t="shared" si="2"/>
        <v>0.152</v>
      </c>
      <c r="O33" s="7">
        <f t="shared" si="2"/>
        <v>0.156</v>
      </c>
      <c r="P33" s="7">
        <f t="shared" si="2"/>
        <v>0.153</v>
      </c>
      <c r="Q33" s="7">
        <f t="shared" si="2"/>
        <v>0.153</v>
      </c>
      <c r="R33" s="7">
        <f t="shared" si="2"/>
        <v>0.154</v>
      </c>
      <c r="S33" s="7">
        <f t="shared" si="2"/>
        <v>0.151</v>
      </c>
      <c r="T33" s="7">
        <f t="shared" si="2"/>
        <v>0.14800000000000002</v>
      </c>
      <c r="U33" s="7">
        <f t="shared" si="2"/>
        <v>0.14400000000000002</v>
      </c>
      <c r="V33" s="7">
        <f t="shared" si="2"/>
        <v>0.14199999999999999</v>
      </c>
      <c r="W33" s="7">
        <f t="shared" si="2"/>
        <v>0.14000000000000001</v>
      </c>
      <c r="X33" s="7">
        <f t="shared" si="2"/>
        <v>0.13600000000000001</v>
      </c>
      <c r="Y33" s="7">
        <f t="shared" si="2"/>
        <v>0.14300000000000002</v>
      </c>
      <c r="Z33" s="7">
        <f t="shared" si="2"/>
        <v>0.14599999999999999</v>
      </c>
      <c r="AA33" s="7">
        <f t="shared" si="2"/>
        <v>0.14400000000000002</v>
      </c>
      <c r="AB33" s="7">
        <f t="shared" si="2"/>
        <v>0.13900000000000001</v>
      </c>
      <c r="AC33" s="7">
        <f t="shared" si="2"/>
        <v>0.13500000000000001</v>
      </c>
      <c r="AD33" s="7">
        <f t="shared" si="2"/>
        <v>0.13300000000000001</v>
      </c>
      <c r="AE33" s="7">
        <f t="shared" si="2"/>
        <v>0.13300000000000001</v>
      </c>
      <c r="AF33" s="7">
        <f t="shared" si="2"/>
        <v>0.13900000000000001</v>
      </c>
      <c r="AG33" s="7">
        <f t="shared" si="2"/>
        <v>0.14599999999999999</v>
      </c>
      <c r="AH33" s="7">
        <f t="shared" si="2"/>
        <v>0.14199999999999999</v>
      </c>
      <c r="AI33" s="7">
        <f t="shared" si="2"/>
        <v>0.14000000000000001</v>
      </c>
      <c r="AJ33" s="7">
        <f t="shared" si="2"/>
        <v>0.13500000000000001</v>
      </c>
      <c r="AK33" s="7">
        <f t="shared" si="2"/>
        <v>0.13900000000000001</v>
      </c>
      <c r="AL33" s="7">
        <f t="shared" si="2"/>
        <v>0.13500000000000001</v>
      </c>
      <c r="AM33" s="7">
        <f t="shared" si="2"/>
        <v>0.13600000000000001</v>
      </c>
      <c r="AN33" s="7">
        <f t="shared" si="2"/>
        <v>0.13699999999999998</v>
      </c>
      <c r="AO33" s="7">
        <f t="shared" si="2"/>
        <v>0.13500000000000001</v>
      </c>
      <c r="AP33" s="7">
        <f t="shared" si="2"/>
        <v>0.13400000000000001</v>
      </c>
      <c r="AQ33" s="7">
        <f t="shared" si="2"/>
        <v>0.13699999999999998</v>
      </c>
      <c r="AR33" s="7">
        <f t="shared" si="2"/>
        <v>0.13500000000000001</v>
      </c>
      <c r="AS33" s="7">
        <f>AS9/100</f>
        <v>0.12300000000000001</v>
      </c>
    </row>
    <row r="34" spans="1:45" ht="17" x14ac:dyDescent="0.2">
      <c r="A34" s="4"/>
      <c r="B34" s="1" t="s">
        <v>7</v>
      </c>
      <c r="C34" s="7">
        <f t="shared" ref="C34:AR34" si="3">C10/100</f>
        <v>0.22399999999999998</v>
      </c>
      <c r="D34" s="7">
        <f t="shared" si="3"/>
        <v>0.22399999999999998</v>
      </c>
      <c r="E34" s="7">
        <f t="shared" si="3"/>
        <v>0.22500000000000001</v>
      </c>
      <c r="F34" s="7">
        <f t="shared" si="3"/>
        <v>0.22500000000000001</v>
      </c>
      <c r="G34" s="7">
        <f t="shared" si="3"/>
        <v>0.22500000000000001</v>
      </c>
      <c r="H34" s="7">
        <f t="shared" si="3"/>
        <v>0.22399999999999998</v>
      </c>
      <c r="I34" s="7">
        <f t="shared" si="3"/>
        <v>0.221</v>
      </c>
      <c r="J34" s="7">
        <f t="shared" si="3"/>
        <v>0.214</v>
      </c>
      <c r="K34" s="7">
        <f t="shared" si="3"/>
        <v>0.22399999999999998</v>
      </c>
      <c r="L34" s="7">
        <f t="shared" si="3"/>
        <v>0.218</v>
      </c>
      <c r="M34" s="7">
        <f t="shared" si="3"/>
        <v>0.21899999999999997</v>
      </c>
      <c r="N34" s="7">
        <f t="shared" si="3"/>
        <v>0.22</v>
      </c>
      <c r="O34" s="7">
        <f t="shared" si="3"/>
        <v>0.221</v>
      </c>
      <c r="P34" s="7">
        <f t="shared" si="3"/>
        <v>0.218</v>
      </c>
      <c r="Q34" s="7">
        <f t="shared" si="3"/>
        <v>0.21899999999999997</v>
      </c>
      <c r="R34" s="7">
        <f t="shared" si="3"/>
        <v>0.22</v>
      </c>
      <c r="S34" s="7">
        <f t="shared" si="3"/>
        <v>0.21600000000000003</v>
      </c>
      <c r="T34" s="7">
        <f t="shared" si="3"/>
        <v>0.21199999999999999</v>
      </c>
      <c r="U34" s="7">
        <f t="shared" si="3"/>
        <v>0.20600000000000002</v>
      </c>
      <c r="V34" s="7">
        <f t="shared" si="3"/>
        <v>0.20300000000000001</v>
      </c>
      <c r="W34" s="7">
        <f t="shared" si="3"/>
        <v>0.2</v>
      </c>
      <c r="X34" s="7">
        <f t="shared" si="3"/>
        <v>0.19699999999999998</v>
      </c>
      <c r="Y34" s="7">
        <f t="shared" si="3"/>
        <v>0.21</v>
      </c>
      <c r="Z34" s="7">
        <f t="shared" si="3"/>
        <v>0.21299999999999999</v>
      </c>
      <c r="AA34" s="7">
        <f t="shared" si="3"/>
        <v>0.21100000000000002</v>
      </c>
      <c r="AB34" s="7">
        <f t="shared" si="3"/>
        <v>0.20600000000000002</v>
      </c>
      <c r="AC34" s="7">
        <f t="shared" si="3"/>
        <v>0.19899999999999998</v>
      </c>
      <c r="AD34" s="7">
        <f t="shared" si="3"/>
        <v>0.19600000000000001</v>
      </c>
      <c r="AE34" s="7">
        <f t="shared" si="3"/>
        <v>0.193</v>
      </c>
      <c r="AF34" s="7">
        <f t="shared" si="3"/>
        <v>0.20399999999999999</v>
      </c>
      <c r="AG34" s="7">
        <f t="shared" si="3"/>
        <v>0.215</v>
      </c>
      <c r="AH34" s="7">
        <f t="shared" si="3"/>
        <v>0.20899999999999999</v>
      </c>
      <c r="AI34" s="7">
        <f t="shared" si="3"/>
        <v>0.20899999999999999</v>
      </c>
      <c r="AJ34" s="7">
        <f t="shared" si="3"/>
        <v>0.20100000000000001</v>
      </c>
      <c r="AK34" s="7">
        <f t="shared" si="3"/>
        <v>0.20699999999999999</v>
      </c>
      <c r="AL34" s="7">
        <f t="shared" si="3"/>
        <v>0.20300000000000001</v>
      </c>
      <c r="AM34" s="7">
        <f t="shared" si="3"/>
        <v>0.20300000000000001</v>
      </c>
      <c r="AN34" s="7">
        <f t="shared" si="3"/>
        <v>0.20499999999999999</v>
      </c>
      <c r="AO34" s="7">
        <f t="shared" si="3"/>
        <v>0.20300000000000001</v>
      </c>
      <c r="AP34" s="7">
        <f t="shared" si="3"/>
        <v>0.20300000000000001</v>
      </c>
      <c r="AQ34" s="7">
        <f t="shared" si="3"/>
        <v>0.20399999999999999</v>
      </c>
      <c r="AR34" s="7">
        <f t="shared" si="3"/>
        <v>0.20199999999999999</v>
      </c>
      <c r="AS34" s="7">
        <f>AS10/100</f>
        <v>0.187</v>
      </c>
    </row>
    <row r="35" spans="1:45" ht="17" x14ac:dyDescent="0.2">
      <c r="A35" s="4"/>
      <c r="B35" s="1" t="s">
        <v>8</v>
      </c>
      <c r="C35" s="7">
        <f t="shared" ref="C35:AR35" si="4">C11/100</f>
        <v>0.45600000000000002</v>
      </c>
      <c r="D35" s="7">
        <f t="shared" si="4"/>
        <v>0.46</v>
      </c>
      <c r="E35" s="7">
        <f t="shared" si="4"/>
        <v>0.46200000000000002</v>
      </c>
      <c r="F35" s="7">
        <f t="shared" si="4"/>
        <v>0.47</v>
      </c>
      <c r="G35" s="7">
        <f t="shared" si="4"/>
        <v>0.47899999999999998</v>
      </c>
      <c r="H35" s="7">
        <f t="shared" si="4"/>
        <v>0.47899999999999998</v>
      </c>
      <c r="I35" s="7">
        <f t="shared" si="4"/>
        <v>0.48700000000000004</v>
      </c>
      <c r="J35" s="7">
        <f t="shared" si="4"/>
        <v>0.50700000000000001</v>
      </c>
      <c r="K35" s="7">
        <f t="shared" si="4"/>
        <v>0.49099999999999999</v>
      </c>
      <c r="L35" s="7">
        <f t="shared" si="4"/>
        <v>0.504</v>
      </c>
      <c r="M35" s="7">
        <f t="shared" si="4"/>
        <v>0.5</v>
      </c>
      <c r="N35" s="7">
        <f t="shared" si="4"/>
        <v>0.496</v>
      </c>
      <c r="O35" s="7">
        <f t="shared" si="4"/>
        <v>0.49099999999999999</v>
      </c>
      <c r="P35" s="7">
        <f t="shared" si="4"/>
        <v>0.501</v>
      </c>
      <c r="Q35" s="7">
        <f t="shared" si="4"/>
        <v>0.499</v>
      </c>
      <c r="R35" s="7">
        <f t="shared" si="4"/>
        <v>0.498</v>
      </c>
      <c r="S35" s="7">
        <f t="shared" si="4"/>
        <v>0.502</v>
      </c>
      <c r="T35" s="7">
        <f t="shared" si="4"/>
        <v>0.51400000000000001</v>
      </c>
      <c r="U35" s="7">
        <f t="shared" si="4"/>
        <v>0.52500000000000002</v>
      </c>
      <c r="V35" s="7">
        <f t="shared" si="4"/>
        <v>0.52900000000000003</v>
      </c>
      <c r="W35" s="7">
        <f t="shared" si="4"/>
        <v>0.53700000000000003</v>
      </c>
      <c r="X35" s="7">
        <f t="shared" si="4"/>
        <v>0.54799999999999993</v>
      </c>
      <c r="Y35" s="7">
        <f t="shared" si="4"/>
        <v>0.52400000000000002</v>
      </c>
      <c r="Z35" s="7">
        <f t="shared" si="4"/>
        <v>0.51500000000000001</v>
      </c>
      <c r="AA35" s="7">
        <f t="shared" si="4"/>
        <v>0.52200000000000002</v>
      </c>
      <c r="AB35" s="7">
        <f t="shared" si="4"/>
        <v>0.53500000000000003</v>
      </c>
      <c r="AC35" s="7">
        <f t="shared" si="4"/>
        <v>0.55100000000000005</v>
      </c>
      <c r="AD35" s="7">
        <f t="shared" si="4"/>
        <v>0.55700000000000005</v>
      </c>
      <c r="AE35" s="7">
        <f t="shared" si="4"/>
        <v>0.55899999999999994</v>
      </c>
      <c r="AF35" s="7">
        <f t="shared" si="4"/>
        <v>0.54</v>
      </c>
      <c r="AG35" s="7">
        <f t="shared" si="4"/>
        <v>0.52300000000000002</v>
      </c>
      <c r="AH35" s="7">
        <f t="shared" si="4"/>
        <v>0.53500000000000003</v>
      </c>
      <c r="AI35" s="7">
        <f t="shared" si="4"/>
        <v>0.53500000000000003</v>
      </c>
      <c r="AJ35" s="7">
        <f t="shared" si="4"/>
        <v>0.55600000000000005</v>
      </c>
      <c r="AK35" s="7">
        <f t="shared" si="4"/>
        <v>0.54200000000000004</v>
      </c>
      <c r="AL35" s="7">
        <f t="shared" si="4"/>
        <v>0.55399999999999994</v>
      </c>
      <c r="AM35" s="7">
        <f t="shared" si="4"/>
        <v>0.55100000000000005</v>
      </c>
      <c r="AN35" s="7">
        <f t="shared" si="4"/>
        <v>0.54500000000000004</v>
      </c>
      <c r="AO35" s="7">
        <f t="shared" si="4"/>
        <v>0.55200000000000005</v>
      </c>
      <c r="AP35" s="7">
        <f t="shared" si="4"/>
        <v>0.55299999999999994</v>
      </c>
      <c r="AQ35" s="7">
        <f t="shared" si="4"/>
        <v>0.54500000000000004</v>
      </c>
      <c r="AR35" s="7">
        <f t="shared" si="4"/>
        <v>0.55700000000000005</v>
      </c>
      <c r="AS35" s="7">
        <f>AS11/100</f>
        <v>0.58799999999999997</v>
      </c>
    </row>
    <row r="36" spans="1:45" x14ac:dyDescent="0.2">
      <c r="A36" s="4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</row>
    <row r="37" spans="1:45" x14ac:dyDescent="0.2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</row>
    <row r="38" spans="1:45" ht="17" x14ac:dyDescent="0.2">
      <c r="A38" s="4" t="s">
        <v>13</v>
      </c>
      <c r="B38" s="1" t="s">
        <v>11</v>
      </c>
      <c r="C38" s="1"/>
      <c r="D38" s="1"/>
      <c r="E38" s="1"/>
      <c r="F38" s="1"/>
      <c r="G38" s="1"/>
      <c r="I38" s="1"/>
    </row>
    <row r="39" spans="1:45" ht="17" x14ac:dyDescent="0.2">
      <c r="A39" s="4" t="s">
        <v>3</v>
      </c>
      <c r="B39" s="1"/>
      <c r="C39" s="6">
        <v>1979</v>
      </c>
      <c r="D39" s="6">
        <v>1980</v>
      </c>
      <c r="E39" s="6">
        <v>1981</v>
      </c>
      <c r="F39" s="6">
        <v>1982</v>
      </c>
      <c r="G39" s="6">
        <v>1983</v>
      </c>
      <c r="H39" s="6">
        <v>1984</v>
      </c>
      <c r="I39" s="6">
        <v>1985</v>
      </c>
      <c r="J39" s="6">
        <v>1986</v>
      </c>
      <c r="K39" s="6">
        <v>1987</v>
      </c>
      <c r="L39" s="6">
        <v>1988</v>
      </c>
      <c r="M39" s="6">
        <v>1989</v>
      </c>
      <c r="N39" s="6">
        <v>1990</v>
      </c>
      <c r="O39" s="6">
        <v>1991</v>
      </c>
      <c r="P39" s="6">
        <v>1992</v>
      </c>
      <c r="Q39" s="6">
        <v>1993</v>
      </c>
      <c r="R39" s="6">
        <v>1994</v>
      </c>
      <c r="S39" s="6">
        <v>1995</v>
      </c>
      <c r="T39" s="6">
        <v>1996</v>
      </c>
      <c r="U39" s="6">
        <v>1997</v>
      </c>
      <c r="V39" s="6">
        <v>1998</v>
      </c>
      <c r="W39" s="6">
        <v>1999</v>
      </c>
      <c r="X39" s="6">
        <v>2000</v>
      </c>
      <c r="Y39" s="6">
        <v>2001</v>
      </c>
      <c r="Z39" s="6">
        <v>2002</v>
      </c>
      <c r="AA39" s="6">
        <v>2003</v>
      </c>
      <c r="AB39" s="6">
        <v>2004</v>
      </c>
      <c r="AC39" s="6">
        <v>2005</v>
      </c>
      <c r="AD39" s="6">
        <v>2006</v>
      </c>
      <c r="AE39" s="6">
        <v>2007</v>
      </c>
      <c r="AF39" s="6">
        <v>2008</v>
      </c>
      <c r="AG39" s="6">
        <v>2009</v>
      </c>
      <c r="AH39" s="6">
        <v>2010</v>
      </c>
      <c r="AI39" s="6">
        <v>2011</v>
      </c>
      <c r="AJ39" s="6">
        <v>2012</v>
      </c>
      <c r="AK39" s="6">
        <v>2013</v>
      </c>
      <c r="AL39" s="6">
        <v>2014</v>
      </c>
      <c r="AM39" s="6">
        <v>2015</v>
      </c>
      <c r="AN39" s="6">
        <v>2016</v>
      </c>
      <c r="AO39" s="6">
        <v>2017</v>
      </c>
      <c r="AP39" s="6">
        <v>2018</v>
      </c>
      <c r="AQ39" s="6">
        <v>2019</v>
      </c>
      <c r="AR39" s="6">
        <v>2020</v>
      </c>
      <c r="AS39" s="6">
        <v>2021</v>
      </c>
    </row>
    <row r="40" spans="1:45" ht="17" x14ac:dyDescent="0.2">
      <c r="A40" s="4"/>
      <c r="B40" s="1" t="s">
        <v>4</v>
      </c>
      <c r="C40" s="7">
        <f>C21/100</f>
        <v>5.5999999999999994E-2</v>
      </c>
      <c r="D40" s="7">
        <f t="shared" ref="D40:M40" si="5">D21/100</f>
        <v>5.5E-2</v>
      </c>
      <c r="E40" s="7">
        <f t="shared" si="5"/>
        <v>5.2999999999999999E-2</v>
      </c>
      <c r="F40" s="7">
        <f t="shared" si="5"/>
        <v>0.05</v>
      </c>
      <c r="G40" s="7">
        <f t="shared" si="5"/>
        <v>4.5999999999999999E-2</v>
      </c>
      <c r="H40" s="7">
        <f t="shared" si="5"/>
        <v>4.8000000000000001E-2</v>
      </c>
      <c r="I40" s="7">
        <f t="shared" si="5"/>
        <v>4.5999999999999999E-2</v>
      </c>
      <c r="J40" s="7">
        <f t="shared" si="5"/>
        <v>4.2999999999999997E-2</v>
      </c>
      <c r="K40" s="7">
        <f t="shared" si="5"/>
        <v>4.0999999999999995E-2</v>
      </c>
      <c r="L40" s="7">
        <f t="shared" si="5"/>
        <v>4.0999999999999995E-2</v>
      </c>
      <c r="M40" s="7">
        <f t="shared" si="5"/>
        <v>4.2999999999999997E-2</v>
      </c>
      <c r="N40" s="7">
        <f>N21/100</f>
        <v>4.4999999999999998E-2</v>
      </c>
      <c r="O40" s="7">
        <f t="shared" ref="O40:X40" si="6">O21/100</f>
        <v>4.7E-2</v>
      </c>
      <c r="P40" s="7">
        <f t="shared" si="6"/>
        <v>4.5999999999999999E-2</v>
      </c>
      <c r="Q40" s="7">
        <f t="shared" si="6"/>
        <v>4.5999999999999999E-2</v>
      </c>
      <c r="R40" s="7">
        <f t="shared" si="6"/>
        <v>4.5999999999999999E-2</v>
      </c>
      <c r="S40" s="7">
        <f t="shared" si="6"/>
        <v>4.8000000000000001E-2</v>
      </c>
      <c r="T40" s="7">
        <f t="shared" si="6"/>
        <v>4.5999999999999999E-2</v>
      </c>
      <c r="U40" s="7">
        <f t="shared" si="6"/>
        <v>4.7E-2</v>
      </c>
      <c r="V40" s="7">
        <f t="shared" si="6"/>
        <v>4.7E-2</v>
      </c>
      <c r="W40" s="7">
        <f t="shared" si="6"/>
        <v>4.7E-2</v>
      </c>
      <c r="X40" s="7">
        <f t="shared" si="6"/>
        <v>4.4999999999999998E-2</v>
      </c>
      <c r="Y40" s="7">
        <f>Y21/100</f>
        <v>4.7E-2</v>
      </c>
      <c r="Z40" s="7">
        <f t="shared" ref="Z40:AH40" si="7">Z21/100</f>
        <v>4.9000000000000002E-2</v>
      </c>
      <c r="AA40" s="7">
        <f t="shared" si="7"/>
        <v>4.8000000000000001E-2</v>
      </c>
      <c r="AB40" s="7">
        <f t="shared" si="7"/>
        <v>4.7E-2</v>
      </c>
      <c r="AC40" s="7">
        <f t="shared" si="7"/>
        <v>4.5999999999999999E-2</v>
      </c>
      <c r="AD40" s="7">
        <f t="shared" si="7"/>
        <v>4.4000000000000004E-2</v>
      </c>
      <c r="AE40" s="7">
        <f t="shared" si="7"/>
        <v>4.5999999999999999E-2</v>
      </c>
      <c r="AF40" s="7">
        <f t="shared" si="7"/>
        <v>4.9000000000000002E-2</v>
      </c>
      <c r="AG40" s="7">
        <f t="shared" si="7"/>
        <v>0.05</v>
      </c>
      <c r="AH40" s="7">
        <f t="shared" si="7"/>
        <v>0.05</v>
      </c>
      <c r="AI40" s="7">
        <f>AI21/100</f>
        <v>5.0999999999999997E-2</v>
      </c>
      <c r="AJ40" s="7">
        <f t="shared" ref="AJ40:AP40" si="8">AJ21/100</f>
        <v>4.5999999999999999E-2</v>
      </c>
      <c r="AK40" s="7">
        <f t="shared" si="8"/>
        <v>4.9000000000000002E-2</v>
      </c>
      <c r="AL40" s="7">
        <f t="shared" si="8"/>
        <v>4.7E-2</v>
      </c>
      <c r="AM40" s="7">
        <f t="shared" si="8"/>
        <v>4.9000000000000002E-2</v>
      </c>
      <c r="AN40" s="7">
        <f t="shared" si="8"/>
        <v>0.05</v>
      </c>
      <c r="AO40" s="7">
        <f t="shared" si="8"/>
        <v>4.8000000000000001E-2</v>
      </c>
      <c r="AP40" s="7">
        <f t="shared" si="8"/>
        <v>4.9000000000000002E-2</v>
      </c>
      <c r="AQ40" s="7">
        <f>AQ21/100</f>
        <v>5.0999999999999997E-2</v>
      </c>
      <c r="AR40" s="7">
        <f t="shared" ref="AR40:AS40" si="9">AR21/100</f>
        <v>4.9000000000000002E-2</v>
      </c>
      <c r="AS40" s="7">
        <f t="shared" si="9"/>
        <v>4.8000000000000001E-2</v>
      </c>
    </row>
    <row r="41" spans="1:45" ht="17" x14ac:dyDescent="0.2">
      <c r="A41" s="4"/>
      <c r="B41" s="1" t="s">
        <v>5</v>
      </c>
      <c r="C41" s="7">
        <f>C22/100</f>
        <v>0.109</v>
      </c>
      <c r="D41" s="7">
        <f t="shared" ref="D41:M44" si="10">D22/100</f>
        <v>0.10800000000000001</v>
      </c>
      <c r="E41" s="7">
        <f t="shared" si="10"/>
        <v>0.107</v>
      </c>
      <c r="F41" s="7">
        <f t="shared" si="10"/>
        <v>0.10400000000000001</v>
      </c>
      <c r="G41" s="7">
        <f t="shared" si="10"/>
        <v>0.1</v>
      </c>
      <c r="H41" s="7">
        <f t="shared" si="10"/>
        <v>0.10099999999999999</v>
      </c>
      <c r="I41" s="7">
        <f t="shared" si="10"/>
        <v>9.9000000000000005E-2</v>
      </c>
      <c r="J41" s="7">
        <f t="shared" si="10"/>
        <v>9.4E-2</v>
      </c>
      <c r="K41" s="7">
        <f t="shared" si="10"/>
        <v>9.8000000000000004E-2</v>
      </c>
      <c r="L41" s="7">
        <f t="shared" si="10"/>
        <v>9.6000000000000002E-2</v>
      </c>
      <c r="M41" s="7">
        <f t="shared" si="10"/>
        <v>9.6000000000000002E-2</v>
      </c>
      <c r="N41" s="7">
        <f t="shared" ref="N41:AS41" si="11">N22/100</f>
        <v>9.8000000000000004E-2</v>
      </c>
      <c r="O41" s="7">
        <f t="shared" si="11"/>
        <v>9.8000000000000004E-2</v>
      </c>
      <c r="P41" s="7">
        <f t="shared" si="11"/>
        <v>9.6000000000000002E-2</v>
      </c>
      <c r="Q41" s="7">
        <f t="shared" si="11"/>
        <v>9.6000000000000002E-2</v>
      </c>
      <c r="R41" s="7">
        <f t="shared" si="11"/>
        <v>9.6999999999999989E-2</v>
      </c>
      <c r="S41" s="7">
        <f t="shared" si="11"/>
        <v>9.6999999999999989E-2</v>
      </c>
      <c r="T41" s="7">
        <f t="shared" si="11"/>
        <v>9.3000000000000013E-2</v>
      </c>
      <c r="U41" s="7">
        <f t="shared" si="11"/>
        <v>0.09</v>
      </c>
      <c r="V41" s="7">
        <f t="shared" si="11"/>
        <v>0.09</v>
      </c>
      <c r="W41" s="7">
        <f t="shared" si="11"/>
        <v>8.8000000000000009E-2</v>
      </c>
      <c r="X41" s="7">
        <f t="shared" si="11"/>
        <v>8.5999999999999993E-2</v>
      </c>
      <c r="Y41" s="7">
        <f t="shared" si="11"/>
        <v>0.09</v>
      </c>
      <c r="Z41" s="7">
        <f t="shared" si="11"/>
        <v>9.3000000000000013E-2</v>
      </c>
      <c r="AA41" s="7">
        <f t="shared" si="11"/>
        <v>9.1999999999999998E-2</v>
      </c>
      <c r="AB41" s="7">
        <f t="shared" si="11"/>
        <v>8.900000000000001E-2</v>
      </c>
      <c r="AC41" s="7">
        <f t="shared" si="11"/>
        <v>8.5000000000000006E-2</v>
      </c>
      <c r="AD41" s="7">
        <f t="shared" si="11"/>
        <v>8.4000000000000005E-2</v>
      </c>
      <c r="AE41" s="7">
        <f t="shared" si="11"/>
        <v>8.4000000000000005E-2</v>
      </c>
      <c r="AF41" s="7">
        <f t="shared" si="11"/>
        <v>8.8000000000000009E-2</v>
      </c>
      <c r="AG41" s="7">
        <f t="shared" si="11"/>
        <v>9.1999999999999998E-2</v>
      </c>
      <c r="AH41" s="7">
        <f t="shared" si="11"/>
        <v>8.900000000000001E-2</v>
      </c>
      <c r="AI41" s="7">
        <f t="shared" si="11"/>
        <v>8.900000000000001E-2</v>
      </c>
      <c r="AJ41" s="7">
        <f t="shared" si="11"/>
        <v>8.4000000000000005E-2</v>
      </c>
      <c r="AK41" s="7">
        <f t="shared" si="11"/>
        <v>8.5999999999999993E-2</v>
      </c>
      <c r="AL41" s="7">
        <f t="shared" si="11"/>
        <v>8.5000000000000006E-2</v>
      </c>
      <c r="AM41" s="7">
        <f t="shared" si="11"/>
        <v>8.5999999999999993E-2</v>
      </c>
      <c r="AN41" s="7">
        <f t="shared" si="11"/>
        <v>8.8000000000000009E-2</v>
      </c>
      <c r="AO41" s="7">
        <f t="shared" si="11"/>
        <v>8.6999999999999994E-2</v>
      </c>
      <c r="AP41" s="7">
        <f t="shared" si="11"/>
        <v>8.5000000000000006E-2</v>
      </c>
      <c r="AQ41" s="7">
        <f t="shared" si="11"/>
        <v>8.900000000000001E-2</v>
      </c>
      <c r="AR41" s="7">
        <f t="shared" si="11"/>
        <v>8.6999999999999994E-2</v>
      </c>
      <c r="AS41" s="7">
        <f t="shared" si="11"/>
        <v>7.9000000000000001E-2</v>
      </c>
    </row>
    <row r="42" spans="1:45" ht="17" x14ac:dyDescent="0.2">
      <c r="A42" s="4"/>
      <c r="B42" s="1" t="s">
        <v>6</v>
      </c>
      <c r="C42" s="7">
        <f>C23/100</f>
        <v>0.161</v>
      </c>
      <c r="D42" s="7">
        <f t="shared" si="10"/>
        <v>0.159</v>
      </c>
      <c r="E42" s="7">
        <f t="shared" si="10"/>
        <v>0.16</v>
      </c>
      <c r="F42" s="7">
        <f t="shared" si="10"/>
        <v>0.158</v>
      </c>
      <c r="G42" s="7">
        <f t="shared" si="10"/>
        <v>0.156</v>
      </c>
      <c r="H42" s="7">
        <f t="shared" si="10"/>
        <v>0.155</v>
      </c>
      <c r="I42" s="7">
        <f t="shared" si="10"/>
        <v>0.153</v>
      </c>
      <c r="J42" s="7">
        <f t="shared" si="10"/>
        <v>0.14800000000000002</v>
      </c>
      <c r="K42" s="7">
        <f t="shared" si="10"/>
        <v>0.154</v>
      </c>
      <c r="L42" s="7">
        <f t="shared" si="10"/>
        <v>0.15</v>
      </c>
      <c r="M42" s="7">
        <f t="shared" si="10"/>
        <v>0.151</v>
      </c>
      <c r="N42" s="7">
        <f t="shared" ref="N42:AS42" si="12">N23/100</f>
        <v>0.151</v>
      </c>
      <c r="O42" s="7">
        <f t="shared" si="12"/>
        <v>0.153</v>
      </c>
      <c r="P42" s="7">
        <f t="shared" si="12"/>
        <v>0.15</v>
      </c>
      <c r="Q42" s="7">
        <f t="shared" si="12"/>
        <v>0.15</v>
      </c>
      <c r="R42" s="7">
        <f t="shared" si="12"/>
        <v>0.15</v>
      </c>
      <c r="S42" s="7">
        <f t="shared" si="12"/>
        <v>0.14699999999999999</v>
      </c>
      <c r="T42" s="7">
        <f t="shared" si="12"/>
        <v>0.14400000000000002</v>
      </c>
      <c r="U42" s="7">
        <f t="shared" si="12"/>
        <v>0.14000000000000001</v>
      </c>
      <c r="V42" s="7">
        <f t="shared" si="12"/>
        <v>0.13800000000000001</v>
      </c>
      <c r="W42" s="7">
        <f t="shared" si="12"/>
        <v>0.13600000000000001</v>
      </c>
      <c r="X42" s="7">
        <f t="shared" si="12"/>
        <v>0.13300000000000001</v>
      </c>
      <c r="Y42" s="7">
        <f t="shared" si="12"/>
        <v>0.13900000000000001</v>
      </c>
      <c r="Z42" s="7">
        <f t="shared" si="12"/>
        <v>0.14199999999999999</v>
      </c>
      <c r="AA42" s="7">
        <f t="shared" si="12"/>
        <v>0.14000000000000001</v>
      </c>
      <c r="AB42" s="7">
        <f t="shared" si="12"/>
        <v>0.13500000000000001</v>
      </c>
      <c r="AC42" s="7">
        <f t="shared" si="12"/>
        <v>0.13100000000000001</v>
      </c>
      <c r="AD42" s="7">
        <f t="shared" si="12"/>
        <v>0.13</v>
      </c>
      <c r="AE42" s="7">
        <f t="shared" si="12"/>
        <v>0.13</v>
      </c>
      <c r="AF42" s="7">
        <f t="shared" si="12"/>
        <v>0.13600000000000001</v>
      </c>
      <c r="AG42" s="7">
        <f t="shared" si="12"/>
        <v>0.14199999999999999</v>
      </c>
      <c r="AH42" s="7">
        <f t="shared" si="12"/>
        <v>0.13699999999999998</v>
      </c>
      <c r="AI42" s="7">
        <f t="shared" si="12"/>
        <v>0.13600000000000001</v>
      </c>
      <c r="AJ42" s="7">
        <f t="shared" si="12"/>
        <v>0.13</v>
      </c>
      <c r="AK42" s="7">
        <f t="shared" si="12"/>
        <v>0.13400000000000001</v>
      </c>
      <c r="AL42" s="7">
        <f t="shared" si="12"/>
        <v>0.13</v>
      </c>
      <c r="AM42" s="7">
        <f t="shared" si="12"/>
        <v>0.13100000000000001</v>
      </c>
      <c r="AN42" s="7">
        <f t="shared" si="12"/>
        <v>0.13200000000000001</v>
      </c>
      <c r="AO42" s="7">
        <f t="shared" si="12"/>
        <v>0.13100000000000001</v>
      </c>
      <c r="AP42" s="7">
        <f t="shared" si="12"/>
        <v>0.13</v>
      </c>
      <c r="AQ42" s="7">
        <f t="shared" si="12"/>
        <v>0.13200000000000001</v>
      </c>
      <c r="AR42" s="7">
        <f t="shared" si="12"/>
        <v>0.13200000000000001</v>
      </c>
      <c r="AS42" s="7">
        <f t="shared" si="12"/>
        <v>0.11900000000000001</v>
      </c>
    </row>
    <row r="43" spans="1:45" ht="17" x14ac:dyDescent="0.2">
      <c r="A43" s="4"/>
      <c r="B43" s="1" t="s">
        <v>7</v>
      </c>
      <c r="C43" s="7">
        <f>C24/100</f>
        <v>0.22500000000000001</v>
      </c>
      <c r="D43" s="7">
        <f t="shared" si="10"/>
        <v>0.22500000000000001</v>
      </c>
      <c r="E43" s="7">
        <f t="shared" si="10"/>
        <v>0.22600000000000001</v>
      </c>
      <c r="F43" s="7">
        <f t="shared" si="10"/>
        <v>0.22699999999999998</v>
      </c>
      <c r="G43" s="7">
        <f t="shared" si="10"/>
        <v>0.22600000000000001</v>
      </c>
      <c r="H43" s="7">
        <f t="shared" si="10"/>
        <v>0.22500000000000001</v>
      </c>
      <c r="I43" s="7">
        <f t="shared" si="10"/>
        <v>0.222</v>
      </c>
      <c r="J43" s="7">
        <f t="shared" si="10"/>
        <v>0.215</v>
      </c>
      <c r="K43" s="7">
        <f t="shared" si="10"/>
        <v>0.22500000000000001</v>
      </c>
      <c r="L43" s="7">
        <f t="shared" si="10"/>
        <v>0.22</v>
      </c>
      <c r="M43" s="7">
        <f t="shared" si="10"/>
        <v>0.22</v>
      </c>
      <c r="N43" s="7">
        <f t="shared" ref="N43:AS43" si="13">N24/100</f>
        <v>0.221</v>
      </c>
      <c r="O43" s="7">
        <f t="shared" si="13"/>
        <v>0.222</v>
      </c>
      <c r="P43" s="7">
        <f t="shared" si="13"/>
        <v>0.218</v>
      </c>
      <c r="Q43" s="7">
        <f t="shared" si="13"/>
        <v>0.22</v>
      </c>
      <c r="R43" s="7">
        <f t="shared" si="13"/>
        <v>0.22</v>
      </c>
      <c r="S43" s="7">
        <f t="shared" si="13"/>
        <v>0.21600000000000003</v>
      </c>
      <c r="T43" s="7">
        <f t="shared" si="13"/>
        <v>0.21100000000000002</v>
      </c>
      <c r="U43" s="7">
        <f t="shared" si="13"/>
        <v>0.20600000000000002</v>
      </c>
      <c r="V43" s="7">
        <f t="shared" si="13"/>
        <v>0.20300000000000001</v>
      </c>
      <c r="W43" s="7">
        <f t="shared" si="13"/>
        <v>0.19899999999999998</v>
      </c>
      <c r="X43" s="7">
        <f t="shared" si="13"/>
        <v>0.19600000000000001</v>
      </c>
      <c r="Y43" s="7">
        <f t="shared" si="13"/>
        <v>0.20899999999999999</v>
      </c>
      <c r="Z43" s="7">
        <f t="shared" si="13"/>
        <v>0.21199999999999999</v>
      </c>
      <c r="AA43" s="7">
        <f t="shared" si="13"/>
        <v>0.20899999999999999</v>
      </c>
      <c r="AB43" s="7">
        <f t="shared" si="13"/>
        <v>0.20300000000000001</v>
      </c>
      <c r="AC43" s="7">
        <f t="shared" si="13"/>
        <v>0.19699999999999998</v>
      </c>
      <c r="AD43" s="7">
        <f t="shared" si="13"/>
        <v>0.19500000000000001</v>
      </c>
      <c r="AE43" s="7">
        <f t="shared" si="13"/>
        <v>0.191</v>
      </c>
      <c r="AF43" s="7">
        <f t="shared" si="13"/>
        <v>0.20100000000000001</v>
      </c>
      <c r="AG43" s="7">
        <f t="shared" si="13"/>
        <v>0.21100000000000002</v>
      </c>
      <c r="AH43" s="7">
        <f t="shared" si="13"/>
        <v>0.20600000000000002</v>
      </c>
      <c r="AI43" s="7">
        <f t="shared" si="13"/>
        <v>0.20499999999999999</v>
      </c>
      <c r="AJ43" s="7">
        <f t="shared" si="13"/>
        <v>0.19800000000000001</v>
      </c>
      <c r="AK43" s="7">
        <f t="shared" si="13"/>
        <v>0.20399999999999999</v>
      </c>
      <c r="AL43" s="7">
        <f t="shared" si="13"/>
        <v>0.19899999999999998</v>
      </c>
      <c r="AM43" s="7">
        <f t="shared" si="13"/>
        <v>0.19800000000000001</v>
      </c>
      <c r="AN43" s="7">
        <f t="shared" si="13"/>
        <v>0.2</v>
      </c>
      <c r="AO43" s="7">
        <f t="shared" si="13"/>
        <v>0.19899999999999998</v>
      </c>
      <c r="AP43" s="7">
        <f t="shared" si="13"/>
        <v>0.19800000000000001</v>
      </c>
      <c r="AQ43" s="7">
        <f t="shared" si="13"/>
        <v>0.19899999999999998</v>
      </c>
      <c r="AR43" s="7">
        <f t="shared" si="13"/>
        <v>0.19600000000000001</v>
      </c>
      <c r="AS43" s="7">
        <f t="shared" si="13"/>
        <v>0.18</v>
      </c>
    </row>
    <row r="44" spans="1:45" ht="17" x14ac:dyDescent="0.2">
      <c r="A44" s="4"/>
      <c r="B44" s="1" t="s">
        <v>8</v>
      </c>
      <c r="C44" s="7">
        <f>C25/100</f>
        <v>0.45299999999999996</v>
      </c>
      <c r="D44" s="7">
        <f t="shared" si="10"/>
        <v>0.45700000000000002</v>
      </c>
      <c r="E44" s="7">
        <f t="shared" si="10"/>
        <v>0.45899999999999996</v>
      </c>
      <c r="F44" s="7">
        <f t="shared" si="10"/>
        <v>0.46700000000000003</v>
      </c>
      <c r="G44" s="7">
        <f t="shared" si="10"/>
        <v>0.47700000000000004</v>
      </c>
      <c r="H44" s="7">
        <f t="shared" si="10"/>
        <v>0.47700000000000004</v>
      </c>
      <c r="I44" s="7">
        <f t="shared" si="10"/>
        <v>0.48599999999999999</v>
      </c>
      <c r="J44" s="7">
        <f t="shared" si="10"/>
        <v>0.50600000000000001</v>
      </c>
      <c r="K44" s="7">
        <f t="shared" si="10"/>
        <v>0.48899999999999999</v>
      </c>
      <c r="L44" s="7">
        <f t="shared" si="10"/>
        <v>0.502</v>
      </c>
      <c r="M44" s="7">
        <f t="shared" si="10"/>
        <v>0.498</v>
      </c>
      <c r="N44" s="7">
        <f t="shared" ref="N44:AS44" si="14">N25/100</f>
        <v>0.49399999999999999</v>
      </c>
      <c r="O44" s="7">
        <f t="shared" si="14"/>
        <v>0.48799999999999999</v>
      </c>
      <c r="P44" s="7">
        <f t="shared" si="14"/>
        <v>0.498</v>
      </c>
      <c r="Q44" s="7">
        <f t="shared" si="14"/>
        <v>0.496</v>
      </c>
      <c r="R44" s="7">
        <f t="shared" si="14"/>
        <v>0.495</v>
      </c>
      <c r="S44" s="7">
        <f t="shared" si="14"/>
        <v>0.5</v>
      </c>
      <c r="T44" s="7">
        <f t="shared" si="14"/>
        <v>0.51200000000000001</v>
      </c>
      <c r="U44" s="7">
        <f t="shared" si="14"/>
        <v>0.52300000000000002</v>
      </c>
      <c r="V44" s="7">
        <f t="shared" si="14"/>
        <v>0.52700000000000002</v>
      </c>
      <c r="W44" s="7">
        <f t="shared" si="14"/>
        <v>0.53500000000000003</v>
      </c>
      <c r="X44" s="7">
        <f t="shared" si="14"/>
        <v>0.54600000000000004</v>
      </c>
      <c r="Y44" s="7">
        <f t="shared" si="14"/>
        <v>0.52200000000000002</v>
      </c>
      <c r="Z44" s="7">
        <f t="shared" si="14"/>
        <v>0.51200000000000001</v>
      </c>
      <c r="AA44" s="7">
        <f t="shared" si="14"/>
        <v>0.51900000000000002</v>
      </c>
      <c r="AB44" s="7">
        <f t="shared" si="14"/>
        <v>0.53299999999999992</v>
      </c>
      <c r="AC44" s="7">
        <f t="shared" si="14"/>
        <v>0.54799999999999993</v>
      </c>
      <c r="AD44" s="7">
        <f t="shared" si="14"/>
        <v>0.55399999999999994</v>
      </c>
      <c r="AE44" s="7">
        <f t="shared" si="14"/>
        <v>0.55600000000000005</v>
      </c>
      <c r="AF44" s="7">
        <f t="shared" si="14"/>
        <v>0.53700000000000003</v>
      </c>
      <c r="AG44" s="7">
        <f t="shared" si="14"/>
        <v>0.52</v>
      </c>
      <c r="AH44" s="7">
        <f t="shared" si="14"/>
        <v>0.53200000000000003</v>
      </c>
      <c r="AI44" s="7">
        <f t="shared" si="14"/>
        <v>0.53299999999999992</v>
      </c>
      <c r="AJ44" s="7">
        <f t="shared" si="14"/>
        <v>0.55399999999999994</v>
      </c>
      <c r="AK44" s="7">
        <f t="shared" si="14"/>
        <v>0.54</v>
      </c>
      <c r="AL44" s="7">
        <f t="shared" si="14"/>
        <v>0.55100000000000005</v>
      </c>
      <c r="AM44" s="7">
        <f t="shared" si="14"/>
        <v>0.54799999999999993</v>
      </c>
      <c r="AN44" s="7">
        <f t="shared" si="14"/>
        <v>0.54100000000000004</v>
      </c>
      <c r="AO44" s="7">
        <f t="shared" si="14"/>
        <v>0.54899999999999993</v>
      </c>
      <c r="AP44" s="7">
        <f t="shared" si="14"/>
        <v>0.55100000000000005</v>
      </c>
      <c r="AQ44" s="7">
        <f t="shared" si="14"/>
        <v>0.54200000000000004</v>
      </c>
      <c r="AR44" s="7">
        <f t="shared" si="14"/>
        <v>0.55100000000000005</v>
      </c>
      <c r="AS44" s="7">
        <f t="shared" si="14"/>
        <v>0.58299999999999996</v>
      </c>
    </row>
    <row r="45" spans="1:45" x14ac:dyDescent="0.2">
      <c r="A45" s="4"/>
      <c r="B45" s="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</row>
    <row r="46" spans="1:45" x14ac:dyDescent="0.2">
      <c r="B46" s="1"/>
    </row>
    <row r="48" spans="1:45" x14ac:dyDescent="0.2">
      <c r="B48" s="1"/>
      <c r="C48" s="7"/>
      <c r="D48" s="7"/>
      <c r="E48" s="1"/>
      <c r="F48" s="1"/>
      <c r="G48" s="1"/>
    </row>
    <row r="49" spans="2:7" x14ac:dyDescent="0.2">
      <c r="B49" s="1"/>
      <c r="C49" s="7"/>
      <c r="D49" s="7"/>
      <c r="E49" s="1"/>
      <c r="F49" s="1"/>
      <c r="G49" s="1"/>
    </row>
    <row r="50" spans="2:7" x14ac:dyDescent="0.2">
      <c r="B50" s="1"/>
      <c r="C50" s="7"/>
      <c r="D50" s="7"/>
      <c r="E50" s="1"/>
      <c r="F50" s="1"/>
      <c r="G50" s="1"/>
    </row>
    <row r="51" spans="2:7" x14ac:dyDescent="0.2">
      <c r="B51" s="1"/>
      <c r="C51" s="7"/>
      <c r="D51" s="7"/>
      <c r="E51" s="1"/>
      <c r="F51" s="1"/>
      <c r="G51" s="1"/>
    </row>
    <row r="52" spans="2:7" x14ac:dyDescent="0.2">
      <c r="B52" s="1"/>
      <c r="C52" s="7"/>
      <c r="D52" s="7"/>
      <c r="E52" s="1"/>
      <c r="F52" s="1"/>
      <c r="G52" s="1"/>
    </row>
    <row r="53" spans="2:7" x14ac:dyDescent="0.2">
      <c r="B53" s="1"/>
      <c r="C53" s="7"/>
      <c r="D53" s="7"/>
      <c r="E53" s="1"/>
      <c r="F53" s="1"/>
      <c r="G53" s="1"/>
    </row>
    <row r="54" spans="2:7" x14ac:dyDescent="0.2">
      <c r="B54" s="1"/>
      <c r="C54" s="7"/>
      <c r="D54" s="7"/>
      <c r="E54" s="1"/>
      <c r="F54" s="1"/>
      <c r="G54" s="1"/>
    </row>
    <row r="55" spans="2:7" x14ac:dyDescent="0.2">
      <c r="B55" s="1"/>
      <c r="C55" s="7"/>
      <c r="D55" s="7"/>
      <c r="E55" s="1"/>
      <c r="F55" s="1"/>
      <c r="G55" s="1"/>
    </row>
    <row r="56" spans="2:7" x14ac:dyDescent="0.2">
      <c r="B56" s="1"/>
      <c r="C56" s="7"/>
      <c r="D56" s="7"/>
      <c r="E56" s="1"/>
      <c r="F56" s="1"/>
      <c r="G56" s="1"/>
    </row>
    <row r="57" spans="2:7" x14ac:dyDescent="0.2">
      <c r="B57" s="1"/>
      <c r="C57" s="7"/>
      <c r="D57" s="7"/>
      <c r="E57" s="1"/>
      <c r="F57" s="1"/>
      <c r="G57" s="1"/>
    </row>
    <row r="58" spans="2:7" x14ac:dyDescent="0.2">
      <c r="B58" s="1"/>
      <c r="C58" s="7"/>
      <c r="D58" s="7"/>
      <c r="E58" s="1"/>
      <c r="F58" s="1"/>
      <c r="G58" s="1"/>
    </row>
    <row r="59" spans="2:7" x14ac:dyDescent="0.2">
      <c r="B59" s="1"/>
      <c r="C59" s="7"/>
      <c r="D59" s="7"/>
      <c r="E59" s="1"/>
      <c r="F59" s="1"/>
      <c r="G59" s="1"/>
    </row>
    <row r="60" spans="2:7" x14ac:dyDescent="0.2">
      <c r="B60" s="1"/>
      <c r="C60" s="7"/>
      <c r="D60" s="7"/>
      <c r="E60" s="1"/>
      <c r="F60" s="1"/>
      <c r="G60" s="1"/>
    </row>
    <row r="61" spans="2:7" x14ac:dyDescent="0.2">
      <c r="B61" s="1"/>
      <c r="C61" s="7"/>
      <c r="D61" s="7"/>
      <c r="E61" s="1"/>
      <c r="F61" s="1"/>
      <c r="G61" s="1"/>
    </row>
    <row r="62" spans="2:7" x14ac:dyDescent="0.2">
      <c r="B62" s="1"/>
      <c r="C62" s="7"/>
      <c r="D62" s="7"/>
      <c r="E62" s="1"/>
      <c r="F62" s="1"/>
      <c r="G62" s="1"/>
    </row>
    <row r="63" spans="2:7" x14ac:dyDescent="0.2">
      <c r="B63" s="1"/>
      <c r="C63" s="7"/>
      <c r="D63" s="7"/>
      <c r="E63" s="1"/>
      <c r="F63" s="1"/>
      <c r="G63" s="1"/>
    </row>
    <row r="64" spans="2:7" x14ac:dyDescent="0.2">
      <c r="B64" s="1"/>
      <c r="C64" s="7"/>
      <c r="D64" s="7"/>
      <c r="E64" s="1"/>
      <c r="F64" s="1"/>
      <c r="G64" s="1"/>
    </row>
    <row r="65" spans="2:7" x14ac:dyDescent="0.2">
      <c r="B65" s="1"/>
      <c r="C65" s="7"/>
      <c r="D65" s="7"/>
      <c r="E65" s="1"/>
      <c r="F65" s="1"/>
      <c r="G65" s="1"/>
    </row>
    <row r="66" spans="2:7" x14ac:dyDescent="0.2">
      <c r="B66" s="1"/>
      <c r="C66" s="7"/>
      <c r="D66" s="7"/>
      <c r="E66" s="1"/>
      <c r="F66" s="1"/>
      <c r="G66" s="1"/>
    </row>
    <row r="67" spans="2:7" x14ac:dyDescent="0.2">
      <c r="B67" s="1"/>
      <c r="C67" s="7"/>
      <c r="D67" s="7"/>
      <c r="E67" s="1"/>
      <c r="F67" s="1"/>
      <c r="G67" s="1"/>
    </row>
    <row r="68" spans="2:7" x14ac:dyDescent="0.2">
      <c r="B68" s="1"/>
      <c r="C68" s="7"/>
      <c r="D68" s="7"/>
      <c r="E68" s="1"/>
      <c r="F68" s="1"/>
      <c r="G68" s="1"/>
    </row>
    <row r="69" spans="2:7" x14ac:dyDescent="0.2">
      <c r="B69" s="1"/>
      <c r="C69" s="7"/>
      <c r="D69" s="7"/>
      <c r="E69" s="1"/>
      <c r="F69" s="1"/>
      <c r="G69" s="1"/>
    </row>
    <row r="70" spans="2:7" x14ac:dyDescent="0.2">
      <c r="B70" s="1"/>
      <c r="C70" s="7"/>
      <c r="D70" s="7"/>
      <c r="E70" s="1"/>
      <c r="F70" s="1"/>
      <c r="G70" s="1"/>
    </row>
    <row r="71" spans="2:7" x14ac:dyDescent="0.2">
      <c r="B71" s="1"/>
      <c r="C71" s="7"/>
      <c r="D71" s="7"/>
      <c r="E71" s="1"/>
      <c r="F71" s="1"/>
      <c r="G71" s="1"/>
    </row>
    <row r="72" spans="2:7" x14ac:dyDescent="0.2">
      <c r="B72" s="1"/>
      <c r="C72" s="7"/>
      <c r="D72" s="7"/>
      <c r="E72" s="1"/>
      <c r="F72" s="1"/>
      <c r="G72" s="1"/>
    </row>
    <row r="73" spans="2:7" x14ac:dyDescent="0.2">
      <c r="B73" s="1"/>
      <c r="C73" s="7"/>
      <c r="D73" s="7"/>
      <c r="E73" s="1"/>
      <c r="F73" s="1"/>
      <c r="G73" s="1"/>
    </row>
    <row r="74" spans="2:7" x14ac:dyDescent="0.2">
      <c r="B74" s="1"/>
      <c r="C74" s="7"/>
      <c r="D74" s="7"/>
      <c r="E74" s="1"/>
      <c r="F74" s="1"/>
      <c r="G74" s="1"/>
    </row>
    <row r="75" spans="2:7" x14ac:dyDescent="0.2">
      <c r="B75" s="1"/>
      <c r="C75" s="7"/>
      <c r="D75" s="7"/>
      <c r="E75" s="1"/>
      <c r="F75" s="1"/>
      <c r="G75" s="1"/>
    </row>
    <row r="76" spans="2:7" x14ac:dyDescent="0.2">
      <c r="B76" s="1"/>
      <c r="C76" s="7"/>
      <c r="D76" s="7"/>
      <c r="E76" s="1"/>
      <c r="F76" s="1"/>
      <c r="G76" s="1"/>
    </row>
    <row r="77" spans="2:7" x14ac:dyDescent="0.2">
      <c r="B77" s="1"/>
      <c r="C77" s="7"/>
      <c r="D77" s="7"/>
      <c r="E77" s="1"/>
      <c r="F77" s="1"/>
      <c r="G77" s="1"/>
    </row>
    <row r="78" spans="2:7" x14ac:dyDescent="0.2">
      <c r="B78" s="1"/>
      <c r="C78" s="7"/>
      <c r="D78" s="7"/>
      <c r="E78" s="1"/>
      <c r="F78" s="1"/>
      <c r="G78" s="1"/>
    </row>
    <row r="79" spans="2:7" x14ac:dyDescent="0.2">
      <c r="B79" s="1"/>
      <c r="C79" s="7"/>
      <c r="D79" s="7"/>
      <c r="E79" s="1"/>
      <c r="F79" s="1"/>
      <c r="G79" s="1"/>
    </row>
    <row r="80" spans="2:7" x14ac:dyDescent="0.2">
      <c r="B80" s="1"/>
      <c r="C80" s="7"/>
      <c r="D80" s="7"/>
      <c r="E80" s="1"/>
      <c r="F80" s="1"/>
      <c r="G80" s="1"/>
    </row>
    <row r="81" spans="2:7" x14ac:dyDescent="0.2">
      <c r="B81" s="1"/>
      <c r="C81" s="7"/>
      <c r="D81" s="7"/>
      <c r="E81" s="1"/>
      <c r="F81" s="1"/>
      <c r="G81" s="1"/>
    </row>
    <row r="82" spans="2:7" x14ac:dyDescent="0.2">
      <c r="B82" s="1"/>
      <c r="C82" s="7"/>
      <c r="D82" s="7"/>
      <c r="E82" s="1"/>
      <c r="F82" s="1"/>
      <c r="G82" s="1"/>
    </row>
    <row r="83" spans="2:7" x14ac:dyDescent="0.2">
      <c r="B83" s="1"/>
      <c r="C83" s="7"/>
      <c r="D83" s="7"/>
      <c r="E83" s="1"/>
      <c r="F83" s="1"/>
      <c r="G83" s="1"/>
    </row>
    <row r="84" spans="2:7" x14ac:dyDescent="0.2">
      <c r="B84" s="1"/>
      <c r="C84" s="7"/>
      <c r="D84" s="7"/>
      <c r="E84" s="1"/>
      <c r="F84" s="1"/>
      <c r="G84" s="1"/>
    </row>
    <row r="85" spans="2:7" x14ac:dyDescent="0.2">
      <c r="B85" s="1"/>
      <c r="C85" s="7"/>
      <c r="D85" s="7"/>
      <c r="E85" s="1"/>
      <c r="F85" s="1"/>
      <c r="G85" s="1"/>
    </row>
    <row r="86" spans="2:7" x14ac:dyDescent="0.2">
      <c r="B86" s="1"/>
      <c r="C86" s="7"/>
      <c r="D86" s="7"/>
      <c r="E86" s="1"/>
      <c r="F86" s="1"/>
      <c r="G86" s="1"/>
    </row>
    <row r="87" spans="2:7" x14ac:dyDescent="0.2">
      <c r="B87" s="1"/>
      <c r="C87" s="7"/>
      <c r="D87" s="7"/>
      <c r="E87" s="1"/>
      <c r="F87" s="1"/>
      <c r="G87" s="1"/>
    </row>
    <row r="88" spans="2:7" x14ac:dyDescent="0.2">
      <c r="B88" s="1"/>
      <c r="C88" s="7"/>
      <c r="D88" s="7"/>
      <c r="E88" s="1"/>
      <c r="F88" s="1"/>
      <c r="G88" s="1"/>
    </row>
    <row r="89" spans="2:7" x14ac:dyDescent="0.2">
      <c r="B89" s="1"/>
      <c r="C89" s="7"/>
      <c r="D89" s="7"/>
      <c r="E89" s="1"/>
      <c r="F89" s="1"/>
      <c r="G89" s="1"/>
    </row>
    <row r="90" spans="2:7" x14ac:dyDescent="0.2">
      <c r="B90" s="1"/>
      <c r="C90" s="7"/>
      <c r="D90" s="7"/>
      <c r="E90" s="1"/>
      <c r="F90" s="1"/>
      <c r="G90" s="1"/>
    </row>
    <row r="91" spans="2:7" x14ac:dyDescent="0.2">
      <c r="B91" s="1"/>
      <c r="C91" s="7"/>
      <c r="D91" s="7"/>
      <c r="E91" s="1"/>
      <c r="F91" s="1"/>
      <c r="G91" s="1"/>
    </row>
    <row r="92" spans="2:7" x14ac:dyDescent="0.2">
      <c r="B92" s="1"/>
      <c r="C92" s="7"/>
      <c r="D92" s="7"/>
      <c r="E92" s="1"/>
      <c r="F92" s="1"/>
      <c r="G92" s="1"/>
    </row>
    <row r="93" spans="2:7" x14ac:dyDescent="0.2">
      <c r="C93" s="8"/>
      <c r="D93" s="8"/>
    </row>
    <row r="94" spans="2:7" x14ac:dyDescent="0.2">
      <c r="C94" s="8"/>
      <c r="D94" s="8"/>
    </row>
    <row r="95" spans="2:7" x14ac:dyDescent="0.2">
      <c r="C95" s="8"/>
      <c r="D95" s="8"/>
    </row>
    <row r="96" spans="2:7" x14ac:dyDescent="0.2">
      <c r="C96" s="8"/>
      <c r="D96" s="8"/>
    </row>
    <row r="97" spans="3:4" x14ac:dyDescent="0.2">
      <c r="C97" s="8"/>
      <c r="D97" s="8"/>
    </row>
    <row r="98" spans="3:4" x14ac:dyDescent="0.2">
      <c r="C98" s="8"/>
      <c r="D98" s="8"/>
    </row>
    <row r="99" spans="3:4" x14ac:dyDescent="0.2">
      <c r="C99" s="8"/>
      <c r="D99" s="8"/>
    </row>
    <row r="100" spans="3:4" x14ac:dyDescent="0.2">
      <c r="C100" s="8"/>
      <c r="D100" s="8"/>
    </row>
    <row r="101" spans="3:4" x14ac:dyDescent="0.2">
      <c r="C101" s="8"/>
      <c r="D101" s="8"/>
    </row>
    <row r="102" spans="3:4" x14ac:dyDescent="0.2">
      <c r="C102" s="8"/>
      <c r="D102" s="8"/>
    </row>
    <row r="103" spans="3:4" x14ac:dyDescent="0.2">
      <c r="C103" s="8"/>
      <c r="D103" s="8"/>
    </row>
    <row r="104" spans="3:4" x14ac:dyDescent="0.2">
      <c r="C104" s="8"/>
      <c r="D104" s="8"/>
    </row>
    <row r="105" spans="3:4" x14ac:dyDescent="0.2">
      <c r="C105" s="8"/>
      <c r="D105" s="8"/>
    </row>
    <row r="106" spans="3:4" x14ac:dyDescent="0.2">
      <c r="C106" s="8"/>
      <c r="D106" s="8"/>
    </row>
    <row r="107" spans="3:4" x14ac:dyDescent="0.2">
      <c r="C107" s="8"/>
      <c r="D107" s="8"/>
    </row>
    <row r="108" spans="3:4" x14ac:dyDescent="0.2">
      <c r="C108" s="8"/>
      <c r="D108" s="8"/>
    </row>
    <row r="109" spans="3:4" x14ac:dyDescent="0.2">
      <c r="C109" s="8"/>
      <c r="D109" s="8"/>
    </row>
    <row r="110" spans="3:4" x14ac:dyDescent="0.2">
      <c r="C110" s="8"/>
      <c r="D110" s="8"/>
    </row>
    <row r="111" spans="3:4" x14ac:dyDescent="0.2">
      <c r="C111" s="8"/>
      <c r="D111" s="8"/>
    </row>
    <row r="112" spans="3:4" x14ac:dyDescent="0.2">
      <c r="C112" s="8"/>
      <c r="D112" s="8"/>
    </row>
    <row r="113" spans="3:4" x14ac:dyDescent="0.2">
      <c r="C113" s="8"/>
      <c r="D113" s="8"/>
    </row>
    <row r="114" spans="3:4" x14ac:dyDescent="0.2">
      <c r="C114" s="8"/>
      <c r="D114" s="8"/>
    </row>
    <row r="115" spans="3:4" x14ac:dyDescent="0.2">
      <c r="C115" s="8"/>
      <c r="D115" s="8"/>
    </row>
    <row r="116" spans="3:4" x14ac:dyDescent="0.2">
      <c r="C116" s="8"/>
      <c r="D116" s="8"/>
    </row>
    <row r="117" spans="3:4" x14ac:dyDescent="0.2">
      <c r="C117" s="8"/>
      <c r="D117" s="8"/>
    </row>
    <row r="118" spans="3:4" x14ac:dyDescent="0.2">
      <c r="C118" s="8"/>
      <c r="D118" s="8"/>
    </row>
    <row r="119" spans="3:4" x14ac:dyDescent="0.2">
      <c r="C119" s="8"/>
      <c r="D119" s="8"/>
    </row>
    <row r="120" spans="3:4" x14ac:dyDescent="0.2">
      <c r="C120" s="8"/>
      <c r="D120" s="8"/>
    </row>
    <row r="121" spans="3:4" x14ac:dyDescent="0.2">
      <c r="C121" s="8"/>
      <c r="D121" s="8"/>
    </row>
    <row r="122" spans="3:4" x14ac:dyDescent="0.2">
      <c r="C122" s="8"/>
      <c r="D122" s="8"/>
    </row>
    <row r="123" spans="3:4" x14ac:dyDescent="0.2">
      <c r="C123" s="8"/>
      <c r="D123" s="8"/>
    </row>
    <row r="124" spans="3:4" x14ac:dyDescent="0.2">
      <c r="C124" s="8"/>
      <c r="D124" s="8"/>
    </row>
    <row r="125" spans="3:4" x14ac:dyDescent="0.2">
      <c r="C125" s="8"/>
      <c r="D125" s="8"/>
    </row>
    <row r="126" spans="3:4" x14ac:dyDescent="0.2">
      <c r="C126" s="8"/>
      <c r="D126" s="8"/>
    </row>
    <row r="127" spans="3:4" x14ac:dyDescent="0.2">
      <c r="C127" s="8"/>
      <c r="D127" s="8"/>
    </row>
    <row r="128" spans="3:4" x14ac:dyDescent="0.2">
      <c r="C128" s="8"/>
      <c r="D128" s="8"/>
    </row>
    <row r="129" spans="3:4" x14ac:dyDescent="0.2">
      <c r="C129" s="8"/>
      <c r="D129" s="8"/>
    </row>
    <row r="130" spans="3:4" x14ac:dyDescent="0.2">
      <c r="C130" s="8"/>
      <c r="D130" s="8"/>
    </row>
    <row r="131" spans="3:4" x14ac:dyDescent="0.2">
      <c r="C131" s="8"/>
      <c r="D131" s="8"/>
    </row>
    <row r="132" spans="3:4" x14ac:dyDescent="0.2">
      <c r="C132" s="8"/>
      <c r="D132" s="8"/>
    </row>
    <row r="133" spans="3:4" x14ac:dyDescent="0.2">
      <c r="C133" s="8"/>
      <c r="D133" s="8"/>
    </row>
    <row r="134" spans="3:4" x14ac:dyDescent="0.2">
      <c r="C134" s="8"/>
      <c r="D134" s="8"/>
    </row>
    <row r="135" spans="3:4" x14ac:dyDescent="0.2">
      <c r="C135" s="8"/>
      <c r="D135" s="8"/>
    </row>
    <row r="136" spans="3:4" x14ac:dyDescent="0.2">
      <c r="C136" s="8"/>
      <c r="D136" s="8"/>
    </row>
    <row r="137" spans="3:4" x14ac:dyDescent="0.2">
      <c r="C137" s="8"/>
      <c r="D137" s="8"/>
    </row>
    <row r="138" spans="3:4" x14ac:dyDescent="0.2">
      <c r="C138" s="8"/>
      <c r="D138" s="8"/>
    </row>
    <row r="139" spans="3:4" x14ac:dyDescent="0.2">
      <c r="C139" s="8"/>
      <c r="D139" s="8"/>
    </row>
    <row r="140" spans="3:4" x14ac:dyDescent="0.2">
      <c r="C140" s="8"/>
      <c r="D140" s="8"/>
    </row>
    <row r="141" spans="3:4" x14ac:dyDescent="0.2">
      <c r="C141" s="8"/>
      <c r="D141" s="8"/>
    </row>
    <row r="142" spans="3:4" x14ac:dyDescent="0.2">
      <c r="C142" s="8"/>
      <c r="D142" s="8"/>
    </row>
    <row r="143" spans="3:4" x14ac:dyDescent="0.2">
      <c r="C143" s="8"/>
      <c r="D143" s="8"/>
    </row>
    <row r="144" spans="3:4" x14ac:dyDescent="0.2">
      <c r="C144" s="8"/>
      <c r="D144" s="8"/>
    </row>
    <row r="145" spans="3:4" x14ac:dyDescent="0.2">
      <c r="C145" s="8"/>
      <c r="D145" s="8"/>
    </row>
    <row r="146" spans="3:4" x14ac:dyDescent="0.2">
      <c r="C146" s="8"/>
      <c r="D146" s="8"/>
    </row>
    <row r="147" spans="3:4" x14ac:dyDescent="0.2">
      <c r="C147" s="8"/>
      <c r="D147" s="8"/>
    </row>
    <row r="148" spans="3:4" x14ac:dyDescent="0.2">
      <c r="C148" s="8"/>
      <c r="D148" s="8"/>
    </row>
    <row r="149" spans="3:4" x14ac:dyDescent="0.2">
      <c r="C149" s="8"/>
      <c r="D149" s="8"/>
    </row>
    <row r="150" spans="3:4" x14ac:dyDescent="0.2">
      <c r="C150" s="8"/>
      <c r="D150" s="8"/>
    </row>
    <row r="151" spans="3:4" x14ac:dyDescent="0.2">
      <c r="C151" s="8"/>
      <c r="D151" s="8"/>
    </row>
    <row r="152" spans="3:4" x14ac:dyDescent="0.2">
      <c r="C152" s="8"/>
      <c r="D152" s="8"/>
    </row>
    <row r="153" spans="3:4" x14ac:dyDescent="0.2">
      <c r="C153" s="8"/>
      <c r="D153" s="8"/>
    </row>
    <row r="154" spans="3:4" x14ac:dyDescent="0.2">
      <c r="C154" s="8"/>
      <c r="D154" s="8"/>
    </row>
    <row r="155" spans="3:4" x14ac:dyDescent="0.2">
      <c r="C155" s="8"/>
      <c r="D155" s="8"/>
    </row>
    <row r="156" spans="3:4" x14ac:dyDescent="0.2">
      <c r="C156" s="8"/>
      <c r="D156" s="8"/>
    </row>
    <row r="157" spans="3:4" x14ac:dyDescent="0.2">
      <c r="C157" s="8"/>
      <c r="D157" s="8"/>
    </row>
    <row r="158" spans="3:4" x14ac:dyDescent="0.2">
      <c r="C158" s="8"/>
      <c r="D158" s="8"/>
    </row>
    <row r="159" spans="3:4" x14ac:dyDescent="0.2">
      <c r="C159" s="8"/>
      <c r="D159" s="8"/>
    </row>
    <row r="160" spans="3:4" x14ac:dyDescent="0.2">
      <c r="C160" s="8"/>
      <c r="D160" s="8"/>
    </row>
    <row r="161" spans="3:4" x14ac:dyDescent="0.2">
      <c r="C161" s="8"/>
      <c r="D161" s="8"/>
    </row>
    <row r="162" spans="3:4" x14ac:dyDescent="0.2">
      <c r="C162" s="8"/>
      <c r="D162" s="8"/>
    </row>
    <row r="163" spans="3:4" x14ac:dyDescent="0.2">
      <c r="C163" s="8"/>
      <c r="D163" s="8"/>
    </row>
    <row r="164" spans="3:4" x14ac:dyDescent="0.2">
      <c r="C164" s="8"/>
      <c r="D164" s="8"/>
    </row>
    <row r="165" spans="3:4" x14ac:dyDescent="0.2">
      <c r="C165" s="8"/>
      <c r="D165" s="8"/>
    </row>
    <row r="166" spans="3:4" x14ac:dyDescent="0.2">
      <c r="C166" s="8"/>
      <c r="D166" s="8"/>
    </row>
    <row r="167" spans="3:4" x14ac:dyDescent="0.2">
      <c r="C167" s="8"/>
      <c r="D167" s="8"/>
    </row>
    <row r="168" spans="3:4" x14ac:dyDescent="0.2">
      <c r="C168" s="8"/>
      <c r="D168" s="8"/>
    </row>
    <row r="169" spans="3:4" x14ac:dyDescent="0.2">
      <c r="C169" s="8"/>
      <c r="D169" s="8"/>
    </row>
    <row r="170" spans="3:4" x14ac:dyDescent="0.2">
      <c r="C170" s="8"/>
      <c r="D170" s="8"/>
    </row>
    <row r="171" spans="3:4" x14ac:dyDescent="0.2">
      <c r="C171" s="8"/>
      <c r="D171" s="8"/>
    </row>
    <row r="172" spans="3:4" x14ac:dyDescent="0.2">
      <c r="C172" s="8"/>
      <c r="D172" s="8"/>
    </row>
    <row r="173" spans="3:4" x14ac:dyDescent="0.2">
      <c r="C173" s="8"/>
      <c r="D173" s="8"/>
    </row>
    <row r="174" spans="3:4" x14ac:dyDescent="0.2">
      <c r="C174" s="8"/>
      <c r="D174" s="8"/>
    </row>
    <row r="175" spans="3:4" x14ac:dyDescent="0.2">
      <c r="C175" s="8"/>
      <c r="D175" s="8"/>
    </row>
    <row r="176" spans="3:4" x14ac:dyDescent="0.2">
      <c r="C176" s="8"/>
      <c r="D176" s="8"/>
    </row>
    <row r="177" spans="3:4" x14ac:dyDescent="0.2">
      <c r="C177" s="8"/>
      <c r="D177" s="8"/>
    </row>
    <row r="178" spans="3:4" x14ac:dyDescent="0.2">
      <c r="C178" s="8"/>
      <c r="D178" s="8"/>
    </row>
    <row r="179" spans="3:4" x14ac:dyDescent="0.2">
      <c r="C179" s="8"/>
      <c r="D179" s="8"/>
    </row>
    <row r="180" spans="3:4" x14ac:dyDescent="0.2">
      <c r="C180" s="8"/>
      <c r="D180" s="8"/>
    </row>
    <row r="181" spans="3:4" x14ac:dyDescent="0.2">
      <c r="C181" s="8"/>
      <c r="D181" s="8"/>
    </row>
    <row r="182" spans="3:4" x14ac:dyDescent="0.2">
      <c r="C182" s="8"/>
      <c r="D182" s="8"/>
    </row>
    <row r="183" spans="3:4" x14ac:dyDescent="0.2">
      <c r="C183" s="8"/>
      <c r="D183" s="8"/>
    </row>
    <row r="184" spans="3:4" x14ac:dyDescent="0.2">
      <c r="C184" s="8"/>
      <c r="D184" s="8"/>
    </row>
    <row r="185" spans="3:4" x14ac:dyDescent="0.2">
      <c r="C185" s="8"/>
      <c r="D185" s="8"/>
    </row>
    <row r="186" spans="3:4" x14ac:dyDescent="0.2">
      <c r="C186" s="8"/>
      <c r="D186" s="8"/>
    </row>
    <row r="187" spans="3:4" x14ac:dyDescent="0.2">
      <c r="C187" s="8"/>
      <c r="D187" s="8"/>
    </row>
    <row r="188" spans="3:4" x14ac:dyDescent="0.2">
      <c r="C188" s="8"/>
      <c r="D188" s="8"/>
    </row>
    <row r="189" spans="3:4" x14ac:dyDescent="0.2">
      <c r="C189" s="8"/>
      <c r="D189" s="8"/>
    </row>
    <row r="190" spans="3:4" x14ac:dyDescent="0.2">
      <c r="C190" s="8"/>
      <c r="D190" s="8"/>
    </row>
    <row r="191" spans="3:4" x14ac:dyDescent="0.2">
      <c r="C191" s="8"/>
      <c r="D191" s="8"/>
    </row>
    <row r="192" spans="3:4" x14ac:dyDescent="0.2">
      <c r="C192" s="8"/>
      <c r="D192" s="8"/>
    </row>
    <row r="193" spans="3:4" x14ac:dyDescent="0.2">
      <c r="C193" s="8"/>
      <c r="D193" s="8"/>
    </row>
    <row r="194" spans="3:4" x14ac:dyDescent="0.2">
      <c r="C194" s="8"/>
      <c r="D194" s="8"/>
    </row>
    <row r="195" spans="3:4" x14ac:dyDescent="0.2">
      <c r="C195" s="8"/>
      <c r="D195" s="8"/>
    </row>
    <row r="196" spans="3:4" x14ac:dyDescent="0.2">
      <c r="C196" s="8"/>
      <c r="D196" s="8"/>
    </row>
    <row r="197" spans="3:4" x14ac:dyDescent="0.2">
      <c r="C197" s="8"/>
      <c r="D197" s="8"/>
    </row>
    <row r="198" spans="3:4" x14ac:dyDescent="0.2">
      <c r="C198" s="8"/>
      <c r="D198" s="8"/>
    </row>
    <row r="199" spans="3:4" x14ac:dyDescent="0.2">
      <c r="C199" s="8"/>
      <c r="D199" s="8"/>
    </row>
    <row r="200" spans="3:4" x14ac:dyDescent="0.2">
      <c r="C200" s="8"/>
      <c r="D200" s="8"/>
    </row>
    <row r="201" spans="3:4" x14ac:dyDescent="0.2">
      <c r="C201" s="8"/>
      <c r="D201" s="8"/>
    </row>
    <row r="202" spans="3:4" x14ac:dyDescent="0.2">
      <c r="C202" s="8"/>
      <c r="D202" s="8"/>
    </row>
    <row r="203" spans="3:4" x14ac:dyDescent="0.2">
      <c r="C203" s="8"/>
      <c r="D203" s="8"/>
    </row>
    <row r="204" spans="3:4" x14ac:dyDescent="0.2">
      <c r="C204" s="8"/>
      <c r="D204" s="8"/>
    </row>
    <row r="205" spans="3:4" x14ac:dyDescent="0.2">
      <c r="C205" s="8"/>
      <c r="D205" s="8"/>
    </row>
    <row r="206" spans="3:4" x14ac:dyDescent="0.2">
      <c r="C206" s="8"/>
      <c r="D206" s="8"/>
    </row>
    <row r="207" spans="3:4" x14ac:dyDescent="0.2">
      <c r="C207" s="8"/>
      <c r="D207" s="8"/>
    </row>
    <row r="208" spans="3:4" x14ac:dyDescent="0.2">
      <c r="C208" s="8"/>
      <c r="D208" s="8"/>
    </row>
    <row r="209" spans="3:4" x14ac:dyDescent="0.2">
      <c r="C209" s="8"/>
      <c r="D209" s="8"/>
    </row>
    <row r="210" spans="3:4" x14ac:dyDescent="0.2">
      <c r="C210" s="8"/>
      <c r="D210" s="8"/>
    </row>
    <row r="211" spans="3:4" x14ac:dyDescent="0.2">
      <c r="C211" s="8"/>
      <c r="D211" s="8"/>
    </row>
    <row r="212" spans="3:4" x14ac:dyDescent="0.2">
      <c r="C212" s="8"/>
      <c r="D212" s="8"/>
    </row>
    <row r="213" spans="3:4" x14ac:dyDescent="0.2">
      <c r="C213" s="8"/>
      <c r="D213" s="8"/>
    </row>
    <row r="214" spans="3:4" x14ac:dyDescent="0.2">
      <c r="C214" s="8"/>
      <c r="D214" s="8"/>
    </row>
    <row r="215" spans="3:4" x14ac:dyDescent="0.2">
      <c r="C215" s="8"/>
      <c r="D215" s="8"/>
    </row>
    <row r="216" spans="3:4" x14ac:dyDescent="0.2">
      <c r="C216" s="8"/>
      <c r="D216" s="8"/>
    </row>
    <row r="217" spans="3:4" x14ac:dyDescent="0.2">
      <c r="C217" s="8"/>
      <c r="D217" s="8"/>
    </row>
    <row r="218" spans="3:4" x14ac:dyDescent="0.2">
      <c r="C218" s="8"/>
      <c r="D218" s="8"/>
    </row>
    <row r="219" spans="3:4" x14ac:dyDescent="0.2">
      <c r="C219" s="8"/>
      <c r="D219" s="8"/>
    </row>
    <row r="220" spans="3:4" x14ac:dyDescent="0.2">
      <c r="C220" s="8"/>
      <c r="D220" s="8"/>
    </row>
    <row r="221" spans="3:4" x14ac:dyDescent="0.2">
      <c r="C221" s="8"/>
      <c r="D221" s="8"/>
    </row>
    <row r="222" spans="3:4" x14ac:dyDescent="0.2">
      <c r="C222" s="8"/>
      <c r="D222" s="8"/>
    </row>
    <row r="223" spans="3:4" x14ac:dyDescent="0.2">
      <c r="C223" s="8"/>
      <c r="D223" s="8"/>
    </row>
    <row r="224" spans="3:4" x14ac:dyDescent="0.2">
      <c r="C224" s="8"/>
      <c r="D224" s="8"/>
    </row>
    <row r="225" spans="3:4" x14ac:dyDescent="0.2">
      <c r="C225" s="8"/>
      <c r="D225" s="8"/>
    </row>
    <row r="226" spans="3:4" x14ac:dyDescent="0.2">
      <c r="C226" s="8"/>
      <c r="D226" s="8"/>
    </row>
    <row r="227" spans="3:4" x14ac:dyDescent="0.2">
      <c r="C227" s="8"/>
      <c r="D227" s="8"/>
    </row>
    <row r="228" spans="3:4" x14ac:dyDescent="0.2">
      <c r="C228" s="8"/>
      <c r="D228" s="8"/>
    </row>
    <row r="229" spans="3:4" x14ac:dyDescent="0.2">
      <c r="C229" s="8"/>
      <c r="D229" s="8"/>
    </row>
    <row r="230" spans="3:4" x14ac:dyDescent="0.2">
      <c r="C230" s="8"/>
      <c r="D230" s="8"/>
    </row>
    <row r="231" spans="3:4" x14ac:dyDescent="0.2">
      <c r="C231" s="8"/>
      <c r="D231" s="8"/>
    </row>
    <row r="232" spans="3:4" x14ac:dyDescent="0.2">
      <c r="C232" s="8"/>
      <c r="D232" s="8"/>
    </row>
    <row r="233" spans="3:4" x14ac:dyDescent="0.2">
      <c r="C233" s="8"/>
      <c r="D233" s="8"/>
    </row>
    <row r="234" spans="3:4" x14ac:dyDescent="0.2">
      <c r="C234" s="8"/>
      <c r="D234" s="8"/>
    </row>
    <row r="235" spans="3:4" x14ac:dyDescent="0.2">
      <c r="C235" s="8"/>
      <c r="D235" s="8"/>
    </row>
    <row r="236" spans="3:4" x14ac:dyDescent="0.2">
      <c r="C236" s="8"/>
      <c r="D236" s="8"/>
    </row>
    <row r="237" spans="3:4" x14ac:dyDescent="0.2">
      <c r="C237" s="8"/>
      <c r="D237" s="8"/>
    </row>
    <row r="238" spans="3:4" x14ac:dyDescent="0.2">
      <c r="C238" s="8"/>
      <c r="D238" s="8"/>
    </row>
    <row r="239" spans="3:4" x14ac:dyDescent="0.2">
      <c r="C239" s="8"/>
      <c r="D239" s="8"/>
    </row>
    <row r="240" spans="3:4" x14ac:dyDescent="0.2">
      <c r="C240" s="8"/>
      <c r="D240" s="8"/>
    </row>
    <row r="241" spans="3:4" x14ac:dyDescent="0.2">
      <c r="C241" s="8"/>
      <c r="D241" s="8"/>
    </row>
    <row r="242" spans="3:4" x14ac:dyDescent="0.2">
      <c r="C242" s="8"/>
      <c r="D242" s="8"/>
    </row>
    <row r="243" spans="3:4" x14ac:dyDescent="0.2">
      <c r="C243" s="8"/>
      <c r="D243" s="8"/>
    </row>
    <row r="244" spans="3:4" x14ac:dyDescent="0.2">
      <c r="C244" s="8"/>
      <c r="D244" s="8"/>
    </row>
    <row r="245" spans="3:4" x14ac:dyDescent="0.2">
      <c r="C245" s="8"/>
      <c r="D245" s="8"/>
    </row>
    <row r="246" spans="3:4" x14ac:dyDescent="0.2">
      <c r="C246" s="8"/>
      <c r="D246" s="8"/>
    </row>
    <row r="247" spans="3:4" x14ac:dyDescent="0.2">
      <c r="C247" s="8"/>
      <c r="D247" s="8"/>
    </row>
    <row r="248" spans="3:4" x14ac:dyDescent="0.2">
      <c r="C248" s="8"/>
      <c r="D248" s="8"/>
    </row>
    <row r="249" spans="3:4" x14ac:dyDescent="0.2">
      <c r="C249" s="8"/>
      <c r="D249" s="8"/>
    </row>
    <row r="250" spans="3:4" x14ac:dyDescent="0.2">
      <c r="C250" s="8"/>
      <c r="D250" s="8"/>
    </row>
    <row r="251" spans="3:4" x14ac:dyDescent="0.2">
      <c r="C251" s="8"/>
      <c r="D251" s="8"/>
    </row>
    <row r="252" spans="3:4" x14ac:dyDescent="0.2">
      <c r="C252" s="8"/>
      <c r="D252" s="8"/>
    </row>
    <row r="253" spans="3:4" x14ac:dyDescent="0.2">
      <c r="C253" s="8"/>
      <c r="D253" s="8"/>
    </row>
    <row r="254" spans="3:4" x14ac:dyDescent="0.2">
      <c r="C254" s="8"/>
      <c r="D254" s="8"/>
    </row>
    <row r="255" spans="3:4" x14ac:dyDescent="0.2">
      <c r="C255" s="8"/>
      <c r="D255" s="8"/>
    </row>
    <row r="256" spans="3:4" x14ac:dyDescent="0.2">
      <c r="C256" s="8"/>
      <c r="D256" s="8"/>
    </row>
    <row r="257" spans="3:4" x14ac:dyDescent="0.2">
      <c r="C257" s="8"/>
      <c r="D257" s="8"/>
    </row>
    <row r="258" spans="3:4" x14ac:dyDescent="0.2">
      <c r="C258" s="8"/>
      <c r="D258" s="8"/>
    </row>
    <row r="259" spans="3:4" x14ac:dyDescent="0.2">
      <c r="C259" s="8"/>
      <c r="D259" s="8"/>
    </row>
    <row r="260" spans="3:4" x14ac:dyDescent="0.2">
      <c r="C260" s="8"/>
      <c r="D260" s="8"/>
    </row>
    <row r="261" spans="3:4" x14ac:dyDescent="0.2">
      <c r="C261" s="8"/>
      <c r="D261" s="8"/>
    </row>
    <row r="262" spans="3:4" x14ac:dyDescent="0.2">
      <c r="C262" s="8"/>
      <c r="D262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8621-8AE9-3643-B09E-5D017362C89C}">
  <dimension ref="A2:AS230"/>
  <sheetViews>
    <sheetView workbookViewId="0">
      <selection activeCell="B16" sqref="B16"/>
    </sheetView>
  </sheetViews>
  <sheetFormatPr baseColWidth="10" defaultRowHeight="16" x14ac:dyDescent="0.2"/>
  <cols>
    <col min="1" max="1" width="55.1640625" bestFit="1" customWidth="1"/>
    <col min="2" max="2" width="14.1640625" bestFit="1" customWidth="1"/>
    <col min="3" max="3" width="20.83203125" bestFit="1" customWidth="1"/>
    <col min="4" max="41" width="11.1640625" bestFit="1" customWidth="1"/>
    <col min="42" max="42" width="13.6640625" customWidth="1"/>
    <col min="43" max="43" width="14.5" customWidth="1"/>
    <col min="44" max="45" width="11.1640625" bestFit="1" customWidth="1"/>
  </cols>
  <sheetData>
    <row r="2" spans="1:45" x14ac:dyDescent="0.2">
      <c r="A2" t="s">
        <v>20</v>
      </c>
    </row>
    <row r="3" spans="1:45" x14ac:dyDescent="0.2">
      <c r="A3" t="s">
        <v>1</v>
      </c>
    </row>
    <row r="4" spans="1:45" x14ac:dyDescent="0.2">
      <c r="A4" t="s">
        <v>2</v>
      </c>
    </row>
    <row r="5" spans="1:45" x14ac:dyDescent="0.2">
      <c r="C5">
        <v>1979</v>
      </c>
      <c r="D5">
        <v>1980</v>
      </c>
      <c r="E5">
        <v>1981</v>
      </c>
      <c r="F5">
        <v>1982</v>
      </c>
      <c r="G5">
        <v>1983</v>
      </c>
      <c r="H5">
        <v>1984</v>
      </c>
      <c r="I5">
        <v>1985</v>
      </c>
      <c r="J5">
        <v>1986</v>
      </c>
      <c r="K5">
        <v>1987</v>
      </c>
      <c r="L5">
        <v>1988</v>
      </c>
      <c r="M5">
        <v>1989</v>
      </c>
      <c r="N5">
        <v>1990</v>
      </c>
      <c r="O5">
        <v>1991</v>
      </c>
      <c r="P5">
        <v>1992</v>
      </c>
      <c r="Q5">
        <v>1993</v>
      </c>
      <c r="R5">
        <v>1994</v>
      </c>
      <c r="S5">
        <v>1995</v>
      </c>
      <c r="T5">
        <v>1996</v>
      </c>
      <c r="U5">
        <v>1997</v>
      </c>
      <c r="V5">
        <v>1998</v>
      </c>
      <c r="W5">
        <v>1999</v>
      </c>
      <c r="X5">
        <v>2000</v>
      </c>
      <c r="Y5">
        <v>2001</v>
      </c>
      <c r="Z5">
        <v>2002</v>
      </c>
      <c r="AA5">
        <v>2003</v>
      </c>
      <c r="AB5">
        <v>2004</v>
      </c>
      <c r="AC5">
        <v>2005</v>
      </c>
      <c r="AD5">
        <v>2006</v>
      </c>
      <c r="AE5">
        <v>2007</v>
      </c>
      <c r="AF5">
        <v>2008</v>
      </c>
      <c r="AG5">
        <v>2009</v>
      </c>
      <c r="AH5">
        <v>2010</v>
      </c>
      <c r="AI5">
        <v>2011</v>
      </c>
      <c r="AJ5">
        <v>2012</v>
      </c>
      <c r="AK5">
        <v>2013</v>
      </c>
      <c r="AL5">
        <v>2014</v>
      </c>
      <c r="AM5">
        <v>2015</v>
      </c>
      <c r="AN5">
        <v>2016</v>
      </c>
      <c r="AO5">
        <v>2017</v>
      </c>
      <c r="AP5">
        <v>2018</v>
      </c>
      <c r="AQ5">
        <v>2019</v>
      </c>
      <c r="AR5">
        <v>2020</v>
      </c>
      <c r="AS5">
        <v>2021</v>
      </c>
    </row>
    <row r="6" spans="1:45" x14ac:dyDescent="0.2">
      <c r="A6" t="s">
        <v>3</v>
      </c>
    </row>
    <row r="7" spans="1:45" x14ac:dyDescent="0.2">
      <c r="B7" t="s">
        <v>4</v>
      </c>
      <c r="C7" s="9">
        <v>17100</v>
      </c>
      <c r="D7" s="9">
        <v>16500</v>
      </c>
      <c r="E7" s="9">
        <v>16300</v>
      </c>
      <c r="F7" s="9">
        <v>15700</v>
      </c>
      <c r="G7" s="9">
        <v>15000</v>
      </c>
      <c r="H7" s="9">
        <v>16200</v>
      </c>
      <c r="I7" s="9">
        <v>16100</v>
      </c>
      <c r="J7" s="9">
        <v>15900</v>
      </c>
      <c r="K7" s="9">
        <v>15300</v>
      </c>
      <c r="L7" s="9">
        <v>15900</v>
      </c>
      <c r="M7" s="9">
        <v>16600</v>
      </c>
      <c r="N7" s="9">
        <v>17100</v>
      </c>
      <c r="O7" s="9">
        <v>17200</v>
      </c>
      <c r="P7" s="9">
        <v>17300</v>
      </c>
      <c r="Q7" s="9">
        <v>17300</v>
      </c>
      <c r="R7" s="9">
        <v>17300</v>
      </c>
      <c r="S7" s="9">
        <v>18600</v>
      </c>
      <c r="T7" s="9">
        <v>18500</v>
      </c>
      <c r="U7" s="9">
        <v>19600</v>
      </c>
      <c r="V7" s="9">
        <v>21000</v>
      </c>
      <c r="W7" s="9">
        <v>21900</v>
      </c>
      <c r="X7" s="9">
        <v>21100</v>
      </c>
      <c r="Y7" s="9">
        <v>20600</v>
      </c>
      <c r="Z7" s="9">
        <v>20400</v>
      </c>
      <c r="AA7" s="9">
        <v>20100</v>
      </c>
      <c r="AB7" s="9">
        <v>20300</v>
      </c>
      <c r="AC7" s="9">
        <v>20900</v>
      </c>
      <c r="AD7" s="9">
        <v>21800</v>
      </c>
      <c r="AE7" s="9">
        <v>23000</v>
      </c>
      <c r="AF7" s="9">
        <v>22800</v>
      </c>
      <c r="AG7" s="9">
        <v>22000</v>
      </c>
      <c r="AH7" s="9">
        <v>21400</v>
      </c>
      <c r="AI7" s="9">
        <v>21600</v>
      </c>
      <c r="AJ7" s="9">
        <v>20900</v>
      </c>
      <c r="AK7" s="9">
        <v>21500</v>
      </c>
      <c r="AL7" s="9">
        <v>20900</v>
      </c>
      <c r="AM7" s="9">
        <v>22200</v>
      </c>
      <c r="AN7" s="9">
        <v>22400</v>
      </c>
      <c r="AO7" s="9">
        <v>22700</v>
      </c>
      <c r="AP7" s="9">
        <v>23300</v>
      </c>
      <c r="AQ7" s="9">
        <v>25200</v>
      </c>
      <c r="AR7" s="9">
        <v>22300</v>
      </c>
      <c r="AS7" s="9">
        <v>22500</v>
      </c>
    </row>
    <row r="8" spans="1:45" x14ac:dyDescent="0.2">
      <c r="B8" t="s">
        <v>5</v>
      </c>
      <c r="C8" s="9">
        <v>41200</v>
      </c>
      <c r="D8" s="9">
        <v>39400</v>
      </c>
      <c r="E8" s="9">
        <v>39200</v>
      </c>
      <c r="F8" s="9">
        <v>38300</v>
      </c>
      <c r="G8" s="9">
        <v>37300</v>
      </c>
      <c r="H8" s="9">
        <v>39800</v>
      </c>
      <c r="I8" s="9">
        <v>39700</v>
      </c>
      <c r="J8" s="9">
        <v>40200</v>
      </c>
      <c r="K8" s="9">
        <v>39200</v>
      </c>
      <c r="L8" s="9">
        <v>39900</v>
      </c>
      <c r="M8" s="9">
        <v>40300</v>
      </c>
      <c r="N8" s="9">
        <v>41600</v>
      </c>
      <c r="O8" s="9">
        <v>40600</v>
      </c>
      <c r="P8" s="9">
        <v>40200</v>
      </c>
      <c r="Q8" s="9">
        <v>40300</v>
      </c>
      <c r="R8" s="9">
        <v>40800</v>
      </c>
      <c r="S8" s="9">
        <v>42900</v>
      </c>
      <c r="T8" s="9">
        <v>42900</v>
      </c>
      <c r="U8" s="9">
        <v>44400</v>
      </c>
      <c r="V8" s="9">
        <v>46500</v>
      </c>
      <c r="W8" s="9">
        <v>48300</v>
      </c>
      <c r="X8" s="9">
        <v>47600</v>
      </c>
      <c r="Y8" s="9">
        <v>47800</v>
      </c>
      <c r="Z8" s="9">
        <v>46400</v>
      </c>
      <c r="AA8" s="9">
        <v>45900</v>
      </c>
      <c r="AB8" s="9">
        <v>46500</v>
      </c>
      <c r="AC8" s="9">
        <v>47600</v>
      </c>
      <c r="AD8" s="9">
        <v>48600</v>
      </c>
      <c r="AE8" s="9">
        <v>51300</v>
      </c>
      <c r="AF8" s="9">
        <v>49100</v>
      </c>
      <c r="AG8" s="9">
        <v>47700</v>
      </c>
      <c r="AH8" s="9">
        <v>47000</v>
      </c>
      <c r="AI8" s="9">
        <v>46800</v>
      </c>
      <c r="AJ8" s="9">
        <v>46500</v>
      </c>
      <c r="AK8" s="9">
        <v>47500</v>
      </c>
      <c r="AL8" s="9">
        <v>47500</v>
      </c>
      <c r="AM8" s="9">
        <v>49800</v>
      </c>
      <c r="AN8" s="9">
        <v>50400</v>
      </c>
      <c r="AO8" s="9">
        <v>51100</v>
      </c>
      <c r="AP8" s="9">
        <v>52300</v>
      </c>
      <c r="AQ8" s="9">
        <v>55600</v>
      </c>
      <c r="AR8" s="9">
        <v>53500</v>
      </c>
      <c r="AS8" s="9">
        <v>53600</v>
      </c>
    </row>
    <row r="9" spans="1:45" x14ac:dyDescent="0.2">
      <c r="B9" t="s">
        <v>6</v>
      </c>
      <c r="C9" s="9">
        <v>63100</v>
      </c>
      <c r="D9" s="9">
        <v>61000</v>
      </c>
      <c r="E9" s="9">
        <v>60600</v>
      </c>
      <c r="F9" s="9">
        <v>59700</v>
      </c>
      <c r="G9" s="9">
        <v>58900</v>
      </c>
      <c r="H9" s="9">
        <v>62400</v>
      </c>
      <c r="I9" s="9">
        <v>62500</v>
      </c>
      <c r="J9" s="9">
        <v>63800</v>
      </c>
      <c r="K9" s="9">
        <v>63300</v>
      </c>
      <c r="L9" s="9">
        <v>64300</v>
      </c>
      <c r="M9" s="9">
        <v>65000</v>
      </c>
      <c r="N9" s="9">
        <v>65400</v>
      </c>
      <c r="O9" s="9">
        <v>64200</v>
      </c>
      <c r="P9" s="9">
        <v>64500</v>
      </c>
      <c r="Q9" s="9">
        <v>64800</v>
      </c>
      <c r="R9" s="9">
        <v>65000</v>
      </c>
      <c r="S9" s="9">
        <v>67200</v>
      </c>
      <c r="T9" s="9">
        <v>68200</v>
      </c>
      <c r="U9" s="9">
        <v>69500</v>
      </c>
      <c r="V9" s="9">
        <v>71700</v>
      </c>
      <c r="W9" s="9">
        <v>73700</v>
      </c>
      <c r="X9" s="9">
        <v>73600</v>
      </c>
      <c r="Y9" s="9">
        <v>74600</v>
      </c>
      <c r="Z9" s="9">
        <v>73200</v>
      </c>
      <c r="AA9" s="9">
        <v>73000</v>
      </c>
      <c r="AB9" s="9">
        <v>75400</v>
      </c>
      <c r="AC9" s="9">
        <v>76400</v>
      </c>
      <c r="AD9" s="9">
        <v>77200</v>
      </c>
      <c r="AE9" s="9">
        <v>79900</v>
      </c>
      <c r="AF9" s="9">
        <v>77600</v>
      </c>
      <c r="AG9" s="9">
        <v>76200</v>
      </c>
      <c r="AH9" s="9">
        <v>75100</v>
      </c>
      <c r="AI9" s="9">
        <v>74700</v>
      </c>
      <c r="AJ9" s="9">
        <v>74800</v>
      </c>
      <c r="AK9" s="9">
        <v>76000</v>
      </c>
      <c r="AL9" s="9">
        <v>77500</v>
      </c>
      <c r="AM9" s="9">
        <v>80200</v>
      </c>
      <c r="AN9" s="9">
        <v>80800</v>
      </c>
      <c r="AO9" s="9">
        <v>82100</v>
      </c>
      <c r="AP9" s="9">
        <v>83100</v>
      </c>
      <c r="AQ9" s="9">
        <v>86600</v>
      </c>
      <c r="AR9" s="9">
        <v>86300</v>
      </c>
      <c r="AS9" s="9">
        <v>86500</v>
      </c>
    </row>
    <row r="10" spans="1:45" x14ac:dyDescent="0.2">
      <c r="B10" t="s">
        <v>7</v>
      </c>
      <c r="C10" s="9">
        <v>85700</v>
      </c>
      <c r="D10" s="9">
        <v>83300</v>
      </c>
      <c r="E10" s="9">
        <v>84200</v>
      </c>
      <c r="F10" s="9">
        <v>83400</v>
      </c>
      <c r="G10" s="9">
        <v>83000</v>
      </c>
      <c r="H10" s="9">
        <v>87300</v>
      </c>
      <c r="I10" s="9">
        <v>87600</v>
      </c>
      <c r="J10" s="9">
        <v>90600</v>
      </c>
      <c r="K10" s="9">
        <v>91100</v>
      </c>
      <c r="L10" s="9">
        <v>91700</v>
      </c>
      <c r="M10" s="9">
        <v>92800</v>
      </c>
      <c r="N10" s="9">
        <v>91900</v>
      </c>
      <c r="O10" s="9">
        <v>91300</v>
      </c>
      <c r="P10" s="9">
        <v>92100</v>
      </c>
      <c r="Q10" s="9">
        <v>92900</v>
      </c>
      <c r="R10" s="9">
        <v>94100</v>
      </c>
      <c r="S10" s="9">
        <v>96100</v>
      </c>
      <c r="T10" s="9">
        <v>98200</v>
      </c>
      <c r="U10" s="9">
        <v>100700</v>
      </c>
      <c r="V10" s="9">
        <v>105100</v>
      </c>
      <c r="W10" s="9">
        <v>108500</v>
      </c>
      <c r="X10" s="9">
        <v>110100</v>
      </c>
      <c r="Y10" s="9">
        <v>108400</v>
      </c>
      <c r="Z10" s="9">
        <v>106600</v>
      </c>
      <c r="AA10" s="9">
        <v>107800</v>
      </c>
      <c r="AB10" s="9">
        <v>111000</v>
      </c>
      <c r="AC10" s="9">
        <v>113100</v>
      </c>
      <c r="AD10" s="9">
        <v>115400</v>
      </c>
      <c r="AE10" s="9">
        <v>118200</v>
      </c>
      <c r="AF10" s="9">
        <v>115400</v>
      </c>
      <c r="AG10" s="9">
        <v>113000</v>
      </c>
      <c r="AH10" s="9">
        <v>112600</v>
      </c>
      <c r="AI10" s="9">
        <v>112600</v>
      </c>
      <c r="AJ10" s="9">
        <v>113200</v>
      </c>
      <c r="AK10" s="9">
        <v>116000</v>
      </c>
      <c r="AL10" s="9">
        <v>117800</v>
      </c>
      <c r="AM10" s="9">
        <v>121700</v>
      </c>
      <c r="AN10" s="9">
        <v>122200</v>
      </c>
      <c r="AO10" s="9">
        <v>124400</v>
      </c>
      <c r="AP10" s="9">
        <v>125900</v>
      </c>
      <c r="AQ10" s="9">
        <v>130400</v>
      </c>
      <c r="AR10" s="9">
        <v>132000</v>
      </c>
      <c r="AS10" s="9">
        <v>132500</v>
      </c>
    </row>
    <row r="11" spans="1:45" x14ac:dyDescent="0.2">
      <c r="B11" t="s">
        <v>8</v>
      </c>
      <c r="C11" s="9">
        <v>162500</v>
      </c>
      <c r="D11" s="9">
        <v>158200</v>
      </c>
      <c r="E11" s="9">
        <v>157600</v>
      </c>
      <c r="F11" s="9">
        <v>158700</v>
      </c>
      <c r="G11" s="9">
        <v>164500</v>
      </c>
      <c r="H11" s="9">
        <v>178400</v>
      </c>
      <c r="I11" s="9">
        <v>180600</v>
      </c>
      <c r="J11" s="9">
        <v>202700</v>
      </c>
      <c r="K11" s="9">
        <v>191900</v>
      </c>
      <c r="L11" s="9">
        <v>205400</v>
      </c>
      <c r="M11" s="9">
        <v>204600</v>
      </c>
      <c r="N11" s="9">
        <v>199700</v>
      </c>
      <c r="O11" s="9">
        <v>192900</v>
      </c>
      <c r="P11" s="9">
        <v>201200</v>
      </c>
      <c r="Q11" s="9">
        <v>201400</v>
      </c>
      <c r="R11" s="9">
        <v>205500</v>
      </c>
      <c r="S11" s="9">
        <v>215800</v>
      </c>
      <c r="T11" s="9">
        <v>227900</v>
      </c>
      <c r="U11" s="9">
        <v>242200</v>
      </c>
      <c r="V11" s="9">
        <v>258500</v>
      </c>
      <c r="W11" s="9">
        <v>275100</v>
      </c>
      <c r="X11" s="9">
        <v>288700</v>
      </c>
      <c r="Y11" s="9">
        <v>263200</v>
      </c>
      <c r="Z11" s="9">
        <v>250500</v>
      </c>
      <c r="AA11" s="9">
        <v>258700</v>
      </c>
      <c r="AB11" s="9">
        <v>281600</v>
      </c>
      <c r="AC11" s="9">
        <v>305400</v>
      </c>
      <c r="AD11" s="9">
        <v>317900</v>
      </c>
      <c r="AE11" s="9">
        <v>330100</v>
      </c>
      <c r="AF11" s="9">
        <v>299400</v>
      </c>
      <c r="AG11" s="9">
        <v>272100</v>
      </c>
      <c r="AH11" s="9">
        <v>284100</v>
      </c>
      <c r="AI11" s="9">
        <v>287200</v>
      </c>
      <c r="AJ11" s="9">
        <v>310300</v>
      </c>
      <c r="AK11" s="9">
        <v>299400</v>
      </c>
      <c r="AL11" s="9">
        <v>316400</v>
      </c>
      <c r="AM11" s="9">
        <v>327700</v>
      </c>
      <c r="AN11" s="9">
        <v>323700</v>
      </c>
      <c r="AO11" s="9">
        <v>337500</v>
      </c>
      <c r="AP11" s="9">
        <v>344900</v>
      </c>
      <c r="AQ11" s="9">
        <v>351500</v>
      </c>
      <c r="AR11" s="9">
        <v>373200</v>
      </c>
      <c r="AS11" s="9">
        <v>418100</v>
      </c>
    </row>
    <row r="14" spans="1:45" x14ac:dyDescent="0.2">
      <c r="B14" s="1"/>
    </row>
    <row r="16" spans="1:45" x14ac:dyDescent="0.2">
      <c r="B16" s="1"/>
      <c r="C16" s="9"/>
    </row>
    <row r="17" spans="2:3" x14ac:dyDescent="0.2">
      <c r="B17" s="1"/>
      <c r="C17" s="9"/>
    </row>
    <row r="18" spans="2:3" x14ac:dyDescent="0.2">
      <c r="B18" s="1"/>
      <c r="C18" s="9"/>
    </row>
    <row r="19" spans="2:3" x14ac:dyDescent="0.2">
      <c r="B19" s="1"/>
      <c r="C19" s="9"/>
    </row>
    <row r="20" spans="2:3" x14ac:dyDescent="0.2">
      <c r="B20" s="1"/>
      <c r="C20" s="9"/>
    </row>
    <row r="21" spans="2:3" x14ac:dyDescent="0.2">
      <c r="B21" s="1"/>
      <c r="C21" s="9"/>
    </row>
    <row r="22" spans="2:3" x14ac:dyDescent="0.2">
      <c r="B22" s="1"/>
      <c r="C22" s="9"/>
    </row>
    <row r="23" spans="2:3" x14ac:dyDescent="0.2">
      <c r="B23" s="1"/>
      <c r="C23" s="9"/>
    </row>
    <row r="24" spans="2:3" x14ac:dyDescent="0.2">
      <c r="B24" s="1"/>
      <c r="C24" s="9"/>
    </row>
    <row r="25" spans="2:3" x14ac:dyDescent="0.2">
      <c r="B25" s="1"/>
      <c r="C25" s="9"/>
    </row>
    <row r="26" spans="2:3" x14ac:dyDescent="0.2">
      <c r="B26" s="1"/>
      <c r="C26" s="9"/>
    </row>
    <row r="27" spans="2:3" x14ac:dyDescent="0.2">
      <c r="B27" s="1"/>
      <c r="C27" s="9"/>
    </row>
    <row r="28" spans="2:3" x14ac:dyDescent="0.2">
      <c r="B28" s="1"/>
      <c r="C28" s="9"/>
    </row>
    <row r="29" spans="2:3" x14ac:dyDescent="0.2">
      <c r="B29" s="1"/>
      <c r="C29" s="9"/>
    </row>
    <row r="30" spans="2:3" x14ac:dyDescent="0.2">
      <c r="B30" s="1"/>
      <c r="C30" s="9"/>
    </row>
    <row r="31" spans="2:3" x14ac:dyDescent="0.2">
      <c r="B31" s="1"/>
      <c r="C31" s="9"/>
    </row>
    <row r="32" spans="2:3" x14ac:dyDescent="0.2">
      <c r="B32" s="1"/>
      <c r="C32" s="9"/>
    </row>
    <row r="33" spans="2:3" x14ac:dyDescent="0.2">
      <c r="B33" s="1"/>
      <c r="C33" s="9"/>
    </row>
    <row r="34" spans="2:3" x14ac:dyDescent="0.2">
      <c r="B34" s="1"/>
      <c r="C34" s="9"/>
    </row>
    <row r="35" spans="2:3" x14ac:dyDescent="0.2">
      <c r="B35" s="1"/>
      <c r="C35" s="9"/>
    </row>
    <row r="36" spans="2:3" x14ac:dyDescent="0.2">
      <c r="B36" s="1"/>
      <c r="C36" s="9"/>
    </row>
    <row r="37" spans="2:3" x14ac:dyDescent="0.2">
      <c r="B37" s="1"/>
      <c r="C37" s="9"/>
    </row>
    <row r="38" spans="2:3" x14ac:dyDescent="0.2">
      <c r="B38" s="1"/>
      <c r="C38" s="9"/>
    </row>
    <row r="39" spans="2:3" x14ac:dyDescent="0.2">
      <c r="B39" s="1"/>
      <c r="C39" s="9"/>
    </row>
    <row r="40" spans="2:3" x14ac:dyDescent="0.2">
      <c r="B40" s="1"/>
      <c r="C40" s="9"/>
    </row>
    <row r="41" spans="2:3" x14ac:dyDescent="0.2">
      <c r="B41" s="1"/>
      <c r="C41" s="9"/>
    </row>
    <row r="42" spans="2:3" x14ac:dyDescent="0.2">
      <c r="B42" s="1"/>
      <c r="C42" s="9"/>
    </row>
    <row r="43" spans="2:3" x14ac:dyDescent="0.2">
      <c r="B43" s="1"/>
      <c r="C43" s="9"/>
    </row>
    <row r="44" spans="2:3" x14ac:dyDescent="0.2">
      <c r="B44" s="1"/>
      <c r="C44" s="9"/>
    </row>
    <row r="45" spans="2:3" x14ac:dyDescent="0.2">
      <c r="B45" s="1"/>
      <c r="C45" s="9"/>
    </row>
    <row r="46" spans="2:3" x14ac:dyDescent="0.2">
      <c r="B46" s="1"/>
      <c r="C46" s="9"/>
    </row>
    <row r="47" spans="2:3" x14ac:dyDescent="0.2">
      <c r="B47" s="1"/>
      <c r="C47" s="9"/>
    </row>
    <row r="48" spans="2:3" x14ac:dyDescent="0.2">
      <c r="B48" s="1"/>
      <c r="C48" s="9"/>
    </row>
    <row r="49" spans="2:3" x14ac:dyDescent="0.2">
      <c r="B49" s="1"/>
      <c r="C49" s="9"/>
    </row>
    <row r="50" spans="2:3" x14ac:dyDescent="0.2">
      <c r="B50" s="1"/>
      <c r="C50" s="9"/>
    </row>
    <row r="51" spans="2:3" x14ac:dyDescent="0.2">
      <c r="B51" s="1"/>
      <c r="C51" s="9"/>
    </row>
    <row r="52" spans="2:3" x14ac:dyDescent="0.2">
      <c r="B52" s="1"/>
      <c r="C52" s="9"/>
    </row>
    <row r="53" spans="2:3" x14ac:dyDescent="0.2">
      <c r="B53" s="1"/>
      <c r="C53" s="9"/>
    </row>
    <row r="54" spans="2:3" x14ac:dyDescent="0.2">
      <c r="B54" s="1"/>
      <c r="C54" s="9"/>
    </row>
    <row r="55" spans="2:3" x14ac:dyDescent="0.2">
      <c r="B55" s="1"/>
      <c r="C55" s="9"/>
    </row>
    <row r="56" spans="2:3" x14ac:dyDescent="0.2">
      <c r="B56" s="1"/>
      <c r="C56" s="9"/>
    </row>
    <row r="57" spans="2:3" x14ac:dyDescent="0.2">
      <c r="B57" s="1"/>
      <c r="C57" s="9"/>
    </row>
    <row r="58" spans="2:3" x14ac:dyDescent="0.2">
      <c r="B58" s="1"/>
      <c r="C58" s="9"/>
    </row>
    <row r="59" spans="2:3" x14ac:dyDescent="0.2">
      <c r="B59" s="1"/>
      <c r="C59" s="9"/>
    </row>
    <row r="60" spans="2:3" x14ac:dyDescent="0.2">
      <c r="B60" s="1"/>
      <c r="C60" s="9"/>
    </row>
    <row r="61" spans="2:3" x14ac:dyDescent="0.2">
      <c r="C61" s="9"/>
    </row>
    <row r="62" spans="2:3" x14ac:dyDescent="0.2">
      <c r="C62" s="9"/>
    </row>
    <row r="63" spans="2:3" x14ac:dyDescent="0.2">
      <c r="C63" s="9"/>
    </row>
    <row r="64" spans="2:3" x14ac:dyDescent="0.2">
      <c r="C64" s="9"/>
    </row>
    <row r="65" spans="3:3" x14ac:dyDescent="0.2">
      <c r="C65" s="9"/>
    </row>
    <row r="66" spans="3:3" x14ac:dyDescent="0.2">
      <c r="C66" s="9"/>
    </row>
    <row r="67" spans="3:3" x14ac:dyDescent="0.2">
      <c r="C67" s="9"/>
    </row>
    <row r="68" spans="3:3" x14ac:dyDescent="0.2">
      <c r="C68" s="9"/>
    </row>
    <row r="69" spans="3:3" x14ac:dyDescent="0.2">
      <c r="C69" s="9"/>
    </row>
    <row r="70" spans="3:3" x14ac:dyDescent="0.2">
      <c r="C70" s="9"/>
    </row>
    <row r="71" spans="3:3" x14ac:dyDescent="0.2">
      <c r="C71" s="9"/>
    </row>
    <row r="72" spans="3:3" x14ac:dyDescent="0.2">
      <c r="C72" s="9"/>
    </row>
    <row r="73" spans="3:3" x14ac:dyDescent="0.2">
      <c r="C73" s="9"/>
    </row>
    <row r="74" spans="3:3" x14ac:dyDescent="0.2">
      <c r="C74" s="9"/>
    </row>
    <row r="75" spans="3:3" x14ac:dyDescent="0.2">
      <c r="C75" s="9"/>
    </row>
    <row r="76" spans="3:3" x14ac:dyDescent="0.2">
      <c r="C76" s="9"/>
    </row>
    <row r="77" spans="3:3" x14ac:dyDescent="0.2">
      <c r="C77" s="9"/>
    </row>
    <row r="78" spans="3:3" x14ac:dyDescent="0.2">
      <c r="C78" s="9"/>
    </row>
    <row r="79" spans="3:3" x14ac:dyDescent="0.2">
      <c r="C79" s="9"/>
    </row>
    <row r="80" spans="3:3" x14ac:dyDescent="0.2">
      <c r="C80" s="9"/>
    </row>
    <row r="81" spans="3:3" x14ac:dyDescent="0.2">
      <c r="C81" s="9"/>
    </row>
    <row r="82" spans="3:3" x14ac:dyDescent="0.2">
      <c r="C82" s="9"/>
    </row>
    <row r="83" spans="3:3" x14ac:dyDescent="0.2">
      <c r="C83" s="9"/>
    </row>
    <row r="84" spans="3:3" x14ac:dyDescent="0.2">
      <c r="C84" s="9"/>
    </row>
    <row r="85" spans="3:3" x14ac:dyDescent="0.2">
      <c r="C85" s="9"/>
    </row>
    <row r="86" spans="3:3" x14ac:dyDescent="0.2">
      <c r="C86" s="9"/>
    </row>
    <row r="87" spans="3:3" x14ac:dyDescent="0.2">
      <c r="C87" s="9"/>
    </row>
    <row r="88" spans="3:3" x14ac:dyDescent="0.2">
      <c r="C88" s="9"/>
    </row>
    <row r="89" spans="3:3" x14ac:dyDescent="0.2">
      <c r="C89" s="9"/>
    </row>
    <row r="90" spans="3:3" x14ac:dyDescent="0.2">
      <c r="C90" s="9"/>
    </row>
    <row r="91" spans="3:3" x14ac:dyDescent="0.2">
      <c r="C91" s="9"/>
    </row>
    <row r="92" spans="3:3" x14ac:dyDescent="0.2">
      <c r="C92" s="9"/>
    </row>
    <row r="93" spans="3:3" x14ac:dyDescent="0.2">
      <c r="C93" s="9"/>
    </row>
    <row r="94" spans="3:3" x14ac:dyDescent="0.2">
      <c r="C94" s="9"/>
    </row>
    <row r="95" spans="3:3" x14ac:dyDescent="0.2">
      <c r="C95" s="9"/>
    </row>
    <row r="96" spans="3:3" x14ac:dyDescent="0.2">
      <c r="C96" s="9"/>
    </row>
    <row r="97" spans="3:3" x14ac:dyDescent="0.2">
      <c r="C97" s="9"/>
    </row>
    <row r="98" spans="3:3" x14ac:dyDescent="0.2">
      <c r="C98" s="9"/>
    </row>
    <row r="99" spans="3:3" x14ac:dyDescent="0.2">
      <c r="C99" s="9"/>
    </row>
    <row r="100" spans="3:3" x14ac:dyDescent="0.2">
      <c r="C100" s="9"/>
    </row>
    <row r="101" spans="3:3" x14ac:dyDescent="0.2">
      <c r="C101" s="9"/>
    </row>
    <row r="102" spans="3:3" x14ac:dyDescent="0.2">
      <c r="C102" s="9"/>
    </row>
    <row r="103" spans="3:3" x14ac:dyDescent="0.2">
      <c r="C103" s="9"/>
    </row>
    <row r="104" spans="3:3" x14ac:dyDescent="0.2">
      <c r="C104" s="9"/>
    </row>
    <row r="105" spans="3:3" x14ac:dyDescent="0.2">
      <c r="C105" s="9"/>
    </row>
    <row r="106" spans="3:3" x14ac:dyDescent="0.2">
      <c r="C106" s="9"/>
    </row>
    <row r="107" spans="3:3" x14ac:dyDescent="0.2">
      <c r="C107" s="9"/>
    </row>
    <row r="108" spans="3:3" x14ac:dyDescent="0.2">
      <c r="C108" s="9"/>
    </row>
    <row r="109" spans="3:3" x14ac:dyDescent="0.2">
      <c r="C109" s="9"/>
    </row>
    <row r="110" spans="3:3" x14ac:dyDescent="0.2">
      <c r="C110" s="9"/>
    </row>
    <row r="111" spans="3:3" x14ac:dyDescent="0.2">
      <c r="C111" s="9"/>
    </row>
    <row r="112" spans="3:3" x14ac:dyDescent="0.2">
      <c r="C112" s="9"/>
    </row>
    <row r="113" spans="3:3" x14ac:dyDescent="0.2">
      <c r="C113" s="9"/>
    </row>
    <row r="114" spans="3:3" x14ac:dyDescent="0.2">
      <c r="C114" s="9"/>
    </row>
    <row r="115" spans="3:3" x14ac:dyDescent="0.2">
      <c r="C115" s="9"/>
    </row>
    <row r="116" spans="3:3" x14ac:dyDescent="0.2">
      <c r="C116" s="9"/>
    </row>
    <row r="117" spans="3:3" x14ac:dyDescent="0.2">
      <c r="C117" s="9"/>
    </row>
    <row r="118" spans="3:3" x14ac:dyDescent="0.2">
      <c r="C118" s="9"/>
    </row>
    <row r="119" spans="3:3" x14ac:dyDescent="0.2">
      <c r="C119" s="9"/>
    </row>
    <row r="120" spans="3:3" x14ac:dyDescent="0.2">
      <c r="C120" s="9"/>
    </row>
    <row r="121" spans="3:3" x14ac:dyDescent="0.2">
      <c r="C121" s="9"/>
    </row>
    <row r="122" spans="3:3" x14ac:dyDescent="0.2">
      <c r="C122" s="9"/>
    </row>
    <row r="123" spans="3:3" x14ac:dyDescent="0.2">
      <c r="C123" s="9"/>
    </row>
    <row r="124" spans="3:3" x14ac:dyDescent="0.2">
      <c r="C124" s="9"/>
    </row>
    <row r="125" spans="3:3" x14ac:dyDescent="0.2">
      <c r="C125" s="9"/>
    </row>
    <row r="126" spans="3:3" x14ac:dyDescent="0.2">
      <c r="C126" s="9"/>
    </row>
    <row r="127" spans="3:3" x14ac:dyDescent="0.2">
      <c r="C127" s="9"/>
    </row>
    <row r="128" spans="3:3" x14ac:dyDescent="0.2">
      <c r="C128" s="9"/>
    </row>
    <row r="129" spans="3:3" x14ac:dyDescent="0.2">
      <c r="C129" s="9"/>
    </row>
    <row r="130" spans="3:3" x14ac:dyDescent="0.2">
      <c r="C130" s="9"/>
    </row>
    <row r="131" spans="3:3" x14ac:dyDescent="0.2">
      <c r="C131" s="9"/>
    </row>
    <row r="132" spans="3:3" x14ac:dyDescent="0.2">
      <c r="C132" s="9"/>
    </row>
    <row r="133" spans="3:3" x14ac:dyDescent="0.2">
      <c r="C133" s="9"/>
    </row>
    <row r="134" spans="3:3" x14ac:dyDescent="0.2">
      <c r="C134" s="9"/>
    </row>
    <row r="135" spans="3:3" x14ac:dyDescent="0.2">
      <c r="C135" s="9"/>
    </row>
    <row r="136" spans="3:3" x14ac:dyDescent="0.2">
      <c r="C136" s="9"/>
    </row>
    <row r="137" spans="3:3" x14ac:dyDescent="0.2">
      <c r="C137" s="9"/>
    </row>
    <row r="138" spans="3:3" x14ac:dyDescent="0.2">
      <c r="C138" s="9"/>
    </row>
    <row r="139" spans="3:3" x14ac:dyDescent="0.2">
      <c r="C139" s="9"/>
    </row>
    <row r="140" spans="3:3" x14ac:dyDescent="0.2">
      <c r="C140" s="9"/>
    </row>
    <row r="141" spans="3:3" x14ac:dyDescent="0.2">
      <c r="C141" s="9"/>
    </row>
    <row r="142" spans="3:3" x14ac:dyDescent="0.2">
      <c r="C142" s="9"/>
    </row>
    <row r="143" spans="3:3" x14ac:dyDescent="0.2">
      <c r="C143" s="9"/>
    </row>
    <row r="144" spans="3:3" x14ac:dyDescent="0.2">
      <c r="C144" s="9"/>
    </row>
    <row r="145" spans="3:3" x14ac:dyDescent="0.2">
      <c r="C145" s="9"/>
    </row>
    <row r="146" spans="3:3" x14ac:dyDescent="0.2">
      <c r="C146" s="9"/>
    </row>
    <row r="147" spans="3:3" x14ac:dyDescent="0.2">
      <c r="C147" s="9"/>
    </row>
    <row r="148" spans="3:3" x14ac:dyDescent="0.2">
      <c r="C148" s="9"/>
    </row>
    <row r="149" spans="3:3" x14ac:dyDescent="0.2">
      <c r="C149" s="9"/>
    </row>
    <row r="150" spans="3:3" x14ac:dyDescent="0.2">
      <c r="C150" s="9"/>
    </row>
    <row r="151" spans="3:3" x14ac:dyDescent="0.2">
      <c r="C151" s="9"/>
    </row>
    <row r="152" spans="3:3" x14ac:dyDescent="0.2">
      <c r="C152" s="9"/>
    </row>
    <row r="153" spans="3:3" x14ac:dyDescent="0.2">
      <c r="C153" s="9"/>
    </row>
    <row r="154" spans="3:3" x14ac:dyDescent="0.2">
      <c r="C154" s="9"/>
    </row>
    <row r="155" spans="3:3" x14ac:dyDescent="0.2">
      <c r="C155" s="9"/>
    </row>
    <row r="156" spans="3:3" x14ac:dyDescent="0.2">
      <c r="C156" s="9"/>
    </row>
    <row r="157" spans="3:3" x14ac:dyDescent="0.2">
      <c r="C157" s="9"/>
    </row>
    <row r="158" spans="3:3" x14ac:dyDescent="0.2">
      <c r="C158" s="9"/>
    </row>
    <row r="159" spans="3:3" x14ac:dyDescent="0.2">
      <c r="C159" s="9"/>
    </row>
    <row r="160" spans="3:3" x14ac:dyDescent="0.2">
      <c r="C160" s="9"/>
    </row>
    <row r="161" spans="3:3" x14ac:dyDescent="0.2">
      <c r="C161" s="9"/>
    </row>
    <row r="162" spans="3:3" x14ac:dyDescent="0.2">
      <c r="C162" s="9"/>
    </row>
    <row r="163" spans="3:3" x14ac:dyDescent="0.2">
      <c r="C163" s="9"/>
    </row>
    <row r="164" spans="3:3" x14ac:dyDescent="0.2">
      <c r="C164" s="9"/>
    </row>
    <row r="165" spans="3:3" x14ac:dyDescent="0.2">
      <c r="C165" s="9"/>
    </row>
    <row r="166" spans="3:3" x14ac:dyDescent="0.2">
      <c r="C166" s="9"/>
    </row>
    <row r="167" spans="3:3" x14ac:dyDescent="0.2">
      <c r="C167" s="9"/>
    </row>
    <row r="168" spans="3:3" x14ac:dyDescent="0.2">
      <c r="C168" s="9"/>
    </row>
    <row r="169" spans="3:3" x14ac:dyDescent="0.2">
      <c r="C169" s="9"/>
    </row>
    <row r="170" spans="3:3" x14ac:dyDescent="0.2">
      <c r="C170" s="9"/>
    </row>
    <row r="171" spans="3:3" x14ac:dyDescent="0.2">
      <c r="C171" s="9"/>
    </row>
    <row r="172" spans="3:3" x14ac:dyDescent="0.2">
      <c r="C172" s="9"/>
    </row>
    <row r="173" spans="3:3" x14ac:dyDescent="0.2">
      <c r="C173" s="9"/>
    </row>
    <row r="174" spans="3:3" x14ac:dyDescent="0.2">
      <c r="C174" s="9"/>
    </row>
    <row r="175" spans="3:3" x14ac:dyDescent="0.2">
      <c r="C175" s="9"/>
    </row>
    <row r="176" spans="3:3" x14ac:dyDescent="0.2">
      <c r="C176" s="9"/>
    </row>
    <row r="177" spans="3:3" x14ac:dyDescent="0.2">
      <c r="C177" s="9"/>
    </row>
    <row r="178" spans="3:3" x14ac:dyDescent="0.2">
      <c r="C178" s="9"/>
    </row>
    <row r="179" spans="3:3" x14ac:dyDescent="0.2">
      <c r="C179" s="9"/>
    </row>
    <row r="180" spans="3:3" x14ac:dyDescent="0.2">
      <c r="C180" s="9"/>
    </row>
    <row r="181" spans="3:3" x14ac:dyDescent="0.2">
      <c r="C181" s="9"/>
    </row>
    <row r="182" spans="3:3" x14ac:dyDescent="0.2">
      <c r="C182" s="9"/>
    </row>
    <row r="183" spans="3:3" x14ac:dyDescent="0.2">
      <c r="C183" s="9"/>
    </row>
    <row r="184" spans="3:3" x14ac:dyDescent="0.2">
      <c r="C184" s="9"/>
    </row>
    <row r="185" spans="3:3" x14ac:dyDescent="0.2">
      <c r="C185" s="9"/>
    </row>
    <row r="186" spans="3:3" x14ac:dyDescent="0.2">
      <c r="C186" s="9"/>
    </row>
    <row r="187" spans="3:3" x14ac:dyDescent="0.2">
      <c r="C187" s="9"/>
    </row>
    <row r="188" spans="3:3" x14ac:dyDescent="0.2">
      <c r="C188" s="9"/>
    </row>
    <row r="189" spans="3:3" x14ac:dyDescent="0.2">
      <c r="C189" s="9"/>
    </row>
    <row r="190" spans="3:3" x14ac:dyDescent="0.2">
      <c r="C190" s="9"/>
    </row>
    <row r="191" spans="3:3" x14ac:dyDescent="0.2">
      <c r="C191" s="9"/>
    </row>
    <row r="192" spans="3:3" x14ac:dyDescent="0.2">
      <c r="C192" s="9"/>
    </row>
    <row r="193" spans="3:3" x14ac:dyDescent="0.2">
      <c r="C193" s="9"/>
    </row>
    <row r="194" spans="3:3" x14ac:dyDescent="0.2">
      <c r="C194" s="9"/>
    </row>
    <row r="195" spans="3:3" x14ac:dyDescent="0.2">
      <c r="C195" s="9"/>
    </row>
    <row r="196" spans="3:3" x14ac:dyDescent="0.2">
      <c r="C196" s="9"/>
    </row>
    <row r="197" spans="3:3" x14ac:dyDescent="0.2">
      <c r="C197" s="9"/>
    </row>
    <row r="198" spans="3:3" x14ac:dyDescent="0.2">
      <c r="C198" s="9"/>
    </row>
    <row r="199" spans="3:3" x14ac:dyDescent="0.2">
      <c r="C199" s="9"/>
    </row>
    <row r="200" spans="3:3" x14ac:dyDescent="0.2">
      <c r="C200" s="9"/>
    </row>
    <row r="201" spans="3:3" x14ac:dyDescent="0.2">
      <c r="C201" s="9"/>
    </row>
    <row r="202" spans="3:3" x14ac:dyDescent="0.2">
      <c r="C202" s="9"/>
    </row>
    <row r="203" spans="3:3" x14ac:dyDescent="0.2">
      <c r="C203" s="9"/>
    </row>
    <row r="204" spans="3:3" x14ac:dyDescent="0.2">
      <c r="C204" s="9"/>
    </row>
    <row r="205" spans="3:3" x14ac:dyDescent="0.2">
      <c r="C205" s="9"/>
    </row>
    <row r="206" spans="3:3" x14ac:dyDescent="0.2">
      <c r="C206" s="9"/>
    </row>
    <row r="207" spans="3:3" x14ac:dyDescent="0.2">
      <c r="C207" s="9"/>
    </row>
    <row r="208" spans="3:3" x14ac:dyDescent="0.2">
      <c r="C208" s="9"/>
    </row>
    <row r="209" spans="3:3" x14ac:dyDescent="0.2">
      <c r="C209" s="9"/>
    </row>
    <row r="210" spans="3:3" x14ac:dyDescent="0.2">
      <c r="C210" s="9"/>
    </row>
    <row r="211" spans="3:3" x14ac:dyDescent="0.2">
      <c r="C211" s="9"/>
    </row>
    <row r="212" spans="3:3" x14ac:dyDescent="0.2">
      <c r="C212" s="9"/>
    </row>
    <row r="213" spans="3:3" x14ac:dyDescent="0.2">
      <c r="C213" s="9"/>
    </row>
    <row r="214" spans="3:3" x14ac:dyDescent="0.2">
      <c r="C214" s="9"/>
    </row>
    <row r="215" spans="3:3" x14ac:dyDescent="0.2">
      <c r="C215" s="9"/>
    </row>
    <row r="216" spans="3:3" x14ac:dyDescent="0.2">
      <c r="C216" s="9"/>
    </row>
    <row r="217" spans="3:3" x14ac:dyDescent="0.2">
      <c r="C217" s="9"/>
    </row>
    <row r="218" spans="3:3" x14ac:dyDescent="0.2">
      <c r="C218" s="9"/>
    </row>
    <row r="219" spans="3:3" x14ac:dyDescent="0.2">
      <c r="C219" s="9"/>
    </row>
    <row r="220" spans="3:3" x14ac:dyDescent="0.2">
      <c r="C220" s="9"/>
    </row>
    <row r="221" spans="3:3" x14ac:dyDescent="0.2">
      <c r="C221" s="9"/>
    </row>
    <row r="222" spans="3:3" x14ac:dyDescent="0.2">
      <c r="C222" s="9"/>
    </row>
    <row r="223" spans="3:3" x14ac:dyDescent="0.2">
      <c r="C223" s="9"/>
    </row>
    <row r="224" spans="3:3" x14ac:dyDescent="0.2">
      <c r="C224" s="9"/>
    </row>
    <row r="225" spans="3:3" x14ac:dyDescent="0.2">
      <c r="C225" s="9"/>
    </row>
    <row r="226" spans="3:3" x14ac:dyDescent="0.2">
      <c r="C226" s="9"/>
    </row>
    <row r="227" spans="3:3" x14ac:dyDescent="0.2">
      <c r="C227" s="9"/>
    </row>
    <row r="228" spans="3:3" x14ac:dyDescent="0.2">
      <c r="C228" s="9"/>
    </row>
    <row r="229" spans="3:3" x14ac:dyDescent="0.2">
      <c r="C229" s="9"/>
    </row>
    <row r="230" spans="3:3" x14ac:dyDescent="0.2">
      <c r="C2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DFAD-86E6-B34B-BD8D-0B4850B41B13}">
  <dimension ref="A2:AS11"/>
  <sheetViews>
    <sheetView workbookViewId="0">
      <selection activeCell="AS18" sqref="AS18"/>
    </sheetView>
  </sheetViews>
  <sheetFormatPr baseColWidth="10" defaultRowHeight="16" x14ac:dyDescent="0.2"/>
  <cols>
    <col min="1" max="1" width="48.1640625" bestFit="1" customWidth="1"/>
    <col min="2" max="2" width="14.1640625" bestFit="1" customWidth="1"/>
    <col min="3" max="44" width="11" bestFit="1" customWidth="1"/>
    <col min="45" max="45" width="11.1640625" bestFit="1" customWidth="1"/>
  </cols>
  <sheetData>
    <row r="2" spans="1:45" x14ac:dyDescent="0.2">
      <c r="A2" t="s">
        <v>23</v>
      </c>
    </row>
    <row r="3" spans="1:45" x14ac:dyDescent="0.2">
      <c r="A3" t="s">
        <v>1</v>
      </c>
    </row>
    <row r="4" spans="1:45" x14ac:dyDescent="0.2">
      <c r="A4" t="s">
        <v>24</v>
      </c>
    </row>
    <row r="5" spans="1:45" x14ac:dyDescent="0.2">
      <c r="C5">
        <v>1979</v>
      </c>
      <c r="D5">
        <v>1980</v>
      </c>
      <c r="E5">
        <v>1981</v>
      </c>
      <c r="F5">
        <v>1982</v>
      </c>
      <c r="G5">
        <v>1983</v>
      </c>
      <c r="H5">
        <v>1984</v>
      </c>
      <c r="I5">
        <v>1985</v>
      </c>
      <c r="J5">
        <v>1986</v>
      </c>
      <c r="K5">
        <v>1987</v>
      </c>
      <c r="L5">
        <v>1988</v>
      </c>
      <c r="M5">
        <v>1989</v>
      </c>
      <c r="N5">
        <v>1990</v>
      </c>
      <c r="O5">
        <v>1991</v>
      </c>
      <c r="P5">
        <v>1992</v>
      </c>
      <c r="Q5">
        <v>1993</v>
      </c>
      <c r="R5">
        <v>1994</v>
      </c>
      <c r="S5">
        <v>1995</v>
      </c>
      <c r="T5">
        <v>1996</v>
      </c>
      <c r="U5">
        <v>1997</v>
      </c>
      <c r="V5">
        <v>1998</v>
      </c>
      <c r="W5">
        <v>1999</v>
      </c>
      <c r="X5">
        <v>2000</v>
      </c>
      <c r="Y5">
        <v>2001</v>
      </c>
      <c r="Z5">
        <v>2002</v>
      </c>
      <c r="AA5">
        <v>2003</v>
      </c>
      <c r="AB5">
        <v>2004</v>
      </c>
      <c r="AC5">
        <v>2005</v>
      </c>
      <c r="AD5">
        <v>2006</v>
      </c>
      <c r="AE5">
        <v>2007</v>
      </c>
      <c r="AF5">
        <v>2008</v>
      </c>
      <c r="AG5">
        <v>2009</v>
      </c>
      <c r="AH5">
        <v>2010</v>
      </c>
      <c r="AI5">
        <v>2011</v>
      </c>
      <c r="AJ5">
        <v>2012</v>
      </c>
      <c r="AK5">
        <v>2013</v>
      </c>
      <c r="AL5">
        <v>2014</v>
      </c>
      <c r="AM5">
        <v>2015</v>
      </c>
      <c r="AN5">
        <v>2016</v>
      </c>
      <c r="AO5">
        <v>2017</v>
      </c>
      <c r="AP5">
        <v>2018</v>
      </c>
      <c r="AQ5">
        <v>2019</v>
      </c>
      <c r="AR5">
        <v>2020</v>
      </c>
      <c r="AS5">
        <v>2021</v>
      </c>
    </row>
    <row r="6" spans="1:45" x14ac:dyDescent="0.2">
      <c r="A6" t="s">
        <v>3</v>
      </c>
    </row>
    <row r="7" spans="1:45" x14ac:dyDescent="0.2">
      <c r="B7" t="s">
        <v>4</v>
      </c>
      <c r="C7" s="9">
        <v>1600</v>
      </c>
      <c r="D7" s="9">
        <v>1500</v>
      </c>
      <c r="E7" s="9">
        <v>1600</v>
      </c>
      <c r="F7" s="9">
        <v>1500</v>
      </c>
      <c r="G7" s="9">
        <v>1700</v>
      </c>
      <c r="H7" s="9">
        <v>2000</v>
      </c>
      <c r="I7" s="9">
        <v>1900</v>
      </c>
      <c r="J7" s="9">
        <v>1900</v>
      </c>
      <c r="K7" s="9">
        <v>1600</v>
      </c>
      <c r="L7" s="9">
        <v>1600</v>
      </c>
      <c r="M7" s="9">
        <v>1600</v>
      </c>
      <c r="N7" s="9">
        <v>1800</v>
      </c>
      <c r="O7" s="9">
        <v>1700</v>
      </c>
      <c r="P7" s="9">
        <v>1700</v>
      </c>
      <c r="Q7" s="9">
        <v>1700</v>
      </c>
      <c r="R7" s="9">
        <v>1400</v>
      </c>
      <c r="S7" s="9">
        <v>1400</v>
      </c>
      <c r="T7" s="9">
        <v>1300</v>
      </c>
      <c r="U7" s="9">
        <v>1400</v>
      </c>
      <c r="V7" s="9">
        <v>1400</v>
      </c>
      <c r="W7" s="9">
        <v>1600</v>
      </c>
      <c r="X7" s="9">
        <v>1500</v>
      </c>
      <c r="Y7" s="9">
        <v>1200</v>
      </c>
      <c r="Z7" s="9">
        <v>1100</v>
      </c>
      <c r="AA7" s="9">
        <v>1100</v>
      </c>
      <c r="AB7" s="9">
        <v>1000</v>
      </c>
      <c r="AC7" s="9">
        <v>1100</v>
      </c>
      <c r="AD7" s="9">
        <v>1200</v>
      </c>
      <c r="AE7" s="9">
        <v>1100</v>
      </c>
      <c r="AF7" s="9">
        <v>100</v>
      </c>
      <c r="AG7" s="9">
        <v>-200</v>
      </c>
      <c r="AH7" s="9">
        <v>-100</v>
      </c>
      <c r="AI7" s="9">
        <v>0</v>
      </c>
      <c r="AJ7" s="9">
        <v>100</v>
      </c>
      <c r="AK7" s="9">
        <v>400</v>
      </c>
      <c r="AL7" s="9">
        <v>300</v>
      </c>
      <c r="AM7" s="9">
        <v>300</v>
      </c>
      <c r="AN7" s="9">
        <v>300</v>
      </c>
      <c r="AO7" s="9">
        <v>200</v>
      </c>
      <c r="AP7" s="9">
        <v>-100</v>
      </c>
      <c r="AQ7" s="9">
        <v>200</v>
      </c>
      <c r="AR7" s="9">
        <v>-3700</v>
      </c>
      <c r="AS7" s="9">
        <v>-5200</v>
      </c>
    </row>
    <row r="8" spans="1:45" x14ac:dyDescent="0.2">
      <c r="B8" t="s">
        <v>5</v>
      </c>
      <c r="C8" s="9">
        <v>6200</v>
      </c>
      <c r="D8" s="9">
        <v>5800</v>
      </c>
      <c r="E8" s="9">
        <v>6000</v>
      </c>
      <c r="F8" s="9">
        <v>5400</v>
      </c>
      <c r="G8" s="9">
        <v>5200</v>
      </c>
      <c r="H8" s="9">
        <v>5900</v>
      </c>
      <c r="I8" s="9">
        <v>6000</v>
      </c>
      <c r="J8" s="9">
        <v>6000</v>
      </c>
      <c r="K8" s="9">
        <v>5600</v>
      </c>
      <c r="L8" s="9">
        <v>5900</v>
      </c>
      <c r="M8" s="9">
        <v>5800</v>
      </c>
      <c r="N8" s="9">
        <v>6200</v>
      </c>
      <c r="O8" s="9">
        <v>5900</v>
      </c>
      <c r="P8" s="9">
        <v>5600</v>
      </c>
      <c r="Q8" s="9">
        <v>5600</v>
      </c>
      <c r="R8" s="9">
        <v>5500</v>
      </c>
      <c r="S8" s="9">
        <v>5900</v>
      </c>
      <c r="T8" s="9">
        <v>5900</v>
      </c>
      <c r="U8" s="9">
        <v>6200</v>
      </c>
      <c r="V8" s="9">
        <v>6200</v>
      </c>
      <c r="W8" s="9">
        <v>6600</v>
      </c>
      <c r="X8" s="9">
        <v>6300</v>
      </c>
      <c r="Y8" s="9">
        <v>5700</v>
      </c>
      <c r="Z8" s="9">
        <v>5100</v>
      </c>
      <c r="AA8" s="9">
        <v>4700</v>
      </c>
      <c r="AB8" s="9">
        <v>4800</v>
      </c>
      <c r="AC8" s="9">
        <v>5100</v>
      </c>
      <c r="AD8" s="9">
        <v>5200</v>
      </c>
      <c r="AE8" s="9">
        <v>5700</v>
      </c>
      <c r="AF8" s="9">
        <v>3900</v>
      </c>
      <c r="AG8" s="9">
        <v>3500</v>
      </c>
      <c r="AH8" s="9">
        <v>3600</v>
      </c>
      <c r="AI8" s="9">
        <v>3700</v>
      </c>
      <c r="AJ8" s="9">
        <v>3600</v>
      </c>
      <c r="AK8" s="9">
        <v>4400</v>
      </c>
      <c r="AL8" s="9">
        <v>4400</v>
      </c>
      <c r="AM8" s="9">
        <v>4600</v>
      </c>
      <c r="AN8" s="9">
        <v>4700</v>
      </c>
      <c r="AO8" s="9">
        <v>4700</v>
      </c>
      <c r="AP8" s="9">
        <v>4300</v>
      </c>
      <c r="AQ8" s="9">
        <v>5000</v>
      </c>
      <c r="AR8" s="9">
        <v>500</v>
      </c>
      <c r="AS8" s="9">
        <v>100</v>
      </c>
    </row>
    <row r="9" spans="1:45" x14ac:dyDescent="0.2">
      <c r="B9" t="s">
        <v>6</v>
      </c>
      <c r="C9" s="9">
        <v>12000</v>
      </c>
      <c r="D9" s="9">
        <v>11600</v>
      </c>
      <c r="E9" s="9">
        <v>11800</v>
      </c>
      <c r="F9" s="9">
        <v>10800</v>
      </c>
      <c r="G9" s="9">
        <v>10300</v>
      </c>
      <c r="H9" s="9">
        <v>11200</v>
      </c>
      <c r="I9" s="9">
        <v>11400</v>
      </c>
      <c r="J9" s="9">
        <v>11600</v>
      </c>
      <c r="K9" s="9">
        <v>11300</v>
      </c>
      <c r="L9" s="9">
        <v>11700</v>
      </c>
      <c r="M9" s="9">
        <v>11800</v>
      </c>
      <c r="N9" s="9">
        <v>11900</v>
      </c>
      <c r="O9" s="9">
        <v>11400</v>
      </c>
      <c r="P9" s="9">
        <v>11400</v>
      </c>
      <c r="Q9" s="9">
        <v>11400</v>
      </c>
      <c r="R9" s="9">
        <v>11500</v>
      </c>
      <c r="S9" s="9">
        <v>11900</v>
      </c>
      <c r="T9" s="9">
        <v>12100</v>
      </c>
      <c r="U9" s="9">
        <v>12400</v>
      </c>
      <c r="V9" s="9">
        <v>12300</v>
      </c>
      <c r="W9" s="9">
        <v>12700</v>
      </c>
      <c r="X9" s="9">
        <v>12600</v>
      </c>
      <c r="Y9" s="9">
        <v>11700</v>
      </c>
      <c r="Z9" s="9">
        <v>11000</v>
      </c>
      <c r="AA9" s="9">
        <v>10400</v>
      </c>
      <c r="AB9" s="9">
        <v>11100</v>
      </c>
      <c r="AC9" s="9">
        <v>11300</v>
      </c>
      <c r="AD9" s="9">
        <v>11500</v>
      </c>
      <c r="AE9" s="9">
        <v>11800</v>
      </c>
      <c r="AF9" s="9">
        <v>9500</v>
      </c>
      <c r="AG9" s="9">
        <v>9000</v>
      </c>
      <c r="AH9" s="9">
        <v>9000</v>
      </c>
      <c r="AI9" s="9">
        <v>8900</v>
      </c>
      <c r="AJ9" s="9">
        <v>9100</v>
      </c>
      <c r="AK9" s="9">
        <v>10300</v>
      </c>
      <c r="AL9" s="9">
        <v>10800</v>
      </c>
      <c r="AM9" s="9">
        <v>11100</v>
      </c>
      <c r="AN9" s="9">
        <v>11200</v>
      </c>
      <c r="AO9" s="9">
        <v>11300</v>
      </c>
      <c r="AP9" s="9">
        <v>10600</v>
      </c>
      <c r="AQ9" s="9">
        <v>11200</v>
      </c>
      <c r="AR9" s="9">
        <v>6700</v>
      </c>
      <c r="AS9" s="9">
        <v>6700</v>
      </c>
    </row>
    <row r="10" spans="1:45" x14ac:dyDescent="0.2">
      <c r="B10" t="s">
        <v>7</v>
      </c>
      <c r="C10" s="9">
        <v>18600</v>
      </c>
      <c r="D10" s="9">
        <v>18200</v>
      </c>
      <c r="E10" s="9">
        <v>18800</v>
      </c>
      <c r="F10" s="9">
        <v>17200</v>
      </c>
      <c r="G10" s="9">
        <v>16700</v>
      </c>
      <c r="H10" s="9">
        <v>17700</v>
      </c>
      <c r="I10" s="9">
        <v>17900</v>
      </c>
      <c r="J10" s="9">
        <v>18600</v>
      </c>
      <c r="K10" s="9">
        <v>18600</v>
      </c>
      <c r="L10" s="9">
        <v>19100</v>
      </c>
      <c r="M10" s="9">
        <v>19300</v>
      </c>
      <c r="N10" s="9">
        <v>19100</v>
      </c>
      <c r="O10" s="9">
        <v>18800</v>
      </c>
      <c r="P10" s="9">
        <v>18700</v>
      </c>
      <c r="Q10" s="9">
        <v>18900</v>
      </c>
      <c r="R10" s="9">
        <v>19400</v>
      </c>
      <c r="S10" s="9">
        <v>20000</v>
      </c>
      <c r="T10" s="9">
        <v>20400</v>
      </c>
      <c r="U10" s="9">
        <v>21000</v>
      </c>
      <c r="V10" s="9">
        <v>21900</v>
      </c>
      <c r="W10" s="9">
        <v>22700</v>
      </c>
      <c r="X10" s="9">
        <v>23100</v>
      </c>
      <c r="Y10" s="9">
        <v>20900</v>
      </c>
      <c r="Z10" s="9">
        <v>19800</v>
      </c>
      <c r="AA10" s="9">
        <v>19300</v>
      </c>
      <c r="AB10" s="9">
        <v>20000</v>
      </c>
      <c r="AC10" s="9">
        <v>20700</v>
      </c>
      <c r="AD10" s="9">
        <v>21100</v>
      </c>
      <c r="AE10" s="9">
        <v>21400</v>
      </c>
      <c r="AF10" s="9">
        <v>18500</v>
      </c>
      <c r="AG10" s="9">
        <v>17500</v>
      </c>
      <c r="AH10" s="9">
        <v>17900</v>
      </c>
      <c r="AI10" s="9">
        <v>17700</v>
      </c>
      <c r="AJ10" s="9">
        <v>18100</v>
      </c>
      <c r="AK10" s="9">
        <v>20200</v>
      </c>
      <c r="AL10" s="9">
        <v>21000</v>
      </c>
      <c r="AM10" s="9">
        <v>21800</v>
      </c>
      <c r="AN10" s="9">
        <v>21800</v>
      </c>
      <c r="AO10" s="9">
        <v>22100</v>
      </c>
      <c r="AP10" s="9">
        <v>21100</v>
      </c>
      <c r="AQ10" s="9">
        <v>21800</v>
      </c>
      <c r="AR10" s="9">
        <v>17700</v>
      </c>
      <c r="AS10" s="9">
        <v>18500</v>
      </c>
    </row>
    <row r="11" spans="1:45" x14ac:dyDescent="0.2">
      <c r="B11" t="s">
        <v>8</v>
      </c>
      <c r="C11" s="9">
        <v>44100</v>
      </c>
      <c r="D11" s="9">
        <v>42600</v>
      </c>
      <c r="E11" s="9">
        <v>42000</v>
      </c>
      <c r="F11" s="9">
        <v>38400</v>
      </c>
      <c r="G11" s="9">
        <v>38800</v>
      </c>
      <c r="H11" s="9">
        <v>42400</v>
      </c>
      <c r="I11" s="9">
        <v>42800</v>
      </c>
      <c r="J11" s="9">
        <v>47700</v>
      </c>
      <c r="K11" s="9">
        <v>49100</v>
      </c>
      <c r="L11" s="9">
        <v>52100</v>
      </c>
      <c r="M11" s="9">
        <v>51200</v>
      </c>
      <c r="N11" s="9">
        <v>49800</v>
      </c>
      <c r="O11" s="9">
        <v>48600</v>
      </c>
      <c r="P11" s="9">
        <v>51000</v>
      </c>
      <c r="Q11" s="9">
        <v>53200</v>
      </c>
      <c r="R11" s="9">
        <v>55700</v>
      </c>
      <c r="S11" s="9">
        <v>59300</v>
      </c>
      <c r="T11" s="9">
        <v>63100</v>
      </c>
      <c r="U11" s="9">
        <v>67100</v>
      </c>
      <c r="V11" s="9">
        <v>70700</v>
      </c>
      <c r="W11" s="9">
        <v>76400</v>
      </c>
      <c r="X11" s="9">
        <v>80200</v>
      </c>
      <c r="Y11" s="9">
        <v>70000</v>
      </c>
      <c r="Z11" s="9">
        <v>64800</v>
      </c>
      <c r="AA11" s="9">
        <v>64100</v>
      </c>
      <c r="AB11" s="9">
        <v>70600</v>
      </c>
      <c r="AC11" s="9">
        <v>77900</v>
      </c>
      <c r="AD11" s="9">
        <v>81100</v>
      </c>
      <c r="AE11" s="9">
        <v>81800</v>
      </c>
      <c r="AF11" s="9">
        <v>71000</v>
      </c>
      <c r="AG11" s="9">
        <v>63300</v>
      </c>
      <c r="AH11" s="9">
        <v>68000</v>
      </c>
      <c r="AI11" s="9">
        <v>67500</v>
      </c>
      <c r="AJ11" s="9">
        <v>74200</v>
      </c>
      <c r="AK11" s="9">
        <v>78600</v>
      </c>
      <c r="AL11" s="9">
        <v>84400</v>
      </c>
      <c r="AM11" s="9">
        <v>87300</v>
      </c>
      <c r="AN11" s="9">
        <v>85500</v>
      </c>
      <c r="AO11" s="9">
        <v>87500</v>
      </c>
      <c r="AP11" s="9">
        <v>84400</v>
      </c>
      <c r="AQ11" s="9">
        <v>85600</v>
      </c>
      <c r="AR11" s="9">
        <v>89600</v>
      </c>
      <c r="AS11" s="9">
        <v>103600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CE87-BF7A-154E-A690-5A87E34E79DD}">
  <dimension ref="A1:K271"/>
  <sheetViews>
    <sheetView workbookViewId="0">
      <selection activeCell="N3" sqref="N3"/>
    </sheetView>
  </sheetViews>
  <sheetFormatPr baseColWidth="10" defaultRowHeight="16" x14ac:dyDescent="0.2"/>
  <cols>
    <col min="1" max="1" width="14.33203125" customWidth="1"/>
    <col min="2" max="2" width="14.1640625" bestFit="1" customWidth="1"/>
    <col min="3" max="3" width="20.83203125" bestFit="1" customWidth="1"/>
    <col min="4" max="4" width="15" customWidth="1"/>
    <col min="5" max="5" width="30.33203125" bestFit="1" customWidth="1"/>
    <col min="6" max="6" width="30.6640625" style="8" bestFit="1" customWidth="1"/>
    <col min="7" max="7" width="54.6640625" bestFit="1" customWidth="1"/>
    <col min="8" max="8" width="35.6640625" style="10" bestFit="1" customWidth="1"/>
    <col min="9" max="9" width="15.6640625" customWidth="1"/>
    <col min="10" max="10" width="16.5" customWidth="1"/>
    <col min="11" max="11" width="10.6640625" style="8" customWidth="1"/>
  </cols>
  <sheetData>
    <row r="1" spans="1:11" x14ac:dyDescent="0.2">
      <c r="A1" t="s">
        <v>9</v>
      </c>
      <c r="B1" t="s">
        <v>22</v>
      </c>
      <c r="C1" t="s">
        <v>21</v>
      </c>
      <c r="D1" t="s">
        <v>25</v>
      </c>
      <c r="E1" s="16" t="s">
        <v>30</v>
      </c>
      <c r="F1" s="8" t="s">
        <v>26</v>
      </c>
      <c r="G1" t="s">
        <v>27</v>
      </c>
      <c r="H1" s="10" t="s">
        <v>28</v>
      </c>
      <c r="I1" t="s">
        <v>29</v>
      </c>
      <c r="J1" t="s">
        <v>31</v>
      </c>
      <c r="K1" s="18" t="s">
        <v>32</v>
      </c>
    </row>
    <row r="2" spans="1:11" x14ac:dyDescent="0.2">
      <c r="A2">
        <v>1979</v>
      </c>
      <c r="B2" t="s">
        <v>4</v>
      </c>
      <c r="C2" s="9">
        <v>17100</v>
      </c>
      <c r="D2" s="9">
        <v>1600</v>
      </c>
      <c r="E2" s="11">
        <f>D2/C2</f>
        <v>9.3567251461988299E-2</v>
      </c>
      <c r="F2" s="8">
        <f>C2/AVERAGE($C$2:$C$6)</f>
        <v>0.23133116883116883</v>
      </c>
      <c r="H2" s="9">
        <f>AVERAGE($C$2:$C$6)</f>
        <v>73920</v>
      </c>
      <c r="I2" s="11">
        <f>(C2*E2)/H2</f>
        <v>2.1645021645021644E-2</v>
      </c>
      <c r="J2" s="11">
        <f>SUM(I$2:I$6)</f>
        <v>1.1160714285714284</v>
      </c>
      <c r="K2" s="8">
        <f>J2/5</f>
        <v>0.22321428571428567</v>
      </c>
    </row>
    <row r="3" spans="1:11" x14ac:dyDescent="0.2">
      <c r="A3">
        <v>1979</v>
      </c>
      <c r="B3" t="s">
        <v>5</v>
      </c>
      <c r="C3" s="9">
        <v>41200</v>
      </c>
      <c r="D3" s="9">
        <v>6200</v>
      </c>
      <c r="E3" s="11">
        <f t="shared" ref="E3:E66" si="0">D3/C3</f>
        <v>0.15048543689320387</v>
      </c>
      <c r="F3" s="8">
        <f>C3/AVERAGE($C$2:$C$6)</f>
        <v>0.55735930735930739</v>
      </c>
      <c r="H3" s="9">
        <f t="shared" ref="H3:H6" si="1">AVERAGE($C$2:$C$6)</f>
        <v>73920</v>
      </c>
      <c r="I3" s="11">
        <f t="shared" ref="I3:I65" si="2">(C3*E3)/H3</f>
        <v>8.3874458874458865E-2</v>
      </c>
      <c r="J3" s="11">
        <f>SUM(I$2:I$6)</f>
        <v>1.1160714285714284</v>
      </c>
      <c r="K3" s="8">
        <f t="shared" ref="K3:K66" si="3">J3/5</f>
        <v>0.22321428571428567</v>
      </c>
    </row>
    <row r="4" spans="1:11" x14ac:dyDescent="0.2">
      <c r="A4">
        <v>1979</v>
      </c>
      <c r="B4" t="s">
        <v>6</v>
      </c>
      <c r="C4" s="9">
        <v>63100</v>
      </c>
      <c r="D4" s="9">
        <v>12000</v>
      </c>
      <c r="E4" s="11">
        <f t="shared" si="0"/>
        <v>0.19017432646592711</v>
      </c>
      <c r="F4" s="8">
        <f>C4/AVERAGE($C$2:$C$6)</f>
        <v>0.85362554112554112</v>
      </c>
      <c r="H4" s="9">
        <f t="shared" si="1"/>
        <v>73920</v>
      </c>
      <c r="I4" s="11">
        <f t="shared" si="2"/>
        <v>0.16233766233766234</v>
      </c>
      <c r="J4" s="11">
        <f>SUM(I$2:I$6)</f>
        <v>1.1160714285714284</v>
      </c>
      <c r="K4" s="8">
        <f t="shared" si="3"/>
        <v>0.22321428571428567</v>
      </c>
    </row>
    <row r="5" spans="1:11" x14ac:dyDescent="0.2">
      <c r="A5">
        <v>1979</v>
      </c>
      <c r="B5" t="s">
        <v>7</v>
      </c>
      <c r="C5" s="9">
        <v>85700</v>
      </c>
      <c r="D5" s="9">
        <v>18600</v>
      </c>
      <c r="E5" s="11">
        <f t="shared" si="0"/>
        <v>0.21703617269544925</v>
      </c>
      <c r="F5" s="8">
        <f t="shared" ref="F5" si="4">C5/AVERAGE($C$2:$C$6)</f>
        <v>1.1593614718614718</v>
      </c>
      <c r="H5" s="9">
        <f t="shared" si="1"/>
        <v>73920</v>
      </c>
      <c r="I5" s="11">
        <f t="shared" si="2"/>
        <v>0.25162337662337664</v>
      </c>
      <c r="J5" s="11">
        <f>SUM(I$2:I$6)</f>
        <v>1.1160714285714284</v>
      </c>
      <c r="K5" s="8">
        <f t="shared" si="3"/>
        <v>0.22321428571428567</v>
      </c>
    </row>
    <row r="6" spans="1:11" x14ac:dyDescent="0.2">
      <c r="A6">
        <v>1979</v>
      </c>
      <c r="B6" t="s">
        <v>8</v>
      </c>
      <c r="C6" s="9">
        <v>162500</v>
      </c>
      <c r="D6" s="9">
        <v>44100</v>
      </c>
      <c r="E6" s="11">
        <f t="shared" si="0"/>
        <v>0.27138461538461539</v>
      </c>
      <c r="F6" s="8">
        <f>C6/AVERAGE($C$2:$C$6)</f>
        <v>2.1983225108225106</v>
      </c>
      <c r="G6">
        <f>SUM(F2:F6)/5</f>
        <v>1</v>
      </c>
      <c r="H6" s="9">
        <f t="shared" si="1"/>
        <v>73920</v>
      </c>
      <c r="I6" s="11">
        <f t="shared" si="2"/>
        <v>0.59659090909090906</v>
      </c>
      <c r="J6" s="11">
        <f>SUM(I$2:I$6)</f>
        <v>1.1160714285714284</v>
      </c>
      <c r="K6" s="8">
        <f t="shared" si="3"/>
        <v>0.22321428571428567</v>
      </c>
    </row>
    <row r="7" spans="1:11" x14ac:dyDescent="0.2">
      <c r="A7">
        <v>1980</v>
      </c>
      <c r="B7" t="s">
        <v>4</v>
      </c>
      <c r="C7" s="9">
        <v>16500</v>
      </c>
      <c r="D7" s="9">
        <v>1500</v>
      </c>
      <c r="E7" s="11">
        <f t="shared" si="0"/>
        <v>9.0909090909090912E-2</v>
      </c>
      <c r="F7" s="8">
        <f>C7/AVERAGE($C$7:$C$11)</f>
        <v>0.23018973214285715</v>
      </c>
      <c r="H7" s="9">
        <f>AVERAGE($C$7:$C$11)</f>
        <v>71680</v>
      </c>
      <c r="I7" s="11">
        <f t="shared" si="2"/>
        <v>2.0926339285714284E-2</v>
      </c>
      <c r="J7" s="11">
        <f>SUM(I$7:I$11)</f>
        <v>1.1118861607142856</v>
      </c>
      <c r="K7" s="8">
        <f t="shared" si="3"/>
        <v>0.22237723214285712</v>
      </c>
    </row>
    <row r="8" spans="1:11" x14ac:dyDescent="0.2">
      <c r="A8">
        <v>1980</v>
      </c>
      <c r="B8" t="s">
        <v>5</v>
      </c>
      <c r="C8" s="9">
        <v>39400</v>
      </c>
      <c r="D8" s="9">
        <v>5800</v>
      </c>
      <c r="E8" s="11">
        <f t="shared" si="0"/>
        <v>0.14720812182741116</v>
      </c>
      <c r="F8" s="8">
        <f t="shared" ref="F8:F11" si="5">C8/AVERAGE($C$7:$C$11)</f>
        <v>0.5496651785714286</v>
      </c>
      <c r="H8" s="9">
        <f t="shared" ref="H8:H11" si="6">AVERAGE($C$7:$C$11)</f>
        <v>71680</v>
      </c>
      <c r="I8" s="11">
        <f t="shared" si="2"/>
        <v>8.0915178571428575E-2</v>
      </c>
      <c r="J8" s="11">
        <f>SUM(I$7:I$11)</f>
        <v>1.1118861607142856</v>
      </c>
      <c r="K8" s="8">
        <f t="shared" si="3"/>
        <v>0.22237723214285712</v>
      </c>
    </row>
    <row r="9" spans="1:11" x14ac:dyDescent="0.2">
      <c r="A9">
        <v>1980</v>
      </c>
      <c r="B9" t="s">
        <v>6</v>
      </c>
      <c r="C9" s="9">
        <v>61000</v>
      </c>
      <c r="D9" s="9">
        <v>11600</v>
      </c>
      <c r="E9" s="11">
        <f t="shared" si="0"/>
        <v>0.1901639344262295</v>
      </c>
      <c r="F9" s="8">
        <f t="shared" si="5"/>
        <v>0.8510044642857143</v>
      </c>
      <c r="H9" s="9">
        <f t="shared" si="6"/>
        <v>71680</v>
      </c>
      <c r="I9" s="11">
        <f t="shared" si="2"/>
        <v>0.16183035714285715</v>
      </c>
      <c r="J9" s="11">
        <f>SUM(I$7:I$11)</f>
        <v>1.1118861607142856</v>
      </c>
      <c r="K9" s="8">
        <f t="shared" si="3"/>
        <v>0.22237723214285712</v>
      </c>
    </row>
    <row r="10" spans="1:11" x14ac:dyDescent="0.2">
      <c r="A10">
        <v>1980</v>
      </c>
      <c r="B10" t="s">
        <v>7</v>
      </c>
      <c r="C10" s="9">
        <v>83300</v>
      </c>
      <c r="D10" s="9">
        <v>18200</v>
      </c>
      <c r="E10" s="11">
        <f t="shared" si="0"/>
        <v>0.21848739495798319</v>
      </c>
      <c r="F10" s="8">
        <f t="shared" si="5"/>
        <v>1.162109375</v>
      </c>
      <c r="H10" s="9">
        <f t="shared" si="6"/>
        <v>71680</v>
      </c>
      <c r="I10" s="11">
        <f t="shared" si="2"/>
        <v>0.25390625</v>
      </c>
      <c r="J10" s="11">
        <f>SUM(I$7:I$11)</f>
        <v>1.1118861607142856</v>
      </c>
      <c r="K10" s="8">
        <f t="shared" si="3"/>
        <v>0.22237723214285712</v>
      </c>
    </row>
    <row r="11" spans="1:11" x14ac:dyDescent="0.2">
      <c r="A11">
        <v>1980</v>
      </c>
      <c r="B11" t="s">
        <v>8</v>
      </c>
      <c r="C11" s="9">
        <v>158200</v>
      </c>
      <c r="D11" s="9">
        <v>42600</v>
      </c>
      <c r="E11" s="11">
        <f t="shared" si="0"/>
        <v>0.26927939317319849</v>
      </c>
      <c r="F11" s="8">
        <f t="shared" si="5"/>
        <v>2.20703125</v>
      </c>
      <c r="G11">
        <f>SUM(F7:F11)/5</f>
        <v>1</v>
      </c>
      <c r="H11" s="9">
        <f t="shared" si="6"/>
        <v>71680</v>
      </c>
      <c r="I11" s="11">
        <f t="shared" si="2"/>
        <v>0.5943080357142857</v>
      </c>
      <c r="J11" s="11">
        <f>SUM(I$7:I$11)</f>
        <v>1.1118861607142856</v>
      </c>
      <c r="K11" s="8">
        <f t="shared" si="3"/>
        <v>0.22237723214285712</v>
      </c>
    </row>
    <row r="12" spans="1:11" x14ac:dyDescent="0.2">
      <c r="A12">
        <v>1981</v>
      </c>
      <c r="B12" t="s">
        <v>4</v>
      </c>
      <c r="C12" s="9">
        <v>16300</v>
      </c>
      <c r="D12" s="9">
        <v>1600</v>
      </c>
      <c r="E12" s="11">
        <f t="shared" si="0"/>
        <v>9.815950920245399E-2</v>
      </c>
      <c r="F12" s="8">
        <f>C12/AVERAGE(C$12:C$16)</f>
        <v>0.227717239452361</v>
      </c>
      <c r="H12" s="9">
        <f>AVERAGE(C$12:C$16)</f>
        <v>71580</v>
      </c>
      <c r="I12" s="11">
        <f t="shared" si="2"/>
        <v>2.2352612461581448E-2</v>
      </c>
      <c r="J12" s="11">
        <f>SUM(I$12:I$16)</f>
        <v>1.1204246996367702</v>
      </c>
      <c r="K12" s="8">
        <f t="shared" si="3"/>
        <v>0.22408493992735404</v>
      </c>
    </row>
    <row r="13" spans="1:11" x14ac:dyDescent="0.2">
      <c r="A13">
        <v>1981</v>
      </c>
      <c r="B13" t="s">
        <v>5</v>
      </c>
      <c r="C13" s="9">
        <v>39200</v>
      </c>
      <c r="D13" s="9">
        <v>6000</v>
      </c>
      <c r="E13" s="11">
        <f t="shared" si="0"/>
        <v>0.15306122448979592</v>
      </c>
      <c r="F13" s="8">
        <f t="shared" ref="F13:F16" si="7">C13/AVERAGE(C$12:C$16)</f>
        <v>0.54763900530874543</v>
      </c>
      <c r="H13" s="9">
        <f>AVERAGE(C$12:C$16)</f>
        <v>71580</v>
      </c>
      <c r="I13" s="11">
        <f t="shared" si="2"/>
        <v>8.3822296730930432E-2</v>
      </c>
      <c r="J13" s="11">
        <f>SUM(I$12:I$16)</f>
        <v>1.1204246996367702</v>
      </c>
      <c r="K13" s="8">
        <f t="shared" si="3"/>
        <v>0.22408493992735404</v>
      </c>
    </row>
    <row r="14" spans="1:11" x14ac:dyDescent="0.2">
      <c r="A14">
        <v>1981</v>
      </c>
      <c r="B14" t="s">
        <v>6</v>
      </c>
      <c r="C14" s="9">
        <v>60600</v>
      </c>
      <c r="D14" s="9">
        <v>11800</v>
      </c>
      <c r="E14" s="11">
        <f t="shared" si="0"/>
        <v>0.19471947194719472</v>
      </c>
      <c r="F14" s="8">
        <f t="shared" si="7"/>
        <v>0.84660519698239733</v>
      </c>
      <c r="H14" s="9">
        <f>AVERAGE(C$12:C$16)</f>
        <v>71580</v>
      </c>
      <c r="I14" s="11">
        <f t="shared" si="2"/>
        <v>0.16485051690416316</v>
      </c>
      <c r="J14" s="11">
        <f>SUM(I$12:I$16)</f>
        <v>1.1204246996367702</v>
      </c>
      <c r="K14" s="8">
        <f t="shared" si="3"/>
        <v>0.22408493992735404</v>
      </c>
    </row>
    <row r="15" spans="1:11" x14ac:dyDescent="0.2">
      <c r="A15">
        <v>1981</v>
      </c>
      <c r="B15" t="s">
        <v>7</v>
      </c>
      <c r="C15" s="9">
        <v>84200</v>
      </c>
      <c r="D15" s="9">
        <v>18800</v>
      </c>
      <c r="E15" s="11">
        <f t="shared" si="0"/>
        <v>0.22327790973871733</v>
      </c>
      <c r="F15" s="8">
        <f t="shared" si="7"/>
        <v>1.1763062307907237</v>
      </c>
      <c r="H15" s="9">
        <f>AVERAGE(C$12:C$16)</f>
        <v>71580</v>
      </c>
      <c r="I15" s="11">
        <f t="shared" si="2"/>
        <v>0.26264319642358203</v>
      </c>
      <c r="J15" s="11">
        <f>SUM(I$12:I$16)</f>
        <v>1.1204246996367702</v>
      </c>
      <c r="K15" s="8">
        <f t="shared" si="3"/>
        <v>0.22408493992735404</v>
      </c>
    </row>
    <row r="16" spans="1:11" x14ac:dyDescent="0.2">
      <c r="A16">
        <v>1981</v>
      </c>
      <c r="B16" t="s">
        <v>8</v>
      </c>
      <c r="C16" s="9">
        <v>157600</v>
      </c>
      <c r="D16" s="9">
        <v>42000</v>
      </c>
      <c r="E16" s="11">
        <f t="shared" si="0"/>
        <v>0.26649746192893403</v>
      </c>
      <c r="F16" s="8">
        <f t="shared" si="7"/>
        <v>2.2017323274657725</v>
      </c>
      <c r="G16">
        <f>SUM(F12:F16)/5</f>
        <v>1</v>
      </c>
      <c r="H16" s="9">
        <f>AVERAGE(C$12:C$16)</f>
        <v>71580</v>
      </c>
      <c r="I16" s="11">
        <f t="shared" si="2"/>
        <v>0.58675607711651301</v>
      </c>
      <c r="J16" s="11">
        <f>SUM(I$12:I$16)</f>
        <v>1.1204246996367702</v>
      </c>
      <c r="K16" s="8">
        <f t="shared" si="3"/>
        <v>0.22408493992735404</v>
      </c>
    </row>
    <row r="17" spans="1:11" x14ac:dyDescent="0.2">
      <c r="A17">
        <v>1982</v>
      </c>
      <c r="B17" t="s">
        <v>4</v>
      </c>
      <c r="C17" s="9">
        <v>15700</v>
      </c>
      <c r="D17" s="9">
        <v>1500</v>
      </c>
      <c r="E17" s="11">
        <f t="shared" si="0"/>
        <v>9.5541401273885357E-2</v>
      </c>
      <c r="F17" s="8">
        <f>C17/AVERAGE(C$17:C$21)</f>
        <v>0.22062956717256885</v>
      </c>
      <c r="H17" s="9">
        <f>AVERAGE(C$17:C$21)</f>
        <v>71160</v>
      </c>
      <c r="I17" s="11">
        <f t="shared" si="2"/>
        <v>2.1079258010118045E-2</v>
      </c>
      <c r="J17" s="11">
        <f>SUM(I$17:I$21)</f>
        <v>1.0300730747611018</v>
      </c>
      <c r="K17" s="8">
        <f t="shared" si="3"/>
        <v>0.20601461495222034</v>
      </c>
    </row>
    <row r="18" spans="1:11" x14ac:dyDescent="0.2">
      <c r="A18">
        <v>1982</v>
      </c>
      <c r="B18" t="s">
        <v>5</v>
      </c>
      <c r="C18" s="9">
        <v>38300</v>
      </c>
      <c r="D18" s="9">
        <v>5400</v>
      </c>
      <c r="E18" s="11">
        <f t="shared" si="0"/>
        <v>0.14099216710182769</v>
      </c>
      <c r="F18" s="8">
        <f t="shared" ref="F18:F21" si="8">C18/AVERAGE(C$17:C$21)</f>
        <v>0.53822372119168072</v>
      </c>
      <c r="H18" s="9">
        <f>AVERAGE(C$17:C$21)</f>
        <v>71160</v>
      </c>
      <c r="I18" s="11">
        <f t="shared" si="2"/>
        <v>7.5885328836424959E-2</v>
      </c>
      <c r="J18" s="11">
        <f>SUM(I$17:I$21)</f>
        <v>1.0300730747611018</v>
      </c>
      <c r="K18" s="8">
        <f t="shared" si="3"/>
        <v>0.20601461495222034</v>
      </c>
    </row>
    <row r="19" spans="1:11" x14ac:dyDescent="0.2">
      <c r="A19">
        <v>1982</v>
      </c>
      <c r="B19" t="s">
        <v>6</v>
      </c>
      <c r="C19" s="9">
        <v>59700</v>
      </c>
      <c r="D19" s="9">
        <v>10800</v>
      </c>
      <c r="E19" s="11">
        <f t="shared" si="0"/>
        <v>0.18090452261306533</v>
      </c>
      <c r="F19" s="8">
        <f t="shared" si="8"/>
        <v>0.83895446880269819</v>
      </c>
      <c r="H19" s="9">
        <f>AVERAGE(C$17:C$21)</f>
        <v>71160</v>
      </c>
      <c r="I19" s="11">
        <f t="shared" si="2"/>
        <v>0.15177065767284992</v>
      </c>
      <c r="J19" s="11">
        <f>SUM(I$17:I$21)</f>
        <v>1.0300730747611018</v>
      </c>
      <c r="K19" s="8">
        <f t="shared" si="3"/>
        <v>0.20601461495222034</v>
      </c>
    </row>
    <row r="20" spans="1:11" x14ac:dyDescent="0.2">
      <c r="A20">
        <v>1982</v>
      </c>
      <c r="B20" t="s">
        <v>7</v>
      </c>
      <c r="C20" s="9">
        <v>83400</v>
      </c>
      <c r="D20" s="9">
        <v>17200</v>
      </c>
      <c r="E20" s="11">
        <f t="shared" si="0"/>
        <v>0.20623501199040767</v>
      </c>
      <c r="F20" s="8">
        <f t="shared" si="8"/>
        <v>1.1720067453625633</v>
      </c>
      <c r="H20" s="9">
        <f>AVERAGE(C$17:C$21)</f>
        <v>71160</v>
      </c>
      <c r="I20" s="11">
        <f t="shared" si="2"/>
        <v>0.24170882518268691</v>
      </c>
      <c r="J20" s="11">
        <f>SUM(I$17:I$21)</f>
        <v>1.0300730747611018</v>
      </c>
      <c r="K20" s="8">
        <f t="shared" si="3"/>
        <v>0.20601461495222034</v>
      </c>
    </row>
    <row r="21" spans="1:11" x14ac:dyDescent="0.2">
      <c r="A21">
        <v>1982</v>
      </c>
      <c r="B21" t="s">
        <v>8</v>
      </c>
      <c r="C21" s="9">
        <v>158700</v>
      </c>
      <c r="D21" s="9">
        <v>38400</v>
      </c>
      <c r="E21" s="11">
        <f t="shared" si="0"/>
        <v>0.24196597353497165</v>
      </c>
      <c r="F21" s="8">
        <f t="shared" si="8"/>
        <v>2.2301854974704889</v>
      </c>
      <c r="G21">
        <f>SUM(F17:F21)/5</f>
        <v>1</v>
      </c>
      <c r="H21" s="9">
        <f>AVERAGE(C$17:C$21)</f>
        <v>71160</v>
      </c>
      <c r="I21" s="11">
        <f t="shared" si="2"/>
        <v>0.53962900505902189</v>
      </c>
      <c r="J21" s="11">
        <f>SUM(I$17:I$21)</f>
        <v>1.0300730747611018</v>
      </c>
      <c r="K21" s="8">
        <f t="shared" si="3"/>
        <v>0.20601461495222034</v>
      </c>
    </row>
    <row r="22" spans="1:11" x14ac:dyDescent="0.2">
      <c r="A22">
        <v>1983</v>
      </c>
      <c r="B22" t="s">
        <v>4</v>
      </c>
      <c r="C22" s="9">
        <v>15000</v>
      </c>
      <c r="D22" s="9">
        <v>1700</v>
      </c>
      <c r="E22" s="11">
        <f t="shared" si="0"/>
        <v>0.11333333333333333</v>
      </c>
      <c r="F22" s="8">
        <f>C22/AVERAGE(C$22:C$26)</f>
        <v>0.20908837468636743</v>
      </c>
      <c r="H22" s="9">
        <f>AVERAGE(C$22:C$26)</f>
        <v>71740</v>
      </c>
      <c r="I22" s="11">
        <f t="shared" si="2"/>
        <v>2.3696682464454975E-2</v>
      </c>
      <c r="J22" s="11">
        <f>SUM(I$22:I$26)</f>
        <v>1.0133816559799276</v>
      </c>
      <c r="K22" s="8">
        <f t="shared" si="3"/>
        <v>0.20267633119598552</v>
      </c>
    </row>
    <row r="23" spans="1:11" x14ac:dyDescent="0.2">
      <c r="A23">
        <v>1983</v>
      </c>
      <c r="B23" t="s">
        <v>5</v>
      </c>
      <c r="C23" s="9">
        <v>37300</v>
      </c>
      <c r="D23" s="9">
        <v>5200</v>
      </c>
      <c r="E23" s="11">
        <f t="shared" si="0"/>
        <v>0.13941018766756033</v>
      </c>
      <c r="F23" s="8">
        <f t="shared" ref="F23:F26" si="9">C23/AVERAGE(C$22:C$26)</f>
        <v>0.51993309172010038</v>
      </c>
      <c r="H23" s="9">
        <f>AVERAGE(C$22:C$26)</f>
        <v>71740</v>
      </c>
      <c r="I23" s="11">
        <f t="shared" si="2"/>
        <v>7.248396989127405E-2</v>
      </c>
      <c r="J23" s="11">
        <f>SUM(I$22:I$26)</f>
        <v>1.0133816559799276</v>
      </c>
      <c r="K23" s="8">
        <f t="shared" si="3"/>
        <v>0.20267633119598552</v>
      </c>
    </row>
    <row r="24" spans="1:11" x14ac:dyDescent="0.2">
      <c r="A24">
        <v>1983</v>
      </c>
      <c r="B24" t="s">
        <v>6</v>
      </c>
      <c r="C24" s="9">
        <v>58900</v>
      </c>
      <c r="D24" s="9">
        <v>10300</v>
      </c>
      <c r="E24" s="11">
        <f t="shared" si="0"/>
        <v>0.17487266553480477</v>
      </c>
      <c r="F24" s="8">
        <f t="shared" si="9"/>
        <v>0.82102035126846951</v>
      </c>
      <c r="H24" s="9">
        <f>AVERAGE(C$22:C$26)</f>
        <v>71740</v>
      </c>
      <c r="I24" s="11">
        <f t="shared" si="2"/>
        <v>0.14357401728463898</v>
      </c>
      <c r="J24" s="11">
        <f>SUM(I$22:I$26)</f>
        <v>1.0133816559799276</v>
      </c>
      <c r="K24" s="8">
        <f t="shared" si="3"/>
        <v>0.20267633119598552</v>
      </c>
    </row>
    <row r="25" spans="1:11" x14ac:dyDescent="0.2">
      <c r="A25">
        <v>1983</v>
      </c>
      <c r="B25" t="s">
        <v>7</v>
      </c>
      <c r="C25" s="9">
        <v>83000</v>
      </c>
      <c r="D25" s="9">
        <v>16700</v>
      </c>
      <c r="E25" s="11">
        <f t="shared" si="0"/>
        <v>0.20120481927710843</v>
      </c>
      <c r="F25" s="8">
        <f t="shared" si="9"/>
        <v>1.1569556732645665</v>
      </c>
      <c r="H25" s="9">
        <f>AVERAGE(C$22:C$26)</f>
        <v>71740</v>
      </c>
      <c r="I25" s="11">
        <f t="shared" si="2"/>
        <v>0.23278505715082243</v>
      </c>
      <c r="J25" s="11">
        <f>SUM(I$22:I$26)</f>
        <v>1.0133816559799276</v>
      </c>
      <c r="K25" s="8">
        <f t="shared" si="3"/>
        <v>0.20267633119598552</v>
      </c>
    </row>
    <row r="26" spans="1:11" x14ac:dyDescent="0.2">
      <c r="A26">
        <v>1983</v>
      </c>
      <c r="B26" t="s">
        <v>8</v>
      </c>
      <c r="C26" s="9">
        <v>164500</v>
      </c>
      <c r="D26" s="9">
        <v>38800</v>
      </c>
      <c r="E26" s="11">
        <f t="shared" si="0"/>
        <v>0.23586626139817629</v>
      </c>
      <c r="F26" s="8">
        <f t="shared" si="9"/>
        <v>2.2930025090604964</v>
      </c>
      <c r="G26">
        <f>SUM(F22:F26)/5</f>
        <v>1</v>
      </c>
      <c r="H26" s="9">
        <f>AVERAGE(C$22:C$26)</f>
        <v>71740</v>
      </c>
      <c r="I26" s="11">
        <f t="shared" si="2"/>
        <v>0.54084192918873708</v>
      </c>
      <c r="J26" s="11">
        <f>SUM(I$22:I$26)</f>
        <v>1.0133816559799276</v>
      </c>
      <c r="K26" s="8">
        <f t="shared" si="3"/>
        <v>0.20267633119598552</v>
      </c>
    </row>
    <row r="27" spans="1:11" x14ac:dyDescent="0.2">
      <c r="A27">
        <v>1984</v>
      </c>
      <c r="B27" t="s">
        <v>4</v>
      </c>
      <c r="C27" s="9">
        <v>16200</v>
      </c>
      <c r="D27" s="9">
        <v>2000</v>
      </c>
      <c r="E27" s="11">
        <f t="shared" si="0"/>
        <v>0.12345679012345678</v>
      </c>
      <c r="F27" s="8">
        <f>C27/AVERAGE(C$27:C$31)</f>
        <v>0.21088258266076543</v>
      </c>
      <c r="H27" s="9">
        <f>AVERAGE(C$27:C$31)</f>
        <v>76820</v>
      </c>
      <c r="I27" s="11">
        <f t="shared" si="2"/>
        <v>2.6034886748242645E-2</v>
      </c>
      <c r="J27" s="11">
        <f>SUM(I$27:I$31)</f>
        <v>1.0309815152304087</v>
      </c>
      <c r="K27" s="8">
        <f t="shared" si="3"/>
        <v>0.20619630304608175</v>
      </c>
    </row>
    <row r="28" spans="1:11" x14ac:dyDescent="0.2">
      <c r="A28">
        <v>1984</v>
      </c>
      <c r="B28" t="s">
        <v>5</v>
      </c>
      <c r="C28" s="9">
        <v>39800</v>
      </c>
      <c r="D28" s="9">
        <v>5900</v>
      </c>
      <c r="E28" s="11">
        <f t="shared" si="0"/>
        <v>0.14824120603015076</v>
      </c>
      <c r="F28" s="8">
        <f t="shared" ref="F28:F31" si="10">C28/AVERAGE(C$27:C$31)</f>
        <v>0.51809424629002865</v>
      </c>
      <c r="H28" s="9">
        <f>AVERAGE(C$27:C$31)</f>
        <v>76820</v>
      </c>
      <c r="I28" s="11">
        <f t="shared" si="2"/>
        <v>7.6802915907315805E-2</v>
      </c>
      <c r="J28" s="11">
        <f>SUM(I$27:I$31)</f>
        <v>1.0309815152304087</v>
      </c>
      <c r="K28" s="8">
        <f t="shared" si="3"/>
        <v>0.20619630304608175</v>
      </c>
    </row>
    <row r="29" spans="1:11" x14ac:dyDescent="0.2">
      <c r="A29">
        <v>1984</v>
      </c>
      <c r="B29" t="s">
        <v>6</v>
      </c>
      <c r="C29" s="9">
        <v>62400</v>
      </c>
      <c r="D29" s="9">
        <v>11200</v>
      </c>
      <c r="E29" s="11">
        <f t="shared" si="0"/>
        <v>0.17948717948717949</v>
      </c>
      <c r="F29" s="8">
        <f t="shared" si="10"/>
        <v>0.81228846654517051</v>
      </c>
      <c r="H29" s="9">
        <f>AVERAGE(C$27:C$31)</f>
        <v>76820</v>
      </c>
      <c r="I29" s="11">
        <f t="shared" si="2"/>
        <v>0.14579536579015881</v>
      </c>
      <c r="J29" s="11">
        <f>SUM(I$27:I$31)</f>
        <v>1.0309815152304087</v>
      </c>
      <c r="K29" s="8">
        <f t="shared" si="3"/>
        <v>0.20619630304608175</v>
      </c>
    </row>
    <row r="30" spans="1:11" x14ac:dyDescent="0.2">
      <c r="A30">
        <v>1984</v>
      </c>
      <c r="B30" t="s">
        <v>7</v>
      </c>
      <c r="C30" s="9">
        <v>87300</v>
      </c>
      <c r="D30" s="9">
        <v>17700</v>
      </c>
      <c r="E30" s="11">
        <f t="shared" si="0"/>
        <v>0.20274914089347079</v>
      </c>
      <c r="F30" s="8">
        <f t="shared" si="10"/>
        <v>1.1364228065607915</v>
      </c>
      <c r="H30" s="9">
        <f>AVERAGE(C$27:C$31)</f>
        <v>76820</v>
      </c>
      <c r="I30" s="11">
        <f t="shared" si="2"/>
        <v>0.23040874772194742</v>
      </c>
      <c r="J30" s="11">
        <f>SUM(I$27:I$31)</f>
        <v>1.0309815152304087</v>
      </c>
      <c r="K30" s="8">
        <f t="shared" si="3"/>
        <v>0.20619630304608175</v>
      </c>
    </row>
    <row r="31" spans="1:11" x14ac:dyDescent="0.2">
      <c r="A31">
        <v>1984</v>
      </c>
      <c r="B31" t="s">
        <v>8</v>
      </c>
      <c r="C31" s="9">
        <v>178400</v>
      </c>
      <c r="D31" s="9">
        <v>42400</v>
      </c>
      <c r="E31" s="11">
        <f t="shared" si="0"/>
        <v>0.23766816143497757</v>
      </c>
      <c r="F31" s="8">
        <f t="shared" si="10"/>
        <v>2.3223118979432438</v>
      </c>
      <c r="G31">
        <f>SUM(F27:F31)/5</f>
        <v>1</v>
      </c>
      <c r="H31" s="9">
        <f>AVERAGE(C$27:C$31)</f>
        <v>76820</v>
      </c>
      <c r="I31" s="11">
        <f t="shared" si="2"/>
        <v>0.55193959906274404</v>
      </c>
      <c r="J31" s="11">
        <f>SUM(I$27:I$31)</f>
        <v>1.0309815152304087</v>
      </c>
      <c r="K31" s="8">
        <f t="shared" si="3"/>
        <v>0.20619630304608175</v>
      </c>
    </row>
    <row r="32" spans="1:11" x14ac:dyDescent="0.2">
      <c r="A32">
        <v>1985</v>
      </c>
      <c r="B32" t="s">
        <v>4</v>
      </c>
      <c r="C32" s="9">
        <v>16100</v>
      </c>
      <c r="D32" s="9">
        <v>1900</v>
      </c>
      <c r="E32" s="11">
        <f t="shared" si="0"/>
        <v>0.11801242236024845</v>
      </c>
      <c r="F32" s="8">
        <f>C32/AVERAGE(C$32:C$36)</f>
        <v>0.20827943078913325</v>
      </c>
      <c r="H32" s="9">
        <f>AVERAGE(C$32:C$36)</f>
        <v>77300</v>
      </c>
      <c r="I32" s="11">
        <f t="shared" si="2"/>
        <v>2.4579560155239329E-2</v>
      </c>
      <c r="J32" s="11">
        <f>SUM(I$32:I$36)</f>
        <v>1.0349288486416559</v>
      </c>
      <c r="K32" s="8">
        <f t="shared" si="3"/>
        <v>0.20698576972833119</v>
      </c>
    </row>
    <row r="33" spans="1:11" x14ac:dyDescent="0.2">
      <c r="A33">
        <v>1985</v>
      </c>
      <c r="B33" t="s">
        <v>5</v>
      </c>
      <c r="C33" s="9">
        <v>39700</v>
      </c>
      <c r="D33" s="9">
        <v>6000</v>
      </c>
      <c r="E33" s="11">
        <f t="shared" si="0"/>
        <v>0.15113350125944586</v>
      </c>
      <c r="F33" s="8">
        <f t="shared" ref="F33:F36" si="11">C33/AVERAGE(C$32:C$36)</f>
        <v>0.51358344113842169</v>
      </c>
      <c r="H33" s="9">
        <f>AVERAGE(C$32:C$36)</f>
        <v>77300</v>
      </c>
      <c r="I33" s="11">
        <f t="shared" si="2"/>
        <v>7.7619663648124199E-2</v>
      </c>
      <c r="J33" s="11">
        <f>SUM(I$32:I$36)</f>
        <v>1.0349288486416559</v>
      </c>
      <c r="K33" s="8">
        <f t="shared" si="3"/>
        <v>0.20698576972833119</v>
      </c>
    </row>
    <row r="34" spans="1:11" x14ac:dyDescent="0.2">
      <c r="A34">
        <v>1985</v>
      </c>
      <c r="B34" t="s">
        <v>6</v>
      </c>
      <c r="C34" s="9">
        <v>62500</v>
      </c>
      <c r="D34" s="9">
        <v>11400</v>
      </c>
      <c r="E34" s="11">
        <f t="shared" si="0"/>
        <v>0.18240000000000001</v>
      </c>
      <c r="F34" s="8">
        <f t="shared" si="11"/>
        <v>0.80853816300129366</v>
      </c>
      <c r="H34" s="9">
        <f>AVERAGE(C$32:C$36)</f>
        <v>77300</v>
      </c>
      <c r="I34" s="11">
        <f t="shared" si="2"/>
        <v>0.14747736093143596</v>
      </c>
      <c r="J34" s="11">
        <f>SUM(I$32:I$36)</f>
        <v>1.0349288486416559</v>
      </c>
      <c r="K34" s="8">
        <f t="shared" si="3"/>
        <v>0.20698576972833119</v>
      </c>
    </row>
    <row r="35" spans="1:11" x14ac:dyDescent="0.2">
      <c r="A35">
        <v>1985</v>
      </c>
      <c r="B35" t="s">
        <v>7</v>
      </c>
      <c r="C35" s="9">
        <v>87600</v>
      </c>
      <c r="D35" s="9">
        <v>17900</v>
      </c>
      <c r="E35" s="11">
        <f t="shared" si="0"/>
        <v>0.204337899543379</v>
      </c>
      <c r="F35" s="8">
        <f t="shared" si="11"/>
        <v>1.1332470892626132</v>
      </c>
      <c r="H35" s="9">
        <f>AVERAGE(C$32:C$36)</f>
        <v>77300</v>
      </c>
      <c r="I35" s="11">
        <f t="shared" si="2"/>
        <v>0.23156532988357051</v>
      </c>
      <c r="J35" s="11">
        <f>SUM(I$32:I$36)</f>
        <v>1.0349288486416559</v>
      </c>
      <c r="K35" s="8">
        <f t="shared" si="3"/>
        <v>0.20698576972833119</v>
      </c>
    </row>
    <row r="36" spans="1:11" x14ac:dyDescent="0.2">
      <c r="A36">
        <v>1985</v>
      </c>
      <c r="B36" t="s">
        <v>8</v>
      </c>
      <c r="C36" s="9">
        <v>180600</v>
      </c>
      <c r="D36" s="9">
        <v>42800</v>
      </c>
      <c r="E36" s="11">
        <f t="shared" si="0"/>
        <v>0.23698781838316721</v>
      </c>
      <c r="F36" s="8">
        <f t="shared" si="11"/>
        <v>2.3363518758085382</v>
      </c>
      <c r="G36">
        <f>SUM(F32:F36)/5</f>
        <v>1</v>
      </c>
      <c r="H36" s="9">
        <f>AVERAGE(C$32:C$36)</f>
        <v>77300</v>
      </c>
      <c r="I36" s="11">
        <f t="shared" si="2"/>
        <v>0.55368693402328595</v>
      </c>
      <c r="J36" s="11">
        <f>SUM(I$32:I$36)</f>
        <v>1.0349288486416559</v>
      </c>
      <c r="K36" s="8">
        <f t="shared" si="3"/>
        <v>0.20698576972833119</v>
      </c>
    </row>
    <row r="37" spans="1:11" x14ac:dyDescent="0.2">
      <c r="A37">
        <v>1986</v>
      </c>
      <c r="B37" t="s">
        <v>4</v>
      </c>
      <c r="C37" s="9">
        <v>15900</v>
      </c>
      <c r="D37" s="9">
        <v>1900</v>
      </c>
      <c r="E37" s="11">
        <f t="shared" si="0"/>
        <v>0.11949685534591195</v>
      </c>
      <c r="F37" s="8">
        <f>C37/AVERAGE(C$37:C$41)</f>
        <v>0.19240077444336884</v>
      </c>
      <c r="H37" s="9">
        <f>AVERAGE(C$37:C$41)</f>
        <v>82640</v>
      </c>
      <c r="I37" s="11">
        <f t="shared" si="2"/>
        <v>2.2991287512100677E-2</v>
      </c>
      <c r="J37" s="11">
        <f>SUM(I$37:I$41)</f>
        <v>1.0382381413359147</v>
      </c>
      <c r="K37" s="8">
        <f t="shared" si="3"/>
        <v>0.20764762826718294</v>
      </c>
    </row>
    <row r="38" spans="1:11" x14ac:dyDescent="0.2">
      <c r="A38">
        <v>1986</v>
      </c>
      <c r="B38" t="s">
        <v>5</v>
      </c>
      <c r="C38" s="9">
        <v>40200</v>
      </c>
      <c r="D38" s="9">
        <v>6000</v>
      </c>
      <c r="E38" s="11">
        <f t="shared" si="0"/>
        <v>0.14925373134328357</v>
      </c>
      <c r="F38" s="8">
        <f t="shared" ref="F38:F41" si="12">C38/AVERAGE(C$37:C$41)</f>
        <v>0.48644724104549852</v>
      </c>
      <c r="H38" s="9">
        <f>AVERAGE(C$37:C$41)</f>
        <v>82640</v>
      </c>
      <c r="I38" s="11">
        <f t="shared" si="2"/>
        <v>7.2604065827686345E-2</v>
      </c>
      <c r="J38" s="11">
        <f>SUM(I$37:I$41)</f>
        <v>1.0382381413359147</v>
      </c>
      <c r="K38" s="8">
        <f t="shared" si="3"/>
        <v>0.20764762826718294</v>
      </c>
    </row>
    <row r="39" spans="1:11" x14ac:dyDescent="0.2">
      <c r="A39">
        <v>1986</v>
      </c>
      <c r="B39" t="s">
        <v>6</v>
      </c>
      <c r="C39" s="9">
        <v>63800</v>
      </c>
      <c r="D39" s="9">
        <v>11600</v>
      </c>
      <c r="E39" s="11">
        <f t="shared" si="0"/>
        <v>0.18181818181818182</v>
      </c>
      <c r="F39" s="8">
        <f t="shared" si="12"/>
        <v>0.77202323330106482</v>
      </c>
      <c r="H39" s="9">
        <f>AVERAGE(C$37:C$41)</f>
        <v>82640</v>
      </c>
      <c r="I39" s="11">
        <f t="shared" si="2"/>
        <v>0.1403678606001936</v>
      </c>
      <c r="J39" s="11">
        <f>SUM(I$37:I$41)</f>
        <v>1.0382381413359147</v>
      </c>
      <c r="K39" s="8">
        <f t="shared" si="3"/>
        <v>0.20764762826718294</v>
      </c>
    </row>
    <row r="40" spans="1:11" x14ac:dyDescent="0.2">
      <c r="A40">
        <v>1986</v>
      </c>
      <c r="B40" t="s">
        <v>7</v>
      </c>
      <c r="C40" s="9">
        <v>90600</v>
      </c>
      <c r="D40" s="9">
        <v>18600</v>
      </c>
      <c r="E40" s="11">
        <f t="shared" si="0"/>
        <v>0.20529801324503311</v>
      </c>
      <c r="F40" s="8">
        <f t="shared" si="12"/>
        <v>1.0963213939980638</v>
      </c>
      <c r="H40" s="9">
        <f>AVERAGE(C$37:C$41)</f>
        <v>82640</v>
      </c>
      <c r="I40" s="11">
        <f t="shared" si="2"/>
        <v>0.22507260406582769</v>
      </c>
      <c r="J40" s="11">
        <f>SUM(I$37:I$41)</f>
        <v>1.0382381413359147</v>
      </c>
      <c r="K40" s="8">
        <f t="shared" si="3"/>
        <v>0.20764762826718294</v>
      </c>
    </row>
    <row r="41" spans="1:11" x14ac:dyDescent="0.2">
      <c r="A41">
        <v>1986</v>
      </c>
      <c r="B41" t="s">
        <v>8</v>
      </c>
      <c r="C41" s="9">
        <v>202700</v>
      </c>
      <c r="D41" s="9">
        <v>47700</v>
      </c>
      <c r="E41" s="11">
        <f t="shared" si="0"/>
        <v>0.23532313764183521</v>
      </c>
      <c r="F41" s="8">
        <f t="shared" si="12"/>
        <v>2.4528073572120039</v>
      </c>
      <c r="G41">
        <f>SUM( F37:F41)/5</f>
        <v>1</v>
      </c>
      <c r="H41" s="9">
        <f>AVERAGE(C$37:C$41)</f>
        <v>82640</v>
      </c>
      <c r="I41" s="11">
        <f t="shared" si="2"/>
        <v>0.57720232333010646</v>
      </c>
      <c r="J41" s="11">
        <f>SUM(I$37:I$41)</f>
        <v>1.0382381413359147</v>
      </c>
      <c r="K41" s="8">
        <f t="shared" si="3"/>
        <v>0.20764762826718294</v>
      </c>
    </row>
    <row r="42" spans="1:11" x14ac:dyDescent="0.2">
      <c r="A42">
        <v>1987</v>
      </c>
      <c r="B42" t="s">
        <v>4</v>
      </c>
      <c r="C42" s="9">
        <v>15300</v>
      </c>
      <c r="D42" s="9">
        <v>1600</v>
      </c>
      <c r="E42" s="11">
        <f t="shared" si="0"/>
        <v>0.10457516339869281</v>
      </c>
      <c r="F42" s="8">
        <f>C42/AVERAGE(C$42:C$46)</f>
        <v>0.19086826347305388</v>
      </c>
      <c r="H42" s="9">
        <f>AVERAGE(C$42:C$46)</f>
        <v>80160</v>
      </c>
      <c r="I42" s="11">
        <f t="shared" si="2"/>
        <v>1.9960079840319361E-2</v>
      </c>
      <c r="J42" s="11">
        <f>SUM(I$42:I$46)</f>
        <v>1.0753493013972055</v>
      </c>
      <c r="K42" s="8">
        <f t="shared" si="3"/>
        <v>0.21506986027944111</v>
      </c>
    </row>
    <row r="43" spans="1:11" x14ac:dyDescent="0.2">
      <c r="A43">
        <v>1987</v>
      </c>
      <c r="B43" t="s">
        <v>5</v>
      </c>
      <c r="C43" s="9">
        <v>39200</v>
      </c>
      <c r="D43" s="9">
        <v>5600</v>
      </c>
      <c r="E43" s="11">
        <f t="shared" si="0"/>
        <v>0.14285714285714285</v>
      </c>
      <c r="F43" s="8">
        <f t="shared" ref="F43:F46" si="13">C43/AVERAGE(C$42:C$46)</f>
        <v>0.48902195608782434</v>
      </c>
      <c r="H43" s="9">
        <f>AVERAGE(C$42:C$46)</f>
        <v>80160</v>
      </c>
      <c r="I43" s="11">
        <f t="shared" si="2"/>
        <v>6.9860279441117765E-2</v>
      </c>
      <c r="J43" s="11">
        <f>SUM(I$42:I$46)</f>
        <v>1.0753493013972055</v>
      </c>
      <c r="K43" s="8">
        <f t="shared" si="3"/>
        <v>0.21506986027944111</v>
      </c>
    </row>
    <row r="44" spans="1:11" x14ac:dyDescent="0.2">
      <c r="A44">
        <v>1987</v>
      </c>
      <c r="B44" t="s">
        <v>6</v>
      </c>
      <c r="C44" s="9">
        <v>63300</v>
      </c>
      <c r="D44" s="9">
        <v>11300</v>
      </c>
      <c r="E44" s="11">
        <f t="shared" si="0"/>
        <v>0.17851500789889416</v>
      </c>
      <c r="F44" s="8">
        <f t="shared" si="13"/>
        <v>0.78967065868263475</v>
      </c>
      <c r="H44" s="9">
        <f>AVERAGE(C$42:C$46)</f>
        <v>80160</v>
      </c>
      <c r="I44" s="11">
        <f t="shared" si="2"/>
        <v>0.14096806387225549</v>
      </c>
      <c r="J44" s="11">
        <f>SUM(I$42:I$46)</f>
        <v>1.0753493013972055</v>
      </c>
      <c r="K44" s="8">
        <f t="shared" si="3"/>
        <v>0.21506986027944111</v>
      </c>
    </row>
    <row r="45" spans="1:11" x14ac:dyDescent="0.2">
      <c r="A45">
        <v>1987</v>
      </c>
      <c r="B45" t="s">
        <v>7</v>
      </c>
      <c r="C45" s="9">
        <v>91100</v>
      </c>
      <c r="D45" s="9">
        <v>18600</v>
      </c>
      <c r="E45" s="11">
        <f t="shared" si="0"/>
        <v>0.20417124039517015</v>
      </c>
      <c r="F45" s="8">
        <f t="shared" si="13"/>
        <v>1.1364770459081837</v>
      </c>
      <c r="H45" s="9">
        <f>AVERAGE(C$42:C$46)</f>
        <v>80160</v>
      </c>
      <c r="I45" s="11">
        <f t="shared" si="2"/>
        <v>0.23203592814371257</v>
      </c>
      <c r="J45" s="11">
        <f>SUM(I$42:I$46)</f>
        <v>1.0753493013972055</v>
      </c>
      <c r="K45" s="8">
        <f t="shared" si="3"/>
        <v>0.21506986027944111</v>
      </c>
    </row>
    <row r="46" spans="1:11" x14ac:dyDescent="0.2">
      <c r="A46">
        <v>1987</v>
      </c>
      <c r="B46" t="s">
        <v>8</v>
      </c>
      <c r="C46" s="9">
        <v>191900</v>
      </c>
      <c r="D46" s="9">
        <v>49100</v>
      </c>
      <c r="E46" s="11">
        <f t="shared" si="0"/>
        <v>0.25586242834809797</v>
      </c>
      <c r="F46" s="8">
        <f t="shared" si="13"/>
        <v>2.3939620758483033</v>
      </c>
      <c r="G46">
        <f>SUM(F42:F46)/5</f>
        <v>1</v>
      </c>
      <c r="H46" s="9">
        <f>AVERAGE(C$42:C$46)</f>
        <v>80160</v>
      </c>
      <c r="I46" s="11">
        <f t="shared" si="2"/>
        <v>0.61252495009980035</v>
      </c>
      <c r="J46" s="11">
        <f>SUM(I$42:I$46)</f>
        <v>1.0753493013972055</v>
      </c>
      <c r="K46" s="8">
        <f t="shared" si="3"/>
        <v>0.21506986027944111</v>
      </c>
    </row>
    <row r="47" spans="1:11" x14ac:dyDescent="0.2">
      <c r="A47">
        <v>1988</v>
      </c>
      <c r="B47" t="s">
        <v>4</v>
      </c>
      <c r="C47" s="9">
        <v>15900</v>
      </c>
      <c r="D47" s="9">
        <v>1600</v>
      </c>
      <c r="E47" s="11">
        <f t="shared" si="0"/>
        <v>0.10062893081761007</v>
      </c>
      <c r="F47" s="8">
        <f>C47/AVERAGE(C$47:C$51)</f>
        <v>0.19055608820709491</v>
      </c>
      <c r="H47" s="9">
        <f>AVERAGE(C$47:C$51)</f>
        <v>83440</v>
      </c>
      <c r="I47" s="11">
        <f t="shared" si="2"/>
        <v>1.9175455417066157E-2</v>
      </c>
      <c r="J47" s="11">
        <f>SUM(I$47:I$51)</f>
        <v>1.0834132310642377</v>
      </c>
      <c r="K47" s="8">
        <f t="shared" si="3"/>
        <v>0.21668264621284755</v>
      </c>
    </row>
    <row r="48" spans="1:11" x14ac:dyDescent="0.2">
      <c r="A48">
        <v>1988</v>
      </c>
      <c r="B48" t="s">
        <v>5</v>
      </c>
      <c r="C48" s="9">
        <v>39900</v>
      </c>
      <c r="D48" s="9">
        <v>5900</v>
      </c>
      <c r="E48" s="11">
        <f t="shared" si="0"/>
        <v>0.14786967418546365</v>
      </c>
      <c r="F48" s="8">
        <f t="shared" ref="F48:F51" si="14">C48/AVERAGE(C$47:C$51)</f>
        <v>0.47818791946308725</v>
      </c>
      <c r="H48" s="9">
        <f>AVERAGE(C$47:C$51)</f>
        <v>83440</v>
      </c>
      <c r="I48" s="11">
        <f t="shared" si="2"/>
        <v>7.0709491850431447E-2</v>
      </c>
      <c r="J48" s="11">
        <f>SUM(I$47:I$51)</f>
        <v>1.0834132310642377</v>
      </c>
      <c r="K48" s="8">
        <f t="shared" si="3"/>
        <v>0.21668264621284755</v>
      </c>
    </row>
    <row r="49" spans="1:11" x14ac:dyDescent="0.2">
      <c r="A49">
        <v>1988</v>
      </c>
      <c r="B49" t="s">
        <v>6</v>
      </c>
      <c r="C49" s="9">
        <v>64300</v>
      </c>
      <c r="D49" s="9">
        <v>11700</v>
      </c>
      <c r="E49" s="11">
        <f t="shared" si="0"/>
        <v>0.18195956454121306</v>
      </c>
      <c r="F49" s="8">
        <f t="shared" si="14"/>
        <v>0.7706136145733461</v>
      </c>
      <c r="H49" s="9">
        <f>AVERAGE(C$47:C$51)</f>
        <v>83440</v>
      </c>
      <c r="I49" s="11">
        <f t="shared" si="2"/>
        <v>0.14022051773729627</v>
      </c>
      <c r="J49" s="11">
        <f>SUM(I$47:I$51)</f>
        <v>1.0834132310642377</v>
      </c>
      <c r="K49" s="8">
        <f t="shared" si="3"/>
        <v>0.21668264621284755</v>
      </c>
    </row>
    <row r="50" spans="1:11" x14ac:dyDescent="0.2">
      <c r="A50">
        <v>1988</v>
      </c>
      <c r="B50" t="s">
        <v>7</v>
      </c>
      <c r="C50" s="9">
        <v>91700</v>
      </c>
      <c r="D50" s="9">
        <v>19100</v>
      </c>
      <c r="E50" s="11">
        <f t="shared" si="0"/>
        <v>0.20828789531079608</v>
      </c>
      <c r="F50" s="8">
        <f t="shared" si="14"/>
        <v>1.098993288590604</v>
      </c>
      <c r="H50" s="9">
        <f>AVERAGE(C$47:C$51)</f>
        <v>83440</v>
      </c>
      <c r="I50" s="11">
        <f t="shared" si="2"/>
        <v>0.22890699904122722</v>
      </c>
      <c r="J50" s="11">
        <f>SUM(I$47:I$51)</f>
        <v>1.0834132310642377</v>
      </c>
      <c r="K50" s="8">
        <f t="shared" si="3"/>
        <v>0.21668264621284755</v>
      </c>
    </row>
    <row r="51" spans="1:11" x14ac:dyDescent="0.2">
      <c r="A51">
        <v>1988</v>
      </c>
      <c r="B51" t="s">
        <v>8</v>
      </c>
      <c r="C51" s="9">
        <v>205400</v>
      </c>
      <c r="D51" s="9">
        <v>52100</v>
      </c>
      <c r="E51" s="11">
        <f t="shared" si="0"/>
        <v>0.25365141187925999</v>
      </c>
      <c r="F51" s="8">
        <f t="shared" si="14"/>
        <v>2.4616490891658676</v>
      </c>
      <c r="G51">
        <f>SUM(F47:F51)/5</f>
        <v>1</v>
      </c>
      <c r="H51" s="9">
        <f>AVERAGE(C$47:C$51)</f>
        <v>83440</v>
      </c>
      <c r="I51" s="11">
        <f t="shared" si="2"/>
        <v>0.62440076701821667</v>
      </c>
      <c r="J51" s="11">
        <f>SUM(I$47:I$51)</f>
        <v>1.0834132310642377</v>
      </c>
      <c r="K51" s="8">
        <f t="shared" si="3"/>
        <v>0.21668264621284755</v>
      </c>
    </row>
    <row r="52" spans="1:11" x14ac:dyDescent="0.2">
      <c r="A52">
        <v>1989</v>
      </c>
      <c r="B52" t="s">
        <v>4</v>
      </c>
      <c r="C52" s="9">
        <v>16600</v>
      </c>
      <c r="D52" s="9">
        <v>1600</v>
      </c>
      <c r="E52" s="11">
        <f t="shared" si="0"/>
        <v>9.6385542168674704E-2</v>
      </c>
      <c r="F52" s="8">
        <f>C52/AVERAGE(C$52:C$56)</f>
        <v>0.19794896255664202</v>
      </c>
      <c r="H52" s="9">
        <f>AVERAGE(C$52:C$56)</f>
        <v>83860</v>
      </c>
      <c r="I52" s="11">
        <f t="shared" si="2"/>
        <v>1.9079418077748628E-2</v>
      </c>
      <c r="J52" s="11">
        <f>SUM(I$52:I$56)</f>
        <v>1.0696398759837824</v>
      </c>
      <c r="K52" s="8">
        <f t="shared" si="3"/>
        <v>0.21392797519675649</v>
      </c>
    </row>
    <row r="53" spans="1:11" x14ac:dyDescent="0.2">
      <c r="A53">
        <v>1989</v>
      </c>
      <c r="B53" t="s">
        <v>5</v>
      </c>
      <c r="C53" s="9">
        <v>40300</v>
      </c>
      <c r="D53" s="9">
        <v>5800</v>
      </c>
      <c r="E53" s="11">
        <f t="shared" si="0"/>
        <v>0.14392059553349876</v>
      </c>
      <c r="F53" s="8">
        <f t="shared" ref="F53:F56" si="15">C53/AVERAGE(C$52:C$56)</f>
        <v>0.48056284283329359</v>
      </c>
      <c r="H53" s="9">
        <f>AVERAGE(C$52:C$56)</f>
        <v>83860</v>
      </c>
      <c r="I53" s="11">
        <f t="shared" si="2"/>
        <v>6.9162890531838772E-2</v>
      </c>
      <c r="J53" s="11">
        <f>SUM(I$52:I$56)</f>
        <v>1.0696398759837824</v>
      </c>
      <c r="K53" s="8">
        <f t="shared" si="3"/>
        <v>0.21392797519675649</v>
      </c>
    </row>
    <row r="54" spans="1:11" x14ac:dyDescent="0.2">
      <c r="A54">
        <v>1989</v>
      </c>
      <c r="B54" t="s">
        <v>6</v>
      </c>
      <c r="C54" s="9">
        <v>65000</v>
      </c>
      <c r="D54" s="9">
        <v>11800</v>
      </c>
      <c r="E54" s="11">
        <f t="shared" si="0"/>
        <v>0.18153846153846154</v>
      </c>
      <c r="F54" s="8">
        <f t="shared" si="15"/>
        <v>0.77510135940853808</v>
      </c>
      <c r="H54" s="9">
        <f>AVERAGE(C$52:C$56)</f>
        <v>83860</v>
      </c>
      <c r="I54" s="11">
        <f t="shared" si="2"/>
        <v>0.14071070832339613</v>
      </c>
      <c r="J54" s="11">
        <f>SUM(I$52:I$56)</f>
        <v>1.0696398759837824</v>
      </c>
      <c r="K54" s="8">
        <f t="shared" si="3"/>
        <v>0.21392797519675649</v>
      </c>
    </row>
    <row r="55" spans="1:11" x14ac:dyDescent="0.2">
      <c r="A55">
        <v>1989</v>
      </c>
      <c r="B55" t="s">
        <v>7</v>
      </c>
      <c r="C55" s="9">
        <v>92800</v>
      </c>
      <c r="D55" s="9">
        <v>19300</v>
      </c>
      <c r="E55" s="11">
        <f t="shared" si="0"/>
        <v>0.20797413793103448</v>
      </c>
      <c r="F55" s="8">
        <f t="shared" si="15"/>
        <v>1.1066062485094204</v>
      </c>
      <c r="H55" s="9">
        <f>AVERAGE(C$52:C$56)</f>
        <v>83860</v>
      </c>
      <c r="I55" s="11">
        <f t="shared" si="2"/>
        <v>0.23014548056284284</v>
      </c>
      <c r="J55" s="11">
        <f>SUM(I$52:I$56)</f>
        <v>1.0696398759837824</v>
      </c>
      <c r="K55" s="8">
        <f t="shared" si="3"/>
        <v>0.21392797519675649</v>
      </c>
    </row>
    <row r="56" spans="1:11" x14ac:dyDescent="0.2">
      <c r="A56">
        <v>1989</v>
      </c>
      <c r="B56" t="s">
        <v>8</v>
      </c>
      <c r="C56" s="9">
        <v>204600</v>
      </c>
      <c r="D56" s="9">
        <v>51200</v>
      </c>
      <c r="E56" s="11">
        <f t="shared" si="0"/>
        <v>0.25024437927663734</v>
      </c>
      <c r="F56" s="8">
        <f t="shared" si="15"/>
        <v>2.4397805866921058</v>
      </c>
      <c r="G56">
        <f>SUM(F52:F56)/5</f>
        <v>1</v>
      </c>
      <c r="H56" s="9">
        <f>AVERAGE(C$52:C$56)</f>
        <v>83860</v>
      </c>
      <c r="I56" s="11">
        <f t="shared" si="2"/>
        <v>0.61054137848795609</v>
      </c>
      <c r="J56" s="11">
        <f>SUM(I$52:I$56)</f>
        <v>1.0696398759837824</v>
      </c>
      <c r="K56" s="8">
        <f t="shared" si="3"/>
        <v>0.21392797519675649</v>
      </c>
    </row>
    <row r="57" spans="1:11" x14ac:dyDescent="0.2">
      <c r="A57">
        <v>1990</v>
      </c>
      <c r="B57" t="s">
        <v>4</v>
      </c>
      <c r="C57" s="9">
        <v>17100</v>
      </c>
      <c r="D57" s="9">
        <v>1800</v>
      </c>
      <c r="E57" s="11">
        <f t="shared" si="0"/>
        <v>0.10526315789473684</v>
      </c>
      <c r="F57" s="8">
        <f>C57/AVERAGE(C$57:C$61)</f>
        <v>0.20567717103680538</v>
      </c>
      <c r="H57" s="9">
        <f>AVERAGE(C$57:C$61)</f>
        <v>83140</v>
      </c>
      <c r="I57" s="11">
        <f t="shared" si="2"/>
        <v>2.1650228530190042E-2</v>
      </c>
      <c r="J57" s="11">
        <f>SUM(I$57:I$61)</f>
        <v>1.0680779408227088</v>
      </c>
      <c r="K57" s="8">
        <f t="shared" si="3"/>
        <v>0.21361558816454176</v>
      </c>
    </row>
    <row r="58" spans="1:11" x14ac:dyDescent="0.2">
      <c r="A58">
        <v>1990</v>
      </c>
      <c r="B58" t="s">
        <v>5</v>
      </c>
      <c r="C58" s="9">
        <v>41600</v>
      </c>
      <c r="D58" s="9">
        <v>6200</v>
      </c>
      <c r="E58" s="11">
        <f t="shared" si="0"/>
        <v>0.14903846153846154</v>
      </c>
      <c r="F58" s="8">
        <f t="shared" ref="F58:F61" si="16">C58/AVERAGE(C$57:C$61)</f>
        <v>0.50036083714216983</v>
      </c>
      <c r="H58" s="9">
        <f>AVERAGE(C$57:C$61)</f>
        <v>83140</v>
      </c>
      <c r="I58" s="11">
        <f t="shared" si="2"/>
        <v>7.4573009381765698E-2</v>
      </c>
      <c r="J58" s="11">
        <f>SUM(I$57:I$61)</f>
        <v>1.0680779408227088</v>
      </c>
      <c r="K58" s="8">
        <f t="shared" si="3"/>
        <v>0.21361558816454176</v>
      </c>
    </row>
    <row r="59" spans="1:11" x14ac:dyDescent="0.2">
      <c r="A59">
        <v>1990</v>
      </c>
      <c r="B59" t="s">
        <v>6</v>
      </c>
      <c r="C59" s="9">
        <v>65400</v>
      </c>
      <c r="D59" s="9">
        <v>11900</v>
      </c>
      <c r="E59" s="11">
        <f t="shared" si="0"/>
        <v>0.18195718654434251</v>
      </c>
      <c r="F59" s="8">
        <f t="shared" si="16"/>
        <v>0.78662496993023812</v>
      </c>
      <c r="H59" s="9">
        <f>AVERAGE(C$57:C$61)</f>
        <v>83140</v>
      </c>
      <c r="I59" s="11">
        <f t="shared" si="2"/>
        <v>0.14313206639403417</v>
      </c>
      <c r="J59" s="11">
        <f>SUM(I$57:I$61)</f>
        <v>1.0680779408227088</v>
      </c>
      <c r="K59" s="8">
        <f t="shared" si="3"/>
        <v>0.21361558816454176</v>
      </c>
    </row>
    <row r="60" spans="1:11" x14ac:dyDescent="0.2">
      <c r="A60">
        <v>1990</v>
      </c>
      <c r="B60" t="s">
        <v>7</v>
      </c>
      <c r="C60" s="9">
        <v>91900</v>
      </c>
      <c r="D60" s="9">
        <v>19100</v>
      </c>
      <c r="E60" s="11">
        <f t="shared" si="0"/>
        <v>0.20783460282916214</v>
      </c>
      <c r="F60" s="8">
        <f t="shared" si="16"/>
        <v>1.1053644455135916</v>
      </c>
      <c r="H60" s="9">
        <f>AVERAGE(C$57:C$61)</f>
        <v>83140</v>
      </c>
      <c r="I60" s="11">
        <f t="shared" si="2"/>
        <v>0.22973298051479432</v>
      </c>
      <c r="J60" s="11">
        <f>SUM(I$57:I$61)</f>
        <v>1.0680779408227088</v>
      </c>
      <c r="K60" s="8">
        <f t="shared" si="3"/>
        <v>0.21361558816454176</v>
      </c>
    </row>
    <row r="61" spans="1:11" x14ac:dyDescent="0.2">
      <c r="A61">
        <v>1990</v>
      </c>
      <c r="B61" t="s">
        <v>8</v>
      </c>
      <c r="C61" s="9">
        <v>199700</v>
      </c>
      <c r="D61" s="9">
        <v>49800</v>
      </c>
      <c r="E61" s="11">
        <f t="shared" si="0"/>
        <v>0.24937406109163746</v>
      </c>
      <c r="F61" s="8">
        <f t="shared" si="16"/>
        <v>2.4019725763771951</v>
      </c>
      <c r="G61">
        <f>SUM(F57:F61)/5</f>
        <v>1</v>
      </c>
      <c r="H61" s="9">
        <f>AVERAGE(C$57:C$61)</f>
        <v>83140</v>
      </c>
      <c r="I61" s="11">
        <f t="shared" si="2"/>
        <v>0.59898965600192444</v>
      </c>
      <c r="J61" s="11">
        <f>SUM(I$57:I$61)</f>
        <v>1.0680779408227088</v>
      </c>
      <c r="K61" s="8">
        <f t="shared" si="3"/>
        <v>0.21361558816454176</v>
      </c>
    </row>
    <row r="62" spans="1:11" x14ac:dyDescent="0.2">
      <c r="A62">
        <v>1991</v>
      </c>
      <c r="B62" t="s">
        <v>4</v>
      </c>
      <c r="C62" s="9">
        <v>17200</v>
      </c>
      <c r="D62" s="9">
        <v>1700</v>
      </c>
      <c r="E62" s="11">
        <f t="shared" si="0"/>
        <v>9.8837209302325577E-2</v>
      </c>
      <c r="F62" s="8">
        <f>C62/AVERAGE(C$62:C$66)</f>
        <v>0.21171836533727229</v>
      </c>
      <c r="H62" s="9">
        <f>AVERAGE(C$62:C$66)</f>
        <v>81240</v>
      </c>
      <c r="I62" s="11">
        <f t="shared" si="2"/>
        <v>2.0925652387986212E-2</v>
      </c>
      <c r="J62" s="11">
        <f>SUM(I$62:I$66)</f>
        <v>1.0635155096011817</v>
      </c>
      <c r="K62" s="8">
        <f t="shared" si="3"/>
        <v>0.21270310192023634</v>
      </c>
    </row>
    <row r="63" spans="1:11" x14ac:dyDescent="0.2">
      <c r="A63">
        <v>1991</v>
      </c>
      <c r="B63" t="s">
        <v>5</v>
      </c>
      <c r="C63" s="9">
        <v>40600</v>
      </c>
      <c r="D63" s="9">
        <v>5900</v>
      </c>
      <c r="E63" s="11">
        <f t="shared" si="0"/>
        <v>0.14532019704433496</v>
      </c>
      <c r="F63" s="8">
        <f t="shared" ref="F63:F65" si="17">C63/AVERAGE(C$62:C$66)</f>
        <v>0.49975381585425899</v>
      </c>
      <c r="H63" s="9">
        <f>AVERAGE(C$62:C$66)</f>
        <v>81240</v>
      </c>
      <c r="I63" s="11">
        <f t="shared" si="2"/>
        <v>7.2624322993599208E-2</v>
      </c>
      <c r="J63" s="11">
        <f>SUM(I$62:I$66)</f>
        <v>1.0635155096011817</v>
      </c>
      <c r="K63" s="8">
        <f t="shared" si="3"/>
        <v>0.21270310192023634</v>
      </c>
    </row>
    <row r="64" spans="1:11" x14ac:dyDescent="0.2">
      <c r="A64">
        <v>1991</v>
      </c>
      <c r="B64" t="s">
        <v>6</v>
      </c>
      <c r="C64" s="9">
        <v>64200</v>
      </c>
      <c r="D64" s="9">
        <v>11400</v>
      </c>
      <c r="E64" s="11">
        <f t="shared" si="0"/>
        <v>0.17757009345794392</v>
      </c>
      <c r="F64" s="8">
        <f t="shared" si="17"/>
        <v>0.79025110782865582</v>
      </c>
      <c r="H64" s="9">
        <f>AVERAGE(C$62:C$66)</f>
        <v>81240</v>
      </c>
      <c r="I64" s="11">
        <f t="shared" si="2"/>
        <v>0.14032496307237813</v>
      </c>
      <c r="J64" s="11">
        <f>SUM(I$62:I$66)</f>
        <v>1.0635155096011817</v>
      </c>
      <c r="K64" s="8">
        <f t="shared" si="3"/>
        <v>0.21270310192023634</v>
      </c>
    </row>
    <row r="65" spans="1:11" x14ac:dyDescent="0.2">
      <c r="A65">
        <v>1991</v>
      </c>
      <c r="B65" t="s">
        <v>7</v>
      </c>
      <c r="C65" s="9">
        <v>91300</v>
      </c>
      <c r="D65" s="9">
        <v>18800</v>
      </c>
      <c r="E65" s="11">
        <f t="shared" si="0"/>
        <v>0.20591456736035049</v>
      </c>
      <c r="F65" s="8">
        <f t="shared" si="17"/>
        <v>1.1238306253077301</v>
      </c>
      <c r="H65" s="9">
        <f>AVERAGE(C$62:C$66)</f>
        <v>81240</v>
      </c>
      <c r="I65" s="11">
        <f t="shared" si="2"/>
        <v>0.23141309699655344</v>
      </c>
      <c r="J65" s="11">
        <f>SUM(I$62:I$66)</f>
        <v>1.0635155096011817</v>
      </c>
      <c r="K65" s="8">
        <f t="shared" si="3"/>
        <v>0.21270310192023634</v>
      </c>
    </row>
    <row r="66" spans="1:11" x14ac:dyDescent="0.2">
      <c r="A66">
        <v>1991</v>
      </c>
      <c r="B66" t="s">
        <v>8</v>
      </c>
      <c r="C66" s="9">
        <v>192900</v>
      </c>
      <c r="D66" s="9">
        <v>48600</v>
      </c>
      <c r="E66" s="11">
        <f t="shared" si="0"/>
        <v>0.25194401244167963</v>
      </c>
      <c r="F66" s="8">
        <f>C66/AVERAGE(C$62:C$66)</f>
        <v>2.3744460856720826</v>
      </c>
      <c r="G66">
        <f>SUM(F62:F66)/5</f>
        <v>1</v>
      </c>
      <c r="H66" s="9">
        <f>AVERAGE(C$62:C$66)</f>
        <v>81240</v>
      </c>
      <c r="I66" s="11">
        <f t="shared" ref="I66:I129" si="18">(C66*E66)/H66</f>
        <v>0.59822747415066468</v>
      </c>
      <c r="J66" s="11">
        <f>SUM(I$62:I$66)</f>
        <v>1.0635155096011817</v>
      </c>
      <c r="K66" s="8">
        <f t="shared" si="3"/>
        <v>0.21270310192023634</v>
      </c>
    </row>
    <row r="67" spans="1:11" x14ac:dyDescent="0.2">
      <c r="A67">
        <v>1992</v>
      </c>
      <c r="B67" t="s">
        <v>4</v>
      </c>
      <c r="C67" s="9">
        <v>17300</v>
      </c>
      <c r="D67" s="9">
        <v>1700</v>
      </c>
      <c r="E67" s="11">
        <f t="shared" ref="E67:E130" si="19">D67/C67</f>
        <v>9.8265895953757232E-2</v>
      </c>
      <c r="F67" s="8">
        <f>C67/AVERAGE(C$67:C$71)</f>
        <v>0.20828316879364314</v>
      </c>
      <c r="H67" s="9">
        <f>AVERAGE(C$67:C$71)</f>
        <v>83060</v>
      </c>
      <c r="I67" s="11">
        <f t="shared" si="18"/>
        <v>2.0467132193594993E-2</v>
      </c>
      <c r="J67" s="11">
        <f>SUM(I$67:I$71)</f>
        <v>1.0642908740669395</v>
      </c>
      <c r="K67" s="8">
        <f t="shared" ref="K67:K130" si="20">J67/5</f>
        <v>0.2128581748133879</v>
      </c>
    </row>
    <row r="68" spans="1:11" x14ac:dyDescent="0.2">
      <c r="A68">
        <v>1992</v>
      </c>
      <c r="B68" t="s">
        <v>5</v>
      </c>
      <c r="C68" s="9">
        <v>40200</v>
      </c>
      <c r="D68" s="9">
        <v>5600</v>
      </c>
      <c r="E68" s="11">
        <f t="shared" si="19"/>
        <v>0.13930348258706468</v>
      </c>
      <c r="F68" s="8">
        <f t="shared" ref="F68:F71" si="21">C68/AVERAGE(C$67:C$71)</f>
        <v>0.48398747893089333</v>
      </c>
      <c r="H68" s="9">
        <f>AVERAGE(C$67:C$71)</f>
        <v>83060</v>
      </c>
      <c r="I68" s="11">
        <f t="shared" si="18"/>
        <v>6.7421141343607036E-2</v>
      </c>
      <c r="J68" s="11">
        <f>SUM(I$67:I$71)</f>
        <v>1.0642908740669395</v>
      </c>
      <c r="K68" s="8">
        <f t="shared" si="20"/>
        <v>0.2128581748133879</v>
      </c>
    </row>
    <row r="69" spans="1:11" x14ac:dyDescent="0.2">
      <c r="A69">
        <v>1992</v>
      </c>
      <c r="B69" t="s">
        <v>6</v>
      </c>
      <c r="C69" s="9">
        <v>64500</v>
      </c>
      <c r="D69" s="9">
        <v>11400</v>
      </c>
      <c r="E69" s="11">
        <f t="shared" si="19"/>
        <v>0.17674418604651163</v>
      </c>
      <c r="F69" s="8">
        <f t="shared" si="21"/>
        <v>0.77654707440404525</v>
      </c>
      <c r="H69" s="9">
        <f>AVERAGE(C$67:C$71)</f>
        <v>83060</v>
      </c>
      <c r="I69" s="11">
        <f t="shared" si="18"/>
        <v>0.1372501805923429</v>
      </c>
      <c r="J69" s="11">
        <f>SUM(I$67:I$71)</f>
        <v>1.0642908740669395</v>
      </c>
      <c r="K69" s="8">
        <f t="shared" si="20"/>
        <v>0.2128581748133879</v>
      </c>
    </row>
    <row r="70" spans="1:11" x14ac:dyDescent="0.2">
      <c r="A70">
        <v>1992</v>
      </c>
      <c r="B70" t="s">
        <v>7</v>
      </c>
      <c r="C70" s="9">
        <v>92100</v>
      </c>
      <c r="D70" s="9">
        <v>18700</v>
      </c>
      <c r="E70" s="11">
        <f t="shared" si="19"/>
        <v>0.20304017372421282</v>
      </c>
      <c r="F70" s="8">
        <f t="shared" si="21"/>
        <v>1.1088369853118227</v>
      </c>
      <c r="H70" s="9">
        <f>AVERAGE(C$67:C$71)</f>
        <v>83060</v>
      </c>
      <c r="I70" s="11">
        <f t="shared" si="18"/>
        <v>0.22513845412954492</v>
      </c>
      <c r="J70" s="11">
        <f>SUM(I$67:I$71)</f>
        <v>1.0642908740669395</v>
      </c>
      <c r="K70" s="8">
        <f t="shared" si="20"/>
        <v>0.2128581748133879</v>
      </c>
    </row>
    <row r="71" spans="1:11" x14ac:dyDescent="0.2">
      <c r="A71">
        <v>1992</v>
      </c>
      <c r="B71" t="s">
        <v>8</v>
      </c>
      <c r="C71" s="9">
        <v>201200</v>
      </c>
      <c r="D71" s="9">
        <v>51000</v>
      </c>
      <c r="E71" s="11">
        <f t="shared" si="19"/>
        <v>0.25347912524850896</v>
      </c>
      <c r="F71" s="8">
        <f t="shared" si="21"/>
        <v>2.4223452925595956</v>
      </c>
      <c r="G71">
        <f>SUM(F67:F71)/5</f>
        <v>1</v>
      </c>
      <c r="H71" s="9">
        <f>AVERAGE(C$67:C$71)</f>
        <v>83060</v>
      </c>
      <c r="I71" s="11">
        <f t="shared" si="18"/>
        <v>0.61401396580784973</v>
      </c>
      <c r="J71" s="11">
        <f>SUM(I$67:I$71)</f>
        <v>1.0642908740669395</v>
      </c>
      <c r="K71" s="8">
        <f t="shared" si="20"/>
        <v>0.2128581748133879</v>
      </c>
    </row>
    <row r="72" spans="1:11" x14ac:dyDescent="0.2">
      <c r="A72">
        <v>1993</v>
      </c>
      <c r="B72" t="s">
        <v>4</v>
      </c>
      <c r="C72" s="9">
        <v>17300</v>
      </c>
      <c r="D72" s="9">
        <v>1700</v>
      </c>
      <c r="E72" s="11">
        <f t="shared" si="19"/>
        <v>9.8265895953757232E-2</v>
      </c>
      <c r="F72" s="8">
        <f>C72/AVERAGE(C$72:C$76)</f>
        <v>0.20758339332853371</v>
      </c>
      <c r="H72" s="9">
        <f>AVERAGE(C$72:C$76)</f>
        <v>83340</v>
      </c>
      <c r="I72" s="11">
        <f t="shared" si="18"/>
        <v>2.0398368130549557E-2</v>
      </c>
      <c r="J72" s="11">
        <f>SUM(I$72:I$76)</f>
        <v>1.0895128389728823</v>
      </c>
      <c r="K72" s="8">
        <f t="shared" si="20"/>
        <v>0.21790256779457645</v>
      </c>
    </row>
    <row r="73" spans="1:11" x14ac:dyDescent="0.2">
      <c r="A73">
        <v>1993</v>
      </c>
      <c r="B73" t="s">
        <v>5</v>
      </c>
      <c r="C73" s="9">
        <v>40300</v>
      </c>
      <c r="D73" s="9">
        <v>5600</v>
      </c>
      <c r="E73" s="11">
        <f t="shared" si="19"/>
        <v>0.13895781637717122</v>
      </c>
      <c r="F73" s="8">
        <f t="shared" ref="F73:F76" si="22">C73/AVERAGE(C$72:C$76)</f>
        <v>0.48356131509479244</v>
      </c>
      <c r="H73" s="9">
        <f>AVERAGE(C$72:C$76)</f>
        <v>83340</v>
      </c>
      <c r="I73" s="11">
        <f t="shared" si="18"/>
        <v>6.7194624430045591E-2</v>
      </c>
      <c r="J73" s="11">
        <f>SUM(I$72:I$76)</f>
        <v>1.0895128389728823</v>
      </c>
      <c r="K73" s="8">
        <f t="shared" si="20"/>
        <v>0.21790256779457645</v>
      </c>
    </row>
    <row r="74" spans="1:11" x14ac:dyDescent="0.2">
      <c r="A74">
        <v>1993</v>
      </c>
      <c r="B74" t="s">
        <v>6</v>
      </c>
      <c r="C74" s="9">
        <v>64800</v>
      </c>
      <c r="D74" s="9">
        <v>11400</v>
      </c>
      <c r="E74" s="11">
        <f t="shared" si="19"/>
        <v>0.17592592592592593</v>
      </c>
      <c r="F74" s="8">
        <f t="shared" si="22"/>
        <v>0.77753779697624192</v>
      </c>
      <c r="H74" s="9">
        <f>AVERAGE(C$72:C$76)</f>
        <v>83340</v>
      </c>
      <c r="I74" s="11">
        <f t="shared" si="18"/>
        <v>0.13678905687544995</v>
      </c>
      <c r="J74" s="11">
        <f>SUM(I$72:I$76)</f>
        <v>1.0895128389728823</v>
      </c>
      <c r="K74" s="8">
        <f t="shared" si="20"/>
        <v>0.21790256779457645</v>
      </c>
    </row>
    <row r="75" spans="1:11" x14ac:dyDescent="0.2">
      <c r="A75">
        <v>1993</v>
      </c>
      <c r="B75" t="s">
        <v>7</v>
      </c>
      <c r="C75" s="9">
        <v>92900</v>
      </c>
      <c r="D75" s="9">
        <v>18900</v>
      </c>
      <c r="E75" s="11">
        <f t="shared" si="19"/>
        <v>0.20344456404736275</v>
      </c>
      <c r="F75" s="8">
        <f t="shared" si="22"/>
        <v>1.1147108231341494</v>
      </c>
      <c r="H75" s="9">
        <f>AVERAGE(C$72:C$76)</f>
        <v>83340</v>
      </c>
      <c r="I75" s="11">
        <f t="shared" si="18"/>
        <v>0.22678185745140389</v>
      </c>
      <c r="J75" s="11">
        <f>SUM(I$72:I$76)</f>
        <v>1.0895128389728823</v>
      </c>
      <c r="K75" s="8">
        <f t="shared" si="20"/>
        <v>0.21790256779457645</v>
      </c>
    </row>
    <row r="76" spans="1:11" x14ac:dyDescent="0.2">
      <c r="A76">
        <v>1993</v>
      </c>
      <c r="B76" t="s">
        <v>8</v>
      </c>
      <c r="C76" s="9">
        <v>201400</v>
      </c>
      <c r="D76" s="9">
        <v>53200</v>
      </c>
      <c r="E76" s="11">
        <f t="shared" si="19"/>
        <v>0.26415094339622641</v>
      </c>
      <c r="F76" s="8">
        <f t="shared" si="22"/>
        <v>2.4166066714662828</v>
      </c>
      <c r="G76">
        <f>SUM(F72:F76)/5</f>
        <v>1</v>
      </c>
      <c r="H76" s="9">
        <f>AVERAGE(C$72:C$76)</f>
        <v>83340</v>
      </c>
      <c r="I76" s="11">
        <f t="shared" si="18"/>
        <v>0.6383489320854332</v>
      </c>
      <c r="J76" s="11">
        <f>SUM(I$72:I$76)</f>
        <v>1.0895128389728823</v>
      </c>
      <c r="K76" s="8">
        <f t="shared" si="20"/>
        <v>0.21790256779457645</v>
      </c>
    </row>
    <row r="77" spans="1:11" x14ac:dyDescent="0.2">
      <c r="A77">
        <v>1994</v>
      </c>
      <c r="B77" t="s">
        <v>4</v>
      </c>
      <c r="C77" s="9">
        <v>17300</v>
      </c>
      <c r="D77" s="9">
        <v>1400</v>
      </c>
      <c r="E77" s="11">
        <f t="shared" si="19"/>
        <v>8.0924855491329481E-2</v>
      </c>
      <c r="F77" s="8">
        <f>C77/AVERAGE(C$77:C$81)</f>
        <v>0.20463685829193282</v>
      </c>
      <c r="H77" s="9">
        <f>AVERAGE(C$77:C$81)</f>
        <v>84540</v>
      </c>
      <c r="I77" s="11">
        <f t="shared" si="18"/>
        <v>1.656020818547433E-2</v>
      </c>
      <c r="J77" s="11">
        <f>SUM(I$77:I$81)</f>
        <v>1.1059853323870357</v>
      </c>
      <c r="K77" s="8">
        <f t="shared" si="20"/>
        <v>0.22119706647740714</v>
      </c>
    </row>
    <row r="78" spans="1:11" x14ac:dyDescent="0.2">
      <c r="A78">
        <v>1994</v>
      </c>
      <c r="B78" t="s">
        <v>5</v>
      </c>
      <c r="C78" s="9">
        <v>40800</v>
      </c>
      <c r="D78" s="9">
        <v>5500</v>
      </c>
      <c r="E78" s="11">
        <f t="shared" si="19"/>
        <v>0.13480392156862744</v>
      </c>
      <c r="F78" s="8">
        <f t="shared" ref="F78:F81" si="23">C78/AVERAGE(C$77:C$81)</f>
        <v>0.48261178140525196</v>
      </c>
      <c r="H78" s="9">
        <f>AVERAGE(C$77:C$81)</f>
        <v>84540</v>
      </c>
      <c r="I78" s="11">
        <f t="shared" si="18"/>
        <v>6.5057960728649167E-2</v>
      </c>
      <c r="J78" s="11">
        <f>SUM(I$77:I$81)</f>
        <v>1.1059853323870357</v>
      </c>
      <c r="K78" s="8">
        <f t="shared" si="20"/>
        <v>0.22119706647740714</v>
      </c>
    </row>
    <row r="79" spans="1:11" x14ac:dyDescent="0.2">
      <c r="A79">
        <v>1994</v>
      </c>
      <c r="B79" t="s">
        <v>6</v>
      </c>
      <c r="C79" s="9">
        <v>65000</v>
      </c>
      <c r="D79" s="9">
        <v>11500</v>
      </c>
      <c r="E79" s="11">
        <f t="shared" si="19"/>
        <v>0.17692307692307693</v>
      </c>
      <c r="F79" s="8">
        <f t="shared" si="23"/>
        <v>0.76886680861130829</v>
      </c>
      <c r="H79" s="9">
        <f>AVERAGE(C$77:C$81)</f>
        <v>84540</v>
      </c>
      <c r="I79" s="11">
        <f t="shared" si="18"/>
        <v>0.13603028152353916</v>
      </c>
      <c r="J79" s="11">
        <f>SUM(I$77:I$81)</f>
        <v>1.1059853323870357</v>
      </c>
      <c r="K79" s="8">
        <f t="shared" si="20"/>
        <v>0.22119706647740714</v>
      </c>
    </row>
    <row r="80" spans="1:11" x14ac:dyDescent="0.2">
      <c r="A80">
        <v>1994</v>
      </c>
      <c r="B80" t="s">
        <v>7</v>
      </c>
      <c r="C80" s="9">
        <v>94100</v>
      </c>
      <c r="D80" s="9">
        <v>19400</v>
      </c>
      <c r="E80" s="11">
        <f t="shared" si="19"/>
        <v>0.20616365568544101</v>
      </c>
      <c r="F80" s="8">
        <f t="shared" si="23"/>
        <v>1.1130825644665248</v>
      </c>
      <c r="H80" s="9">
        <f>AVERAGE(C$77:C$81)</f>
        <v>84540</v>
      </c>
      <c r="I80" s="11">
        <f t="shared" si="18"/>
        <v>0.2294771705701443</v>
      </c>
      <c r="J80" s="11">
        <f>SUM(I$77:I$81)</f>
        <v>1.1059853323870357</v>
      </c>
      <c r="K80" s="8">
        <f t="shared" si="20"/>
        <v>0.22119706647740714</v>
      </c>
    </row>
    <row r="81" spans="1:11" x14ac:dyDescent="0.2">
      <c r="A81">
        <v>1994</v>
      </c>
      <c r="B81" t="s">
        <v>8</v>
      </c>
      <c r="C81" s="9">
        <v>205500</v>
      </c>
      <c r="D81" s="9">
        <v>55700</v>
      </c>
      <c r="E81" s="11">
        <f t="shared" si="19"/>
        <v>0.2710462287104623</v>
      </c>
      <c r="F81" s="8">
        <f t="shared" si="23"/>
        <v>2.4308019872249824</v>
      </c>
      <c r="G81">
        <f>SUM(F77:F81)/5</f>
        <v>1</v>
      </c>
      <c r="H81" s="9">
        <f>AVERAGE(C$77:C$81)</f>
        <v>84540</v>
      </c>
      <c r="I81" s="11">
        <f t="shared" si="18"/>
        <v>0.65885971137922872</v>
      </c>
      <c r="J81" s="11">
        <f>SUM(I$77:I$81)</f>
        <v>1.1059853323870357</v>
      </c>
      <c r="K81" s="8">
        <f t="shared" si="20"/>
        <v>0.22119706647740714</v>
      </c>
    </row>
    <row r="82" spans="1:11" x14ac:dyDescent="0.2">
      <c r="A82">
        <v>1995</v>
      </c>
      <c r="B82" t="s">
        <v>4</v>
      </c>
      <c r="C82" s="9">
        <v>18600</v>
      </c>
      <c r="D82" s="9">
        <v>1400</v>
      </c>
      <c r="E82" s="11">
        <f t="shared" si="19"/>
        <v>7.5268817204301078E-2</v>
      </c>
      <c r="F82" s="8">
        <f>C82/AVERAGE(C$82:C$86)</f>
        <v>0.21107580571947346</v>
      </c>
      <c r="H82" s="9">
        <f>AVERAGE(C$82:C$86)</f>
        <v>88120</v>
      </c>
      <c r="I82" s="11">
        <f t="shared" si="18"/>
        <v>1.5887426236949616E-2</v>
      </c>
      <c r="J82" s="11">
        <f>SUM(I$82:I$86)</f>
        <v>1.1177939173853835</v>
      </c>
      <c r="K82" s="8">
        <f t="shared" si="20"/>
        <v>0.22355878347707669</v>
      </c>
    </row>
    <row r="83" spans="1:11" x14ac:dyDescent="0.2">
      <c r="A83">
        <v>1995</v>
      </c>
      <c r="B83" t="s">
        <v>5</v>
      </c>
      <c r="C83" s="9">
        <v>42900</v>
      </c>
      <c r="D83" s="9">
        <v>5900</v>
      </c>
      <c r="E83" s="11">
        <f t="shared" si="19"/>
        <v>0.13752913752913754</v>
      </c>
      <c r="F83" s="8">
        <f t="shared" ref="F83:F86" si="24">C83/AVERAGE(C$82:C$86)</f>
        <v>0.48683613254652747</v>
      </c>
      <c r="H83" s="9">
        <f>AVERAGE(C$82:C$86)</f>
        <v>88120</v>
      </c>
      <c r="I83" s="11">
        <f t="shared" si="18"/>
        <v>6.6954153427144808E-2</v>
      </c>
      <c r="J83" s="11">
        <f>SUM(I$82:I$86)</f>
        <v>1.1177939173853835</v>
      </c>
      <c r="K83" s="8">
        <f t="shared" si="20"/>
        <v>0.22355878347707669</v>
      </c>
    </row>
    <row r="84" spans="1:11" x14ac:dyDescent="0.2">
      <c r="A84">
        <v>1995</v>
      </c>
      <c r="B84" t="s">
        <v>6</v>
      </c>
      <c r="C84" s="9">
        <v>67200</v>
      </c>
      <c r="D84" s="9">
        <v>11900</v>
      </c>
      <c r="E84" s="11">
        <f t="shared" si="19"/>
        <v>0.17708333333333334</v>
      </c>
      <c r="F84" s="8">
        <f t="shared" si="24"/>
        <v>0.76259645937358145</v>
      </c>
      <c r="H84" s="9">
        <f>AVERAGE(C$82:C$86)</f>
        <v>88120</v>
      </c>
      <c r="I84" s="11">
        <f t="shared" si="18"/>
        <v>0.13504312301407173</v>
      </c>
      <c r="J84" s="11">
        <f>SUM(I$82:I$86)</f>
        <v>1.1177939173853835</v>
      </c>
      <c r="K84" s="8">
        <f t="shared" si="20"/>
        <v>0.22355878347707669</v>
      </c>
    </row>
    <row r="85" spans="1:11" x14ac:dyDescent="0.2">
      <c r="A85">
        <v>1995</v>
      </c>
      <c r="B85" t="s">
        <v>7</v>
      </c>
      <c r="C85" s="9">
        <v>96100</v>
      </c>
      <c r="D85" s="9">
        <v>20000</v>
      </c>
      <c r="E85" s="11">
        <f t="shared" si="19"/>
        <v>0.20811654526534859</v>
      </c>
      <c r="F85" s="8">
        <f t="shared" si="24"/>
        <v>1.0905583295506127</v>
      </c>
      <c r="H85" s="9">
        <f>AVERAGE(C$82:C$86)</f>
        <v>88120</v>
      </c>
      <c r="I85" s="11">
        <f t="shared" si="18"/>
        <v>0.22696323195642307</v>
      </c>
      <c r="J85" s="11">
        <f>SUM(I$82:I$86)</f>
        <v>1.1177939173853835</v>
      </c>
      <c r="K85" s="8">
        <f t="shared" si="20"/>
        <v>0.22355878347707669</v>
      </c>
    </row>
    <row r="86" spans="1:11" x14ac:dyDescent="0.2">
      <c r="A86">
        <v>1995</v>
      </c>
      <c r="B86" t="s">
        <v>8</v>
      </c>
      <c r="C86" s="9">
        <v>215800</v>
      </c>
      <c r="D86" s="9">
        <v>59300</v>
      </c>
      <c r="E86" s="11">
        <f t="shared" si="19"/>
        <v>0.27479147358665429</v>
      </c>
      <c r="F86" s="8">
        <f t="shared" si="24"/>
        <v>2.4489332728098048</v>
      </c>
      <c r="G86">
        <f>SUM(F82:F86)/5</f>
        <v>1</v>
      </c>
      <c r="H86" s="9">
        <f>AVERAGE(C$82:C$86)</f>
        <v>88120</v>
      </c>
      <c r="I86" s="11">
        <f t="shared" si="18"/>
        <v>0.67294598275079431</v>
      </c>
      <c r="J86" s="11">
        <f>SUM(I$82:I$86)</f>
        <v>1.1177939173853835</v>
      </c>
      <c r="K86" s="8">
        <f t="shared" si="20"/>
        <v>0.22355878347707669</v>
      </c>
    </row>
    <row r="87" spans="1:11" x14ac:dyDescent="0.2">
      <c r="A87">
        <v>1996</v>
      </c>
      <c r="B87" t="s">
        <v>4</v>
      </c>
      <c r="C87" s="9">
        <v>18500</v>
      </c>
      <c r="D87" s="9">
        <v>1300</v>
      </c>
      <c r="E87" s="11">
        <f t="shared" si="19"/>
        <v>7.0270270270270274E-2</v>
      </c>
      <c r="F87" s="8">
        <f>C87/AVERAGE(C$87:C$91)</f>
        <v>0.20298441957428132</v>
      </c>
      <c r="H87" s="9">
        <f>AVERAGE(C$87:C$91)</f>
        <v>91140</v>
      </c>
      <c r="I87" s="11">
        <f t="shared" si="18"/>
        <v>1.4263770024138688E-2</v>
      </c>
      <c r="J87" s="11">
        <f>SUM(I$87:I$91)</f>
        <v>1.1279350449857362</v>
      </c>
      <c r="K87" s="8">
        <f t="shared" si="20"/>
        <v>0.22558700899714723</v>
      </c>
    </row>
    <row r="88" spans="1:11" x14ac:dyDescent="0.2">
      <c r="A88">
        <v>1996</v>
      </c>
      <c r="B88" t="s">
        <v>5</v>
      </c>
      <c r="C88" s="9">
        <v>42900</v>
      </c>
      <c r="D88" s="9">
        <v>5900</v>
      </c>
      <c r="E88" s="11">
        <f t="shared" si="19"/>
        <v>0.13752913752913754</v>
      </c>
      <c r="F88" s="8">
        <f t="shared" ref="F88:F91" si="25">C88/AVERAGE(C$87:C$91)</f>
        <v>0.47070441079657671</v>
      </c>
      <c r="H88" s="9">
        <f>AVERAGE(C$87:C$91)</f>
        <v>91140</v>
      </c>
      <c r="I88" s="11">
        <f t="shared" si="18"/>
        <v>6.4735571648014051E-2</v>
      </c>
      <c r="J88" s="11">
        <f>SUM(I$87:I$91)</f>
        <v>1.1279350449857362</v>
      </c>
      <c r="K88" s="8">
        <f t="shared" si="20"/>
        <v>0.22558700899714723</v>
      </c>
    </row>
    <row r="89" spans="1:11" x14ac:dyDescent="0.2">
      <c r="A89">
        <v>1996</v>
      </c>
      <c r="B89" t="s">
        <v>6</v>
      </c>
      <c r="C89" s="9">
        <v>68200</v>
      </c>
      <c r="D89" s="9">
        <v>12100</v>
      </c>
      <c r="E89" s="11">
        <f t="shared" si="19"/>
        <v>0.17741935483870969</v>
      </c>
      <c r="F89" s="8">
        <f t="shared" si="25"/>
        <v>0.74829931972789121</v>
      </c>
      <c r="H89" s="9">
        <f>AVERAGE(C$87:C$91)</f>
        <v>91140</v>
      </c>
      <c r="I89" s="11">
        <f t="shared" si="18"/>
        <v>0.13276278253236778</v>
      </c>
      <c r="J89" s="11">
        <f>SUM(I$87:I$91)</f>
        <v>1.1279350449857362</v>
      </c>
      <c r="K89" s="8">
        <f t="shared" si="20"/>
        <v>0.22558700899714723</v>
      </c>
    </row>
    <row r="90" spans="1:11" x14ac:dyDescent="0.2">
      <c r="A90">
        <v>1996</v>
      </c>
      <c r="B90" t="s">
        <v>7</v>
      </c>
      <c r="C90" s="9">
        <v>98200</v>
      </c>
      <c r="D90" s="9">
        <v>20400</v>
      </c>
      <c r="E90" s="11">
        <f t="shared" si="19"/>
        <v>0.20773930753564154</v>
      </c>
      <c r="F90" s="8">
        <f t="shared" si="25"/>
        <v>1.0774632433618609</v>
      </c>
      <c r="H90" s="9">
        <f>AVERAGE(C$87:C$91)</f>
        <v>91140</v>
      </c>
      <c r="I90" s="11">
        <f t="shared" si="18"/>
        <v>0.22383146807109941</v>
      </c>
      <c r="J90" s="11">
        <f>SUM(I$87:I$91)</f>
        <v>1.1279350449857362</v>
      </c>
      <c r="K90" s="8">
        <f t="shared" si="20"/>
        <v>0.22558700899714723</v>
      </c>
    </row>
    <row r="91" spans="1:11" x14ac:dyDescent="0.2">
      <c r="A91">
        <v>1996</v>
      </c>
      <c r="B91" t="s">
        <v>8</v>
      </c>
      <c r="C91" s="9">
        <v>227900</v>
      </c>
      <c r="D91" s="9">
        <v>63100</v>
      </c>
      <c r="E91" s="11">
        <f t="shared" si="19"/>
        <v>0.2768758227292672</v>
      </c>
      <c r="F91" s="8">
        <f t="shared" si="25"/>
        <v>2.50054860653939</v>
      </c>
      <c r="G91">
        <f>SUM(F87:F91)/5</f>
        <v>1</v>
      </c>
      <c r="H91" s="9">
        <f>AVERAGE(C$87:C$91)</f>
        <v>91140</v>
      </c>
      <c r="I91" s="11">
        <f t="shared" si="18"/>
        <v>0.69234145271011627</v>
      </c>
      <c r="J91" s="11">
        <f>SUM(I$87:I$91)</f>
        <v>1.1279350449857362</v>
      </c>
      <c r="K91" s="8">
        <f t="shared" si="20"/>
        <v>0.22558700899714723</v>
      </c>
    </row>
    <row r="92" spans="1:11" x14ac:dyDescent="0.2">
      <c r="A92">
        <v>1997</v>
      </c>
      <c r="B92" t="s">
        <v>4</v>
      </c>
      <c r="C92" s="9">
        <v>19600</v>
      </c>
      <c r="D92" s="9">
        <v>1400</v>
      </c>
      <c r="E92" s="11">
        <f t="shared" si="19"/>
        <v>7.1428571428571425E-2</v>
      </c>
      <c r="F92" s="8">
        <f>C92/AVERAGE(C$92:C$96)</f>
        <v>0.20570948782535683</v>
      </c>
      <c r="H92" s="9">
        <f>AVERAGE(C$92:C$96)</f>
        <v>95280</v>
      </c>
      <c r="I92" s="11">
        <f t="shared" si="18"/>
        <v>1.4693534844668345E-2</v>
      </c>
      <c r="J92" s="11">
        <f>SUM(I$92:I$96)</f>
        <v>1.1345507976490343</v>
      </c>
      <c r="K92" s="8">
        <f t="shared" si="20"/>
        <v>0.22691015952980687</v>
      </c>
    </row>
    <row r="93" spans="1:11" x14ac:dyDescent="0.2">
      <c r="A93">
        <v>1997</v>
      </c>
      <c r="B93" t="s">
        <v>5</v>
      </c>
      <c r="C93" s="9">
        <v>44400</v>
      </c>
      <c r="D93" s="9">
        <v>6200</v>
      </c>
      <c r="E93" s="11">
        <f t="shared" si="19"/>
        <v>0.13963963963963963</v>
      </c>
      <c r="F93" s="8">
        <f t="shared" ref="F93:F96" si="26">C93/AVERAGE(C$92:C$96)</f>
        <v>0.46599496221662468</v>
      </c>
      <c r="H93" s="9">
        <f>AVERAGE(C$92:C$96)</f>
        <v>95280</v>
      </c>
      <c r="I93" s="11">
        <f t="shared" si="18"/>
        <v>6.5071368597816953E-2</v>
      </c>
      <c r="J93" s="11">
        <f>SUM(I$92:I$96)</f>
        <v>1.1345507976490343</v>
      </c>
      <c r="K93" s="8">
        <f t="shared" si="20"/>
        <v>0.22691015952980687</v>
      </c>
    </row>
    <row r="94" spans="1:11" x14ac:dyDescent="0.2">
      <c r="A94">
        <v>1997</v>
      </c>
      <c r="B94" t="s">
        <v>6</v>
      </c>
      <c r="C94" s="9">
        <v>69500</v>
      </c>
      <c r="D94" s="9">
        <v>12400</v>
      </c>
      <c r="E94" s="11">
        <f t="shared" si="19"/>
        <v>0.17841726618705037</v>
      </c>
      <c r="F94" s="8">
        <f t="shared" si="26"/>
        <v>0.72942905121746426</v>
      </c>
      <c r="H94" s="9">
        <f>AVERAGE(C$92:C$96)</f>
        <v>95280</v>
      </c>
      <c r="I94" s="11">
        <f t="shared" si="18"/>
        <v>0.13014273719563393</v>
      </c>
      <c r="J94" s="11">
        <f>SUM(I$92:I$96)</f>
        <v>1.1345507976490343</v>
      </c>
      <c r="K94" s="8">
        <f t="shared" si="20"/>
        <v>0.22691015952980687</v>
      </c>
    </row>
    <row r="95" spans="1:11" x14ac:dyDescent="0.2">
      <c r="A95">
        <v>1997</v>
      </c>
      <c r="B95" t="s">
        <v>7</v>
      </c>
      <c r="C95" s="9">
        <v>100700</v>
      </c>
      <c r="D95" s="9">
        <v>21000</v>
      </c>
      <c r="E95" s="11">
        <f t="shared" si="19"/>
        <v>0.20854021847070506</v>
      </c>
      <c r="F95" s="8">
        <f t="shared" si="26"/>
        <v>1.0568849706129304</v>
      </c>
      <c r="H95" s="9">
        <f>AVERAGE(C$92:C$96)</f>
        <v>95280</v>
      </c>
      <c r="I95" s="11">
        <f t="shared" si="18"/>
        <v>0.22040302267002518</v>
      </c>
      <c r="J95" s="11">
        <f>SUM(I$92:I$96)</f>
        <v>1.1345507976490343</v>
      </c>
      <c r="K95" s="8">
        <f t="shared" si="20"/>
        <v>0.22691015952980687</v>
      </c>
    </row>
    <row r="96" spans="1:11" x14ac:dyDescent="0.2">
      <c r="A96">
        <v>1997</v>
      </c>
      <c r="B96" t="s">
        <v>8</v>
      </c>
      <c r="C96" s="9">
        <v>242200</v>
      </c>
      <c r="D96" s="9">
        <v>67100</v>
      </c>
      <c r="E96" s="11">
        <f t="shared" si="19"/>
        <v>0.27704376548307186</v>
      </c>
      <c r="F96" s="8">
        <f t="shared" si="26"/>
        <v>2.5419815281276237</v>
      </c>
      <c r="G96">
        <f>SUM(F92:F96)/5</f>
        <v>1</v>
      </c>
      <c r="H96" s="9">
        <f>AVERAGE(C$92:C$96)</f>
        <v>95280</v>
      </c>
      <c r="I96" s="11">
        <f t="shared" si="18"/>
        <v>0.70424013434089006</v>
      </c>
      <c r="J96" s="11">
        <f>SUM(I$92:I$96)</f>
        <v>1.1345507976490343</v>
      </c>
      <c r="K96" s="8">
        <f t="shared" si="20"/>
        <v>0.22691015952980687</v>
      </c>
    </row>
    <row r="97" spans="1:11" x14ac:dyDescent="0.2">
      <c r="A97">
        <v>1998</v>
      </c>
      <c r="B97" t="s">
        <v>4</v>
      </c>
      <c r="C97" s="9">
        <v>21000</v>
      </c>
      <c r="D97" s="9">
        <v>1400</v>
      </c>
      <c r="E97" s="11">
        <f t="shared" si="19"/>
        <v>6.6666666666666666E-2</v>
      </c>
      <c r="F97" s="8">
        <f>C97/AVERAGE(C$97:C$101)</f>
        <v>0.20883054892601433</v>
      </c>
      <c r="H97" s="9">
        <f>AVERAGE(C$97:C$101)</f>
        <v>100560</v>
      </c>
      <c r="I97" s="11">
        <f t="shared" si="18"/>
        <v>1.3922036595067621E-2</v>
      </c>
      <c r="J97" s="11">
        <f>SUM(I$97:I$101)</f>
        <v>1.1187350835322196</v>
      </c>
      <c r="K97" s="8">
        <f t="shared" si="20"/>
        <v>0.22374701670644392</v>
      </c>
    </row>
    <row r="98" spans="1:11" x14ac:dyDescent="0.2">
      <c r="A98">
        <v>1998</v>
      </c>
      <c r="B98" t="s">
        <v>5</v>
      </c>
      <c r="C98" s="9">
        <v>46500</v>
      </c>
      <c r="D98" s="9">
        <v>6200</v>
      </c>
      <c r="E98" s="11">
        <f t="shared" si="19"/>
        <v>0.13333333333333333</v>
      </c>
      <c r="F98" s="8">
        <f t="shared" ref="F98:F101" si="27">C98/AVERAGE(C$97:C$101)</f>
        <v>0.46241050119331745</v>
      </c>
      <c r="H98" s="9">
        <f>AVERAGE(C$97:C$101)</f>
        <v>100560</v>
      </c>
      <c r="I98" s="11">
        <f t="shared" si="18"/>
        <v>6.1654733492442326E-2</v>
      </c>
      <c r="J98" s="11">
        <f>SUM(I$97:I$101)</f>
        <v>1.1187350835322196</v>
      </c>
      <c r="K98" s="8">
        <f t="shared" si="20"/>
        <v>0.22374701670644392</v>
      </c>
    </row>
    <row r="99" spans="1:11" x14ac:dyDescent="0.2">
      <c r="A99">
        <v>1998</v>
      </c>
      <c r="B99" t="s">
        <v>6</v>
      </c>
      <c r="C99" s="9">
        <v>71700</v>
      </c>
      <c r="D99" s="9">
        <v>12300</v>
      </c>
      <c r="E99" s="11">
        <f t="shared" si="19"/>
        <v>0.17154811715481172</v>
      </c>
      <c r="F99" s="8">
        <f t="shared" si="27"/>
        <v>0.71300715990453456</v>
      </c>
      <c r="H99" s="9">
        <f>AVERAGE(C$97:C$101)</f>
        <v>100560</v>
      </c>
      <c r="I99" s="11">
        <f t="shared" si="18"/>
        <v>0.12231503579952267</v>
      </c>
      <c r="J99" s="11">
        <f>SUM(I$97:I$101)</f>
        <v>1.1187350835322196</v>
      </c>
      <c r="K99" s="8">
        <f t="shared" si="20"/>
        <v>0.22374701670644392</v>
      </c>
    </row>
    <row r="100" spans="1:11" x14ac:dyDescent="0.2">
      <c r="A100">
        <v>1998</v>
      </c>
      <c r="B100" t="s">
        <v>7</v>
      </c>
      <c r="C100" s="9">
        <v>105100</v>
      </c>
      <c r="D100" s="9">
        <v>21900</v>
      </c>
      <c r="E100" s="11">
        <f t="shared" si="19"/>
        <v>0.20837297811607994</v>
      </c>
      <c r="F100" s="8">
        <f t="shared" si="27"/>
        <v>1.0451471758154336</v>
      </c>
      <c r="H100" s="9">
        <f>AVERAGE(C$97:C$101)</f>
        <v>100560</v>
      </c>
      <c r="I100" s="11">
        <f t="shared" si="18"/>
        <v>0.21778042959427207</v>
      </c>
      <c r="J100" s="11">
        <f>SUM(I$97:I$101)</f>
        <v>1.1187350835322196</v>
      </c>
      <c r="K100" s="8">
        <f t="shared" si="20"/>
        <v>0.22374701670644392</v>
      </c>
    </row>
    <row r="101" spans="1:11" x14ac:dyDescent="0.2">
      <c r="A101">
        <v>1998</v>
      </c>
      <c r="B101" t="s">
        <v>8</v>
      </c>
      <c r="C101" s="9">
        <v>258500</v>
      </c>
      <c r="D101" s="9">
        <v>70700</v>
      </c>
      <c r="E101" s="11">
        <f t="shared" si="19"/>
        <v>0.27350096711798838</v>
      </c>
      <c r="F101" s="8">
        <f t="shared" si="27"/>
        <v>2.5706046141607</v>
      </c>
      <c r="G101">
        <f>SUM(F97:F101)/5</f>
        <v>1</v>
      </c>
      <c r="H101" s="9">
        <f>AVERAGE(C$97:C$101)</f>
        <v>100560</v>
      </c>
      <c r="I101" s="11">
        <f t="shared" si="18"/>
        <v>0.7030628480509149</v>
      </c>
      <c r="J101" s="11">
        <f>SUM(I$97:I$101)</f>
        <v>1.1187350835322196</v>
      </c>
      <c r="K101" s="8">
        <f t="shared" si="20"/>
        <v>0.22374701670644392</v>
      </c>
    </row>
    <row r="102" spans="1:11" x14ac:dyDescent="0.2">
      <c r="A102">
        <v>1999</v>
      </c>
      <c r="B102" t="s">
        <v>4</v>
      </c>
      <c r="C102" s="9">
        <v>21900</v>
      </c>
      <c r="D102" s="9">
        <v>1600</v>
      </c>
      <c r="E102" s="11">
        <f t="shared" si="19"/>
        <v>7.3059360730593603E-2</v>
      </c>
      <c r="F102" s="8">
        <f>C102/AVERAGE(C$102:C$106)</f>
        <v>0.2075829383886256</v>
      </c>
      <c r="H102" s="9">
        <f>AVERAGE(C$102:C$106)</f>
        <v>105500</v>
      </c>
      <c r="I102" s="11">
        <f t="shared" si="18"/>
        <v>1.5165876777251185E-2</v>
      </c>
      <c r="J102" s="11">
        <f>SUM(I$102:I$106)</f>
        <v>1.1374407582938388</v>
      </c>
      <c r="K102" s="8">
        <f t="shared" si="20"/>
        <v>0.22748815165876776</v>
      </c>
    </row>
    <row r="103" spans="1:11" x14ac:dyDescent="0.2">
      <c r="A103">
        <v>1999</v>
      </c>
      <c r="B103" t="s">
        <v>5</v>
      </c>
      <c r="C103" s="9">
        <v>48300</v>
      </c>
      <c r="D103" s="9">
        <v>6600</v>
      </c>
      <c r="E103" s="11">
        <f t="shared" si="19"/>
        <v>0.13664596273291926</v>
      </c>
      <c r="F103" s="8">
        <f t="shared" ref="F103:F106" si="28">C103/AVERAGE(C$102:C$106)</f>
        <v>0.45781990521327015</v>
      </c>
      <c r="H103" s="9">
        <f>AVERAGE(C$102:C$106)</f>
        <v>105500</v>
      </c>
      <c r="I103" s="11">
        <f t="shared" si="18"/>
        <v>6.2559241706161131E-2</v>
      </c>
      <c r="J103" s="11">
        <f>SUM(I$102:I$106)</f>
        <v>1.1374407582938388</v>
      </c>
      <c r="K103" s="8">
        <f t="shared" si="20"/>
        <v>0.22748815165876776</v>
      </c>
    </row>
    <row r="104" spans="1:11" x14ac:dyDescent="0.2">
      <c r="A104">
        <v>1999</v>
      </c>
      <c r="B104" t="s">
        <v>6</v>
      </c>
      <c r="C104" s="9">
        <v>73700</v>
      </c>
      <c r="D104" s="9">
        <v>12700</v>
      </c>
      <c r="E104" s="11">
        <f t="shared" si="19"/>
        <v>0.17232021709633649</v>
      </c>
      <c r="F104" s="8">
        <f t="shared" si="28"/>
        <v>0.6985781990521327</v>
      </c>
      <c r="H104" s="9">
        <f>AVERAGE(C$102:C$106)</f>
        <v>105500</v>
      </c>
      <c r="I104" s="11">
        <f t="shared" si="18"/>
        <v>0.12037914691943127</v>
      </c>
      <c r="J104" s="11">
        <f>SUM(I$102:I$106)</f>
        <v>1.1374407582938388</v>
      </c>
      <c r="K104" s="8">
        <f t="shared" si="20"/>
        <v>0.22748815165876776</v>
      </c>
    </row>
    <row r="105" spans="1:11" x14ac:dyDescent="0.2">
      <c r="A105">
        <v>1999</v>
      </c>
      <c r="B105" t="s">
        <v>7</v>
      </c>
      <c r="C105" s="9">
        <v>108500</v>
      </c>
      <c r="D105" s="9">
        <v>22700</v>
      </c>
      <c r="E105" s="11">
        <f t="shared" si="19"/>
        <v>0.20921658986175115</v>
      </c>
      <c r="F105" s="8">
        <f t="shared" si="28"/>
        <v>1.028436018957346</v>
      </c>
      <c r="H105" s="9">
        <f>AVERAGE(C$102:C$106)</f>
        <v>105500</v>
      </c>
      <c r="I105" s="11">
        <f t="shared" si="18"/>
        <v>0.21516587677725119</v>
      </c>
      <c r="J105" s="11">
        <f>SUM(I$102:I$106)</f>
        <v>1.1374407582938388</v>
      </c>
      <c r="K105" s="8">
        <f t="shared" si="20"/>
        <v>0.22748815165876776</v>
      </c>
    </row>
    <row r="106" spans="1:11" x14ac:dyDescent="0.2">
      <c r="A106">
        <v>1999</v>
      </c>
      <c r="B106" t="s">
        <v>8</v>
      </c>
      <c r="C106" s="9">
        <v>275100</v>
      </c>
      <c r="D106" s="9">
        <v>76400</v>
      </c>
      <c r="E106" s="11">
        <f t="shared" si="19"/>
        <v>0.27771719374772807</v>
      </c>
      <c r="F106" s="8">
        <f t="shared" si="28"/>
        <v>2.6075829383886258</v>
      </c>
      <c r="G106">
        <f>SUM(F102:F106)/5</f>
        <v>1</v>
      </c>
      <c r="H106" s="9">
        <f>AVERAGE(C$102:C$106)</f>
        <v>105500</v>
      </c>
      <c r="I106" s="11">
        <f t="shared" si="18"/>
        <v>0.72417061611374411</v>
      </c>
      <c r="J106" s="11">
        <f>SUM(I$102:I$106)</f>
        <v>1.1374407582938388</v>
      </c>
      <c r="K106" s="8">
        <f t="shared" si="20"/>
        <v>0.22748815165876776</v>
      </c>
    </row>
    <row r="107" spans="1:11" x14ac:dyDescent="0.2">
      <c r="A107">
        <v>2000</v>
      </c>
      <c r="B107" t="s">
        <v>4</v>
      </c>
      <c r="C107" s="9">
        <v>21100</v>
      </c>
      <c r="D107" s="9">
        <v>1500</v>
      </c>
      <c r="E107" s="11">
        <f t="shared" si="19"/>
        <v>7.1090047393364927E-2</v>
      </c>
      <c r="F107" s="8">
        <f>C107/AVERAGE(C$107:C$111)</f>
        <v>0.1949732027351691</v>
      </c>
      <c r="H107" s="9">
        <f>AVERAGE(C$107:C$111)</f>
        <v>108220</v>
      </c>
      <c r="I107" s="11">
        <f t="shared" si="18"/>
        <v>1.3860654222879319E-2</v>
      </c>
      <c r="J107" s="11">
        <f>SUM(I$107:I$111)</f>
        <v>1.1430419515801145</v>
      </c>
      <c r="K107" s="8">
        <f t="shared" si="20"/>
        <v>0.2286083903160229</v>
      </c>
    </row>
    <row r="108" spans="1:11" x14ac:dyDescent="0.2">
      <c r="A108">
        <v>2000</v>
      </c>
      <c r="B108" t="s">
        <v>5</v>
      </c>
      <c r="C108" s="9">
        <v>47600</v>
      </c>
      <c r="D108" s="9">
        <v>6300</v>
      </c>
      <c r="E108" s="11">
        <f t="shared" si="19"/>
        <v>0.13235294117647059</v>
      </c>
      <c r="F108" s="8">
        <f t="shared" ref="F108:F111" si="29">C108/AVERAGE(C$107:C$111)</f>
        <v>0.43984476067270373</v>
      </c>
      <c r="H108" s="9">
        <f>AVERAGE(C$107:C$111)</f>
        <v>108220</v>
      </c>
      <c r="I108" s="11">
        <f t="shared" si="18"/>
        <v>5.8214747736093142E-2</v>
      </c>
      <c r="J108" s="11">
        <f>SUM(I$107:I$111)</f>
        <v>1.1430419515801145</v>
      </c>
      <c r="K108" s="8">
        <f t="shared" si="20"/>
        <v>0.2286083903160229</v>
      </c>
    </row>
    <row r="109" spans="1:11" x14ac:dyDescent="0.2">
      <c r="A109">
        <v>2000</v>
      </c>
      <c r="B109" t="s">
        <v>6</v>
      </c>
      <c r="C109" s="9">
        <v>73600</v>
      </c>
      <c r="D109" s="9">
        <v>12600</v>
      </c>
      <c r="E109" s="11">
        <f t="shared" si="19"/>
        <v>0.17119565217391305</v>
      </c>
      <c r="F109" s="8">
        <f t="shared" si="29"/>
        <v>0.68009610053594527</v>
      </c>
      <c r="H109" s="9">
        <f>AVERAGE(C$107:C$111)</f>
        <v>108220</v>
      </c>
      <c r="I109" s="11">
        <f t="shared" si="18"/>
        <v>0.11642949547218628</v>
      </c>
      <c r="J109" s="11">
        <f>SUM(I$107:I$111)</f>
        <v>1.1430419515801145</v>
      </c>
      <c r="K109" s="8">
        <f t="shared" si="20"/>
        <v>0.2286083903160229</v>
      </c>
    </row>
    <row r="110" spans="1:11" x14ac:dyDescent="0.2">
      <c r="A110">
        <v>2000</v>
      </c>
      <c r="B110" t="s">
        <v>7</v>
      </c>
      <c r="C110" s="9">
        <v>110100</v>
      </c>
      <c r="D110" s="9">
        <v>23100</v>
      </c>
      <c r="E110" s="11">
        <f t="shared" si="19"/>
        <v>0.2098092643051771</v>
      </c>
      <c r="F110" s="8">
        <f t="shared" si="29"/>
        <v>1.0173720199593421</v>
      </c>
      <c r="H110" s="9">
        <f>AVERAGE(C$107:C$111)</f>
        <v>108220</v>
      </c>
      <c r="I110" s="11">
        <f t="shared" si="18"/>
        <v>0.21345407503234154</v>
      </c>
      <c r="J110" s="11">
        <f>SUM(I$107:I$111)</f>
        <v>1.1430419515801145</v>
      </c>
      <c r="K110" s="8">
        <f t="shared" si="20"/>
        <v>0.2286083903160229</v>
      </c>
    </row>
    <row r="111" spans="1:11" x14ac:dyDescent="0.2">
      <c r="A111">
        <v>2000</v>
      </c>
      <c r="B111" t="s">
        <v>8</v>
      </c>
      <c r="C111" s="9">
        <v>288700</v>
      </c>
      <c r="D111" s="9">
        <v>80200</v>
      </c>
      <c r="E111" s="11">
        <f t="shared" si="19"/>
        <v>0.27779702112919985</v>
      </c>
      <c r="F111" s="8">
        <f t="shared" si="29"/>
        <v>2.6677139160968397</v>
      </c>
      <c r="G111">
        <f>SUM(F107:F111)/5</f>
        <v>1</v>
      </c>
      <c r="H111" s="9">
        <f>AVERAGE(C$107:C$111)</f>
        <v>108220</v>
      </c>
      <c r="I111" s="11">
        <f t="shared" si="18"/>
        <v>0.74108297911661425</v>
      </c>
      <c r="J111" s="11">
        <f>SUM(I$107:I$111)</f>
        <v>1.1430419515801145</v>
      </c>
      <c r="K111" s="8">
        <f t="shared" si="20"/>
        <v>0.2286083903160229</v>
      </c>
    </row>
    <row r="112" spans="1:11" x14ac:dyDescent="0.2">
      <c r="A112">
        <v>2001</v>
      </c>
      <c r="B112" t="s">
        <v>4</v>
      </c>
      <c r="C112" s="9">
        <v>20600</v>
      </c>
      <c r="D112" s="9">
        <v>1200</v>
      </c>
      <c r="E112" s="11">
        <f t="shared" si="19"/>
        <v>5.8252427184466021E-2</v>
      </c>
      <c r="F112" s="8">
        <f>C112/AVERAGE(C$112:C$116)</f>
        <v>0.20015546055188496</v>
      </c>
      <c r="H112" s="9">
        <f>AVERAGE(C$112:C$116)</f>
        <v>102920</v>
      </c>
      <c r="I112" s="11">
        <f t="shared" si="18"/>
        <v>1.1659541391371939E-2</v>
      </c>
      <c r="J112" s="11">
        <f>SUM(I$112:I$116)</f>
        <v>1.0639331519626896</v>
      </c>
      <c r="K112" s="8">
        <f t="shared" si="20"/>
        <v>0.21278663039253792</v>
      </c>
    </row>
    <row r="113" spans="1:11" x14ac:dyDescent="0.2">
      <c r="A113">
        <v>2001</v>
      </c>
      <c r="B113" t="s">
        <v>5</v>
      </c>
      <c r="C113" s="9">
        <v>47800</v>
      </c>
      <c r="D113" s="9">
        <v>5700</v>
      </c>
      <c r="E113" s="11">
        <f t="shared" si="19"/>
        <v>0.1192468619246862</v>
      </c>
      <c r="F113" s="8">
        <f t="shared" ref="F113:F116" si="30">C113/AVERAGE(C$112:C$116)</f>
        <v>0.4644383987563156</v>
      </c>
      <c r="H113" s="9">
        <f>AVERAGE(C$112:C$116)</f>
        <v>102920</v>
      </c>
      <c r="I113" s="11">
        <f t="shared" si="18"/>
        <v>5.5382821609016711E-2</v>
      </c>
      <c r="J113" s="11">
        <f>SUM(I$112:I$116)</f>
        <v>1.0639331519626896</v>
      </c>
      <c r="K113" s="8">
        <f t="shared" si="20"/>
        <v>0.21278663039253792</v>
      </c>
    </row>
    <row r="114" spans="1:11" x14ac:dyDescent="0.2">
      <c r="A114">
        <v>2001</v>
      </c>
      <c r="B114" t="s">
        <v>6</v>
      </c>
      <c r="C114" s="9">
        <v>74600</v>
      </c>
      <c r="D114" s="9">
        <v>11700</v>
      </c>
      <c r="E114" s="11">
        <f t="shared" si="19"/>
        <v>0.15683646112600536</v>
      </c>
      <c r="F114" s="8">
        <f t="shared" si="30"/>
        <v>0.72483482316362224</v>
      </c>
      <c r="H114" s="9">
        <f>AVERAGE(C$112:C$116)</f>
        <v>102920</v>
      </c>
      <c r="I114" s="11">
        <f t="shared" si="18"/>
        <v>0.1136805285658764</v>
      </c>
      <c r="J114" s="11">
        <f>SUM(I$112:I$116)</f>
        <v>1.0639331519626896</v>
      </c>
      <c r="K114" s="8">
        <f t="shared" si="20"/>
        <v>0.21278663039253792</v>
      </c>
    </row>
    <row r="115" spans="1:11" x14ac:dyDescent="0.2">
      <c r="A115">
        <v>2001</v>
      </c>
      <c r="B115" t="s">
        <v>7</v>
      </c>
      <c r="C115" s="9">
        <v>108400</v>
      </c>
      <c r="D115" s="9">
        <v>20900</v>
      </c>
      <c r="E115" s="11">
        <f t="shared" si="19"/>
        <v>0.19280442804428044</v>
      </c>
      <c r="F115" s="8">
        <f t="shared" si="30"/>
        <v>1.0532452390205986</v>
      </c>
      <c r="H115" s="9">
        <f>AVERAGE(C$112:C$116)</f>
        <v>102920</v>
      </c>
      <c r="I115" s="11">
        <f t="shared" si="18"/>
        <v>0.20307034589972794</v>
      </c>
      <c r="J115" s="11">
        <f>SUM(I$112:I$116)</f>
        <v>1.0639331519626896</v>
      </c>
      <c r="K115" s="8">
        <f t="shared" si="20"/>
        <v>0.21278663039253792</v>
      </c>
    </row>
    <row r="116" spans="1:11" x14ac:dyDescent="0.2">
      <c r="A116">
        <v>2001</v>
      </c>
      <c r="B116" t="s">
        <v>8</v>
      </c>
      <c r="C116" s="9">
        <v>263200</v>
      </c>
      <c r="D116" s="9">
        <v>70000</v>
      </c>
      <c r="E116" s="11">
        <f t="shared" si="19"/>
        <v>0.26595744680851063</v>
      </c>
      <c r="F116" s="8">
        <f t="shared" si="30"/>
        <v>2.5573260785075789</v>
      </c>
      <c r="G116">
        <f>SUM(F112:F116)/5</f>
        <v>1</v>
      </c>
      <c r="H116" s="9">
        <f>AVERAGE(C$112:C$116)</f>
        <v>102920</v>
      </c>
      <c r="I116" s="11">
        <f t="shared" si="18"/>
        <v>0.68013991449669642</v>
      </c>
      <c r="J116" s="11">
        <f>SUM(I$112:I$116)</f>
        <v>1.0639331519626896</v>
      </c>
      <c r="K116" s="8">
        <f t="shared" si="20"/>
        <v>0.21278663039253792</v>
      </c>
    </row>
    <row r="117" spans="1:11" x14ac:dyDescent="0.2">
      <c r="A117">
        <v>2002</v>
      </c>
      <c r="B117" t="s">
        <v>4</v>
      </c>
      <c r="C117" s="9">
        <v>20400</v>
      </c>
      <c r="D117" s="9">
        <v>1100</v>
      </c>
      <c r="E117" s="11">
        <f t="shared" si="19"/>
        <v>5.3921568627450983E-2</v>
      </c>
      <c r="F117" s="8">
        <f>C117/AVERAGE(C$117:C$121)</f>
        <v>0.2051901025950513</v>
      </c>
      <c r="H117" s="9">
        <f>AVERAGE(C$117:C$121)</f>
        <v>99420</v>
      </c>
      <c r="I117" s="11">
        <f t="shared" si="18"/>
        <v>1.1064172198752767E-2</v>
      </c>
      <c r="J117" s="11">
        <f>SUM(I$117:I$121)</f>
        <v>1.023938845302756</v>
      </c>
      <c r="K117" s="8">
        <f t="shared" si="20"/>
        <v>0.20478776906055121</v>
      </c>
    </row>
    <row r="118" spans="1:11" x14ac:dyDescent="0.2">
      <c r="A118">
        <v>2002</v>
      </c>
      <c r="B118" t="s">
        <v>5</v>
      </c>
      <c r="C118" s="9">
        <v>46400</v>
      </c>
      <c r="D118" s="9">
        <v>5100</v>
      </c>
      <c r="E118" s="11">
        <f t="shared" si="19"/>
        <v>0.10991379310344827</v>
      </c>
      <c r="F118" s="8">
        <f t="shared" ref="F118:F121" si="31">C118/AVERAGE(C$117:C$121)</f>
        <v>0.46670690002011667</v>
      </c>
      <c r="H118" s="9">
        <f>AVERAGE(C$117:C$121)</f>
        <v>99420</v>
      </c>
      <c r="I118" s="11">
        <f t="shared" si="18"/>
        <v>5.1297525648762825E-2</v>
      </c>
      <c r="J118" s="11">
        <f>SUM(I$117:I$121)</f>
        <v>1.023938845302756</v>
      </c>
      <c r="K118" s="8">
        <f t="shared" si="20"/>
        <v>0.20478776906055121</v>
      </c>
    </row>
    <row r="119" spans="1:11" x14ac:dyDescent="0.2">
      <c r="A119">
        <v>2002</v>
      </c>
      <c r="B119" t="s">
        <v>6</v>
      </c>
      <c r="C119" s="9">
        <v>73200</v>
      </c>
      <c r="D119" s="9">
        <v>11000</v>
      </c>
      <c r="E119" s="11">
        <f t="shared" si="19"/>
        <v>0.15027322404371585</v>
      </c>
      <c r="F119" s="8">
        <f t="shared" si="31"/>
        <v>0.73627036813518409</v>
      </c>
      <c r="H119" s="9">
        <f>AVERAGE(C$117:C$121)</f>
        <v>99420</v>
      </c>
      <c r="I119" s="11">
        <f t="shared" si="18"/>
        <v>0.11064172198752766</v>
      </c>
      <c r="J119" s="11">
        <f>SUM(I$117:I$121)</f>
        <v>1.023938845302756</v>
      </c>
      <c r="K119" s="8">
        <f t="shared" si="20"/>
        <v>0.20478776906055121</v>
      </c>
    </row>
    <row r="120" spans="1:11" x14ac:dyDescent="0.2">
      <c r="A120">
        <v>2002</v>
      </c>
      <c r="B120" t="s">
        <v>7</v>
      </c>
      <c r="C120" s="9">
        <v>106600</v>
      </c>
      <c r="D120" s="9">
        <v>19800</v>
      </c>
      <c r="E120" s="11">
        <f t="shared" si="19"/>
        <v>0.18574108818011256</v>
      </c>
      <c r="F120" s="8">
        <f t="shared" si="31"/>
        <v>1.0722188694427681</v>
      </c>
      <c r="H120" s="9">
        <f>AVERAGE(C$117:C$121)</f>
        <v>99420</v>
      </c>
      <c r="I120" s="11">
        <f t="shared" si="18"/>
        <v>0.19915509957754979</v>
      </c>
      <c r="J120" s="11">
        <f>SUM(I$117:I$121)</f>
        <v>1.023938845302756</v>
      </c>
      <c r="K120" s="8">
        <f t="shared" si="20"/>
        <v>0.20478776906055121</v>
      </c>
    </row>
    <row r="121" spans="1:11" x14ac:dyDescent="0.2">
      <c r="A121">
        <v>2002</v>
      </c>
      <c r="B121" t="s">
        <v>8</v>
      </c>
      <c r="C121" s="9">
        <v>250500</v>
      </c>
      <c r="D121" s="9">
        <v>64800</v>
      </c>
      <c r="E121" s="11">
        <f t="shared" si="19"/>
        <v>0.25868263473053893</v>
      </c>
      <c r="F121" s="8">
        <f t="shared" si="31"/>
        <v>2.5196137598068797</v>
      </c>
      <c r="G121">
        <f>SUM(F117:F121)/5</f>
        <v>1</v>
      </c>
      <c r="H121" s="9">
        <f>AVERAGE(C$117:C$121)</f>
        <v>99420</v>
      </c>
      <c r="I121" s="11">
        <f t="shared" si="18"/>
        <v>0.65178032589016299</v>
      </c>
      <c r="J121" s="11">
        <f>SUM(I$117:I$121)</f>
        <v>1.023938845302756</v>
      </c>
      <c r="K121" s="8">
        <f t="shared" si="20"/>
        <v>0.20478776906055121</v>
      </c>
    </row>
    <row r="122" spans="1:11" x14ac:dyDescent="0.2">
      <c r="A122">
        <v>2003</v>
      </c>
      <c r="B122" t="s">
        <v>4</v>
      </c>
      <c r="C122" s="9">
        <v>20100</v>
      </c>
      <c r="D122" s="9">
        <v>1100</v>
      </c>
      <c r="E122" s="11">
        <f t="shared" si="19"/>
        <v>5.4726368159203981E-2</v>
      </c>
      <c r="F122" s="8">
        <f>C122/AVERAGE(C$122:C$126)</f>
        <v>0.19881305637982197</v>
      </c>
      <c r="H122" s="9">
        <f>AVERAGE(C$122:C$126)</f>
        <v>101100</v>
      </c>
      <c r="I122" s="11">
        <f t="shared" si="18"/>
        <v>1.0880316518298714E-2</v>
      </c>
      <c r="J122" s="11">
        <f>SUM(I$122:I$126)</f>
        <v>0.98516320474777441</v>
      </c>
      <c r="K122" s="8">
        <f t="shared" si="20"/>
        <v>0.19703264094955489</v>
      </c>
    </row>
    <row r="123" spans="1:11" x14ac:dyDescent="0.2">
      <c r="A123">
        <v>2003</v>
      </c>
      <c r="B123" t="s">
        <v>5</v>
      </c>
      <c r="C123" s="9">
        <v>45900</v>
      </c>
      <c r="D123" s="9">
        <v>4700</v>
      </c>
      <c r="E123" s="11">
        <f t="shared" si="19"/>
        <v>0.10239651416122005</v>
      </c>
      <c r="F123" s="8">
        <f t="shared" ref="F123:F126" si="32">C123/AVERAGE(C$122:C$126)</f>
        <v>0.45400593471810091</v>
      </c>
      <c r="H123" s="9">
        <f>AVERAGE(C$122:C$126)</f>
        <v>101100</v>
      </c>
      <c r="I123" s="11">
        <f t="shared" si="18"/>
        <v>4.6488625123639958E-2</v>
      </c>
      <c r="J123" s="11">
        <f>SUM(I$122:I$126)</f>
        <v>0.98516320474777441</v>
      </c>
      <c r="K123" s="8">
        <f t="shared" si="20"/>
        <v>0.19703264094955489</v>
      </c>
    </row>
    <row r="124" spans="1:11" x14ac:dyDescent="0.2">
      <c r="A124">
        <v>2003</v>
      </c>
      <c r="B124" t="s">
        <v>6</v>
      </c>
      <c r="C124" s="9">
        <v>73000</v>
      </c>
      <c r="D124" s="9">
        <v>10400</v>
      </c>
      <c r="E124" s="11">
        <f t="shared" si="19"/>
        <v>0.14246575342465753</v>
      </c>
      <c r="F124" s="8">
        <f t="shared" si="32"/>
        <v>0.72205736894164196</v>
      </c>
      <c r="H124" s="9">
        <f>AVERAGE(C$122:C$126)</f>
        <v>101100</v>
      </c>
      <c r="I124" s="11">
        <f t="shared" si="18"/>
        <v>0.10286844708209693</v>
      </c>
      <c r="J124" s="11">
        <f>SUM(I$122:I$126)</f>
        <v>0.98516320474777441</v>
      </c>
      <c r="K124" s="8">
        <f t="shared" si="20"/>
        <v>0.19703264094955489</v>
      </c>
    </row>
    <row r="125" spans="1:11" x14ac:dyDescent="0.2">
      <c r="A125">
        <v>2003</v>
      </c>
      <c r="B125" t="s">
        <v>7</v>
      </c>
      <c r="C125" s="9">
        <v>107800</v>
      </c>
      <c r="D125" s="9">
        <v>19300</v>
      </c>
      <c r="E125" s="11">
        <f t="shared" si="19"/>
        <v>0.1790352504638219</v>
      </c>
      <c r="F125" s="8">
        <f t="shared" si="32"/>
        <v>1.066271018793274</v>
      </c>
      <c r="H125" s="9">
        <f>AVERAGE(C$122:C$126)</f>
        <v>101100</v>
      </c>
      <c r="I125" s="11">
        <f t="shared" si="18"/>
        <v>0.19090009891196835</v>
      </c>
      <c r="J125" s="11">
        <f>SUM(I$122:I$126)</f>
        <v>0.98516320474777441</v>
      </c>
      <c r="K125" s="8">
        <f t="shared" si="20"/>
        <v>0.19703264094955489</v>
      </c>
    </row>
    <row r="126" spans="1:11" x14ac:dyDescent="0.2">
      <c r="A126">
        <v>2003</v>
      </c>
      <c r="B126" t="s">
        <v>8</v>
      </c>
      <c r="C126" s="9">
        <v>258700</v>
      </c>
      <c r="D126" s="9">
        <v>64100</v>
      </c>
      <c r="E126" s="11">
        <f t="shared" si="19"/>
        <v>0.24777734827986084</v>
      </c>
      <c r="F126" s="8">
        <f t="shared" si="32"/>
        <v>2.5588526211671612</v>
      </c>
      <c r="G126">
        <f>SUM(F122:F126)/5</f>
        <v>1</v>
      </c>
      <c r="H126" s="9">
        <f>AVERAGE(C$122:C$126)</f>
        <v>101100</v>
      </c>
      <c r="I126" s="11">
        <f t="shared" si="18"/>
        <v>0.63402571711177047</v>
      </c>
      <c r="J126" s="11">
        <f>SUM(I$122:I$126)</f>
        <v>0.98516320474777441</v>
      </c>
      <c r="K126" s="8">
        <f t="shared" si="20"/>
        <v>0.19703264094955489</v>
      </c>
    </row>
    <row r="127" spans="1:11" x14ac:dyDescent="0.2">
      <c r="A127">
        <v>2004</v>
      </c>
      <c r="B127" t="s">
        <v>4</v>
      </c>
      <c r="C127" s="9">
        <v>20300</v>
      </c>
      <c r="D127" s="9">
        <v>1000</v>
      </c>
      <c r="E127" s="11">
        <f t="shared" si="19"/>
        <v>4.9261083743842367E-2</v>
      </c>
      <c r="F127" s="8">
        <f>C127/AVERAGE(C$127:C$131)</f>
        <v>0.18979057591623036</v>
      </c>
      <c r="H127" s="9">
        <f>AVERAGE(C$127:C$131)</f>
        <v>106960</v>
      </c>
      <c r="I127" s="11">
        <f t="shared" si="18"/>
        <v>9.3492894540014963E-3</v>
      </c>
      <c r="J127" s="11">
        <f>SUM(I$127:I$131)</f>
        <v>1.0050486163051606</v>
      </c>
      <c r="K127" s="8">
        <f t="shared" si="20"/>
        <v>0.20100972326103211</v>
      </c>
    </row>
    <row r="128" spans="1:11" x14ac:dyDescent="0.2">
      <c r="A128">
        <v>2004</v>
      </c>
      <c r="B128" t="s">
        <v>5</v>
      </c>
      <c r="C128" s="9">
        <v>46500</v>
      </c>
      <c r="D128" s="9">
        <v>4800</v>
      </c>
      <c r="E128" s="11">
        <f t="shared" si="19"/>
        <v>0.1032258064516129</v>
      </c>
      <c r="F128" s="8">
        <f t="shared" ref="F128:F131" si="33">C128/AVERAGE(C$127:C$131)</f>
        <v>0.43474195961106954</v>
      </c>
      <c r="H128" s="9">
        <f>AVERAGE(C$127:C$131)</f>
        <v>106960</v>
      </c>
      <c r="I128" s="11">
        <f t="shared" si="18"/>
        <v>4.4876589379207181E-2</v>
      </c>
      <c r="J128" s="11">
        <f>SUM(I$127:I$131)</f>
        <v>1.0050486163051606</v>
      </c>
      <c r="K128" s="8">
        <f t="shared" si="20"/>
        <v>0.20100972326103211</v>
      </c>
    </row>
    <row r="129" spans="1:11" x14ac:dyDescent="0.2">
      <c r="A129">
        <v>2004</v>
      </c>
      <c r="B129" t="s">
        <v>6</v>
      </c>
      <c r="C129" s="9">
        <v>75400</v>
      </c>
      <c r="D129" s="9">
        <v>11100</v>
      </c>
      <c r="E129" s="11">
        <f t="shared" si="19"/>
        <v>0.14721485411140584</v>
      </c>
      <c r="F129" s="8">
        <f t="shared" si="33"/>
        <v>0.70493642483171282</v>
      </c>
      <c r="H129" s="9">
        <f>AVERAGE(C$127:C$131)</f>
        <v>106960</v>
      </c>
      <c r="I129" s="11">
        <f t="shared" si="18"/>
        <v>0.1037771129394166</v>
      </c>
      <c r="J129" s="11">
        <f>SUM(I$127:I$131)</f>
        <v>1.0050486163051606</v>
      </c>
      <c r="K129" s="8">
        <f t="shared" si="20"/>
        <v>0.20100972326103211</v>
      </c>
    </row>
    <row r="130" spans="1:11" x14ac:dyDescent="0.2">
      <c r="A130">
        <v>2004</v>
      </c>
      <c r="B130" t="s">
        <v>7</v>
      </c>
      <c r="C130" s="9">
        <v>111000</v>
      </c>
      <c r="D130" s="9">
        <v>20000</v>
      </c>
      <c r="E130" s="11">
        <f t="shared" si="19"/>
        <v>0.18018018018018017</v>
      </c>
      <c r="F130" s="8">
        <f t="shared" si="33"/>
        <v>1.037771129394166</v>
      </c>
      <c r="H130" s="9">
        <f>AVERAGE(C$127:C$131)</f>
        <v>106960</v>
      </c>
      <c r="I130" s="11">
        <f t="shared" ref="I130:I193" si="34">(C130*E130)/H130</f>
        <v>0.18698578908002991</v>
      </c>
      <c r="J130" s="11">
        <f>SUM(I$127:I$131)</f>
        <v>1.0050486163051606</v>
      </c>
      <c r="K130" s="8">
        <f t="shared" si="20"/>
        <v>0.20100972326103211</v>
      </c>
    </row>
    <row r="131" spans="1:11" x14ac:dyDescent="0.2">
      <c r="A131">
        <v>2004</v>
      </c>
      <c r="B131" t="s">
        <v>8</v>
      </c>
      <c r="C131" s="9">
        <v>281600</v>
      </c>
      <c r="D131" s="9">
        <v>70600</v>
      </c>
      <c r="E131" s="11">
        <f t="shared" ref="E131:E194" si="35">D131/C131</f>
        <v>0.25071022727272729</v>
      </c>
      <c r="F131" s="8">
        <f t="shared" si="33"/>
        <v>2.6327599102468211</v>
      </c>
      <c r="G131">
        <f>SUM(F127:F131)/5</f>
        <v>1</v>
      </c>
      <c r="H131" s="9">
        <f>AVERAGE(C$127:C$131)</f>
        <v>106960</v>
      </c>
      <c r="I131" s="11">
        <f t="shared" si="34"/>
        <v>0.66005983545250557</v>
      </c>
      <c r="J131" s="11">
        <f>SUM(I$127:I$131)</f>
        <v>1.0050486163051606</v>
      </c>
      <c r="K131" s="8">
        <f t="shared" ref="K131:K194" si="36">J131/5</f>
        <v>0.20100972326103211</v>
      </c>
    </row>
    <row r="132" spans="1:11" x14ac:dyDescent="0.2">
      <c r="A132">
        <v>2005</v>
      </c>
      <c r="B132" t="s">
        <v>4</v>
      </c>
      <c r="C132" s="9">
        <v>20900</v>
      </c>
      <c r="D132" s="9">
        <v>1100</v>
      </c>
      <c r="E132" s="11">
        <f t="shared" si="35"/>
        <v>5.2631578947368418E-2</v>
      </c>
      <c r="F132" s="8">
        <f>C132/AVERAGE(C$132:C$136)</f>
        <v>0.18548100816471425</v>
      </c>
      <c r="H132" s="9">
        <f>AVERAGE(C$132:C$136)</f>
        <v>112680</v>
      </c>
      <c r="I132" s="11">
        <f t="shared" si="34"/>
        <v>9.7621583244586439E-3</v>
      </c>
      <c r="J132" s="11">
        <f>SUM(I$132:I$136)</f>
        <v>1.0303514376996805</v>
      </c>
      <c r="K132" s="8">
        <f t="shared" si="36"/>
        <v>0.20607028753993611</v>
      </c>
    </row>
    <row r="133" spans="1:11" x14ac:dyDescent="0.2">
      <c r="A133">
        <v>2005</v>
      </c>
      <c r="B133" t="s">
        <v>5</v>
      </c>
      <c r="C133" s="9">
        <v>47600</v>
      </c>
      <c r="D133" s="9">
        <v>5100</v>
      </c>
      <c r="E133" s="11">
        <f t="shared" si="35"/>
        <v>0.10714285714285714</v>
      </c>
      <c r="F133" s="8">
        <f t="shared" ref="F133:F136" si="37">C133/AVERAGE(C$132:C$136)</f>
        <v>0.42243521476748314</v>
      </c>
      <c r="H133" s="9">
        <f>AVERAGE(C$132:C$136)</f>
        <v>112680</v>
      </c>
      <c r="I133" s="11">
        <f t="shared" si="34"/>
        <v>4.5260915867944625E-2</v>
      </c>
      <c r="J133" s="11">
        <f>SUM(I$132:I$136)</f>
        <v>1.0303514376996805</v>
      </c>
      <c r="K133" s="8">
        <f t="shared" si="36"/>
        <v>0.20607028753993611</v>
      </c>
    </row>
    <row r="134" spans="1:11" x14ac:dyDescent="0.2">
      <c r="A134">
        <v>2005</v>
      </c>
      <c r="B134" t="s">
        <v>6</v>
      </c>
      <c r="C134" s="9">
        <v>76400</v>
      </c>
      <c r="D134" s="9">
        <v>11300</v>
      </c>
      <c r="E134" s="11">
        <f t="shared" si="35"/>
        <v>0.14790575916230367</v>
      </c>
      <c r="F134" s="8">
        <f t="shared" si="37"/>
        <v>0.67802626908058217</v>
      </c>
      <c r="H134" s="9">
        <f>AVERAGE(C$132:C$136)</f>
        <v>112680</v>
      </c>
      <c r="I134" s="11">
        <f t="shared" si="34"/>
        <v>0.10028399006034788</v>
      </c>
      <c r="J134" s="11">
        <f>SUM(I$132:I$136)</f>
        <v>1.0303514376996805</v>
      </c>
      <c r="K134" s="8">
        <f t="shared" si="36"/>
        <v>0.20607028753993611</v>
      </c>
    </row>
    <row r="135" spans="1:11" x14ac:dyDescent="0.2">
      <c r="A135">
        <v>2005</v>
      </c>
      <c r="B135" t="s">
        <v>7</v>
      </c>
      <c r="C135" s="9">
        <v>113100</v>
      </c>
      <c r="D135" s="9">
        <v>20700</v>
      </c>
      <c r="E135" s="11">
        <f t="shared" si="35"/>
        <v>0.1830238726790451</v>
      </c>
      <c r="F135" s="8">
        <f t="shared" si="37"/>
        <v>1.0037273695420661</v>
      </c>
      <c r="H135" s="9">
        <f>AVERAGE(C$132:C$136)</f>
        <v>112680</v>
      </c>
      <c r="I135" s="11">
        <f t="shared" si="34"/>
        <v>0.18370607028753994</v>
      </c>
      <c r="J135" s="11">
        <f>SUM(I$132:I$136)</f>
        <v>1.0303514376996805</v>
      </c>
      <c r="K135" s="8">
        <f t="shared" si="36"/>
        <v>0.20607028753993611</v>
      </c>
    </row>
    <row r="136" spans="1:11" x14ac:dyDescent="0.2">
      <c r="A136">
        <v>2005</v>
      </c>
      <c r="B136" t="s">
        <v>8</v>
      </c>
      <c r="C136" s="9">
        <v>305400</v>
      </c>
      <c r="D136" s="9">
        <v>77900</v>
      </c>
      <c r="E136" s="11">
        <f t="shared" si="35"/>
        <v>0.25507531106745251</v>
      </c>
      <c r="F136" s="8">
        <f t="shared" si="37"/>
        <v>2.7103301384451544</v>
      </c>
      <c r="G136">
        <f>SUM(F132:F136)/5</f>
        <v>1</v>
      </c>
      <c r="H136" s="9">
        <f>AVERAGE(C$132:C$136)</f>
        <v>112680</v>
      </c>
      <c r="I136" s="11">
        <f t="shared" si="34"/>
        <v>0.69133830315938938</v>
      </c>
      <c r="J136" s="11">
        <f>SUM(I$132:I$136)</f>
        <v>1.0303514376996805</v>
      </c>
      <c r="K136" s="8">
        <f t="shared" si="36"/>
        <v>0.20607028753993611</v>
      </c>
    </row>
    <row r="137" spans="1:11" x14ac:dyDescent="0.2">
      <c r="A137">
        <v>2006</v>
      </c>
      <c r="B137" t="s">
        <v>4</v>
      </c>
      <c r="C137" s="9">
        <v>21800</v>
      </c>
      <c r="D137" s="9">
        <v>1200</v>
      </c>
      <c r="E137" s="11">
        <f t="shared" si="35"/>
        <v>5.5045871559633031E-2</v>
      </c>
      <c r="F137" s="8">
        <f>C137/AVERAGE(C$137:C$141)</f>
        <v>0.18763986916853159</v>
      </c>
      <c r="H137" s="9">
        <f>AVERAGE(C$137:C$141)</f>
        <v>116180</v>
      </c>
      <c r="I137" s="11">
        <f t="shared" si="34"/>
        <v>1.0328800137717335E-2</v>
      </c>
      <c r="J137" s="11">
        <f>SUM(I$137:I$141)</f>
        <v>1.0337407471165432</v>
      </c>
      <c r="K137" s="8">
        <f t="shared" si="36"/>
        <v>0.20674814942330863</v>
      </c>
    </row>
    <row r="138" spans="1:11" x14ac:dyDescent="0.2">
      <c r="A138">
        <v>2006</v>
      </c>
      <c r="B138" t="s">
        <v>5</v>
      </c>
      <c r="C138" s="9">
        <v>48600</v>
      </c>
      <c r="D138" s="9">
        <v>5200</v>
      </c>
      <c r="E138" s="11">
        <f t="shared" si="35"/>
        <v>0.10699588477366255</v>
      </c>
      <c r="F138" s="8">
        <f t="shared" ref="F138:F141" si="38">C138/AVERAGE(C$137:C$141)</f>
        <v>0.41831640557755206</v>
      </c>
      <c r="H138" s="9">
        <f>AVERAGE(C$137:C$141)</f>
        <v>116180</v>
      </c>
      <c r="I138" s="11">
        <f t="shared" si="34"/>
        <v>4.4758133930108454E-2</v>
      </c>
      <c r="J138" s="11">
        <f>SUM(I$137:I$141)</f>
        <v>1.0337407471165432</v>
      </c>
      <c r="K138" s="8">
        <f t="shared" si="36"/>
        <v>0.20674814942330863</v>
      </c>
    </row>
    <row r="139" spans="1:11" x14ac:dyDescent="0.2">
      <c r="A139">
        <v>2006</v>
      </c>
      <c r="B139" t="s">
        <v>6</v>
      </c>
      <c r="C139" s="9">
        <v>77200</v>
      </c>
      <c r="D139" s="9">
        <v>11500</v>
      </c>
      <c r="E139" s="11">
        <f t="shared" si="35"/>
        <v>0.14896373056994819</v>
      </c>
      <c r="F139" s="8">
        <f t="shared" si="38"/>
        <v>0.66448614219314861</v>
      </c>
      <c r="H139" s="9">
        <f>AVERAGE(C$137:C$141)</f>
        <v>116180</v>
      </c>
      <c r="I139" s="11">
        <f t="shared" si="34"/>
        <v>9.8984334653124464E-2</v>
      </c>
      <c r="J139" s="11">
        <f>SUM(I$137:I$141)</f>
        <v>1.0337407471165432</v>
      </c>
      <c r="K139" s="8">
        <f t="shared" si="36"/>
        <v>0.20674814942330863</v>
      </c>
    </row>
    <row r="140" spans="1:11" x14ac:dyDescent="0.2">
      <c r="A140">
        <v>2006</v>
      </c>
      <c r="B140" t="s">
        <v>7</v>
      </c>
      <c r="C140" s="9">
        <v>115400</v>
      </c>
      <c r="D140" s="9">
        <v>21100</v>
      </c>
      <c r="E140" s="11">
        <f t="shared" si="35"/>
        <v>0.18284228769497402</v>
      </c>
      <c r="F140" s="8">
        <f t="shared" si="38"/>
        <v>0.99328627991048368</v>
      </c>
      <c r="H140" s="9">
        <f>AVERAGE(C$137:C$141)</f>
        <v>116180</v>
      </c>
      <c r="I140" s="11">
        <f t="shared" si="34"/>
        <v>0.18161473575486314</v>
      </c>
      <c r="J140" s="11">
        <f>SUM(I$137:I$141)</f>
        <v>1.0337407471165432</v>
      </c>
      <c r="K140" s="8">
        <f t="shared" si="36"/>
        <v>0.20674814942330863</v>
      </c>
    </row>
    <row r="141" spans="1:11" x14ac:dyDescent="0.2">
      <c r="A141">
        <v>2006</v>
      </c>
      <c r="B141" t="s">
        <v>8</v>
      </c>
      <c r="C141" s="9">
        <v>317900</v>
      </c>
      <c r="D141" s="9">
        <v>81100</v>
      </c>
      <c r="E141" s="11">
        <f t="shared" si="35"/>
        <v>0.25511167033658383</v>
      </c>
      <c r="F141" s="8">
        <f t="shared" si="38"/>
        <v>2.7362713031502839</v>
      </c>
      <c r="G141">
        <f>SUM(F137:F141)/5</f>
        <v>1</v>
      </c>
      <c r="H141" s="9">
        <f>AVERAGE(C$137:C$141)</f>
        <v>116180</v>
      </c>
      <c r="I141" s="11">
        <f t="shared" si="34"/>
        <v>0.69805474264072986</v>
      </c>
      <c r="J141" s="11">
        <f>SUM(I$137:I$141)</f>
        <v>1.0337407471165432</v>
      </c>
      <c r="K141" s="8">
        <f t="shared" si="36"/>
        <v>0.20674814942330863</v>
      </c>
    </row>
    <row r="142" spans="1:11" x14ac:dyDescent="0.2">
      <c r="A142">
        <v>2007</v>
      </c>
      <c r="B142" t="s">
        <v>4</v>
      </c>
      <c r="C142" s="9">
        <v>23000</v>
      </c>
      <c r="D142" s="9">
        <v>1100</v>
      </c>
      <c r="E142" s="11">
        <f t="shared" si="35"/>
        <v>4.7826086956521741E-2</v>
      </c>
      <c r="F142" s="8">
        <f>C142/AVERAGE(C$142:C$146)</f>
        <v>0.1908713692946058</v>
      </c>
      <c r="H142" s="9">
        <f>AVERAGE(C$142:C$146)</f>
        <v>120500</v>
      </c>
      <c r="I142" s="11">
        <f t="shared" si="34"/>
        <v>9.1286307053941914E-3</v>
      </c>
      <c r="J142" s="11">
        <f>SUM(I$142:I$146)</f>
        <v>1.0107883817427386</v>
      </c>
      <c r="K142" s="8">
        <f t="shared" si="36"/>
        <v>0.2021576763485477</v>
      </c>
    </row>
    <row r="143" spans="1:11" x14ac:dyDescent="0.2">
      <c r="A143">
        <v>2007</v>
      </c>
      <c r="B143" t="s">
        <v>5</v>
      </c>
      <c r="C143" s="9">
        <v>51300</v>
      </c>
      <c r="D143" s="9">
        <v>5700</v>
      </c>
      <c r="E143" s="11">
        <f t="shared" si="35"/>
        <v>0.1111111111111111</v>
      </c>
      <c r="F143" s="8">
        <f t="shared" ref="F143:F146" si="39">C143/AVERAGE(C$142:C$146)</f>
        <v>0.42572614107883816</v>
      </c>
      <c r="H143" s="9">
        <f>AVERAGE(C$142:C$146)</f>
        <v>120500</v>
      </c>
      <c r="I143" s="11">
        <f t="shared" si="34"/>
        <v>4.7302904564315351E-2</v>
      </c>
      <c r="J143" s="11">
        <f>SUM(I$142:I$146)</f>
        <v>1.0107883817427386</v>
      </c>
      <c r="K143" s="8">
        <f t="shared" si="36"/>
        <v>0.2021576763485477</v>
      </c>
    </row>
    <row r="144" spans="1:11" x14ac:dyDescent="0.2">
      <c r="A144">
        <v>2007</v>
      </c>
      <c r="B144" t="s">
        <v>6</v>
      </c>
      <c r="C144" s="9">
        <v>79900</v>
      </c>
      <c r="D144" s="9">
        <v>11800</v>
      </c>
      <c r="E144" s="11">
        <f t="shared" si="35"/>
        <v>0.1476846057571965</v>
      </c>
      <c r="F144" s="8">
        <f t="shared" si="39"/>
        <v>0.66307053941908711</v>
      </c>
      <c r="H144" s="9">
        <f>AVERAGE(C$142:C$146)</f>
        <v>120500</v>
      </c>
      <c r="I144" s="11">
        <f t="shared" si="34"/>
        <v>9.7925311203319501E-2</v>
      </c>
      <c r="J144" s="11">
        <f>SUM(I$142:I$146)</f>
        <v>1.0107883817427386</v>
      </c>
      <c r="K144" s="8">
        <f t="shared" si="36"/>
        <v>0.2021576763485477</v>
      </c>
    </row>
    <row r="145" spans="1:11" x14ac:dyDescent="0.2">
      <c r="A145">
        <v>2007</v>
      </c>
      <c r="B145" t="s">
        <v>7</v>
      </c>
      <c r="C145" s="9">
        <v>118200</v>
      </c>
      <c r="D145" s="9">
        <v>21400</v>
      </c>
      <c r="E145" s="11">
        <f t="shared" si="35"/>
        <v>0.18104906937394247</v>
      </c>
      <c r="F145" s="8">
        <f t="shared" si="39"/>
        <v>0.98091286307053938</v>
      </c>
      <c r="H145" s="9">
        <f>AVERAGE(C$142:C$146)</f>
        <v>120500</v>
      </c>
      <c r="I145" s="11">
        <f t="shared" si="34"/>
        <v>0.17759336099585063</v>
      </c>
      <c r="J145" s="11">
        <f>SUM(I$142:I$146)</f>
        <v>1.0107883817427386</v>
      </c>
      <c r="K145" s="8">
        <f t="shared" si="36"/>
        <v>0.2021576763485477</v>
      </c>
    </row>
    <row r="146" spans="1:11" x14ac:dyDescent="0.2">
      <c r="A146">
        <v>2007</v>
      </c>
      <c r="B146" t="s">
        <v>8</v>
      </c>
      <c r="C146" s="9">
        <v>330100</v>
      </c>
      <c r="D146" s="9">
        <v>81800</v>
      </c>
      <c r="E146" s="11">
        <f t="shared" si="35"/>
        <v>0.24780369584974249</v>
      </c>
      <c r="F146" s="8">
        <f t="shared" si="39"/>
        <v>2.7394190871369295</v>
      </c>
      <c r="G146">
        <f>SUM(F142:F146)/5</f>
        <v>1</v>
      </c>
      <c r="H146" s="9">
        <f>AVERAGE(C$142:C$146)</f>
        <v>120500</v>
      </c>
      <c r="I146" s="11">
        <f t="shared" si="34"/>
        <v>0.67883817427385895</v>
      </c>
      <c r="J146" s="11">
        <f>SUM(I$142:I$146)</f>
        <v>1.0107883817427386</v>
      </c>
      <c r="K146" s="8">
        <f t="shared" si="36"/>
        <v>0.2021576763485477</v>
      </c>
    </row>
    <row r="147" spans="1:11" x14ac:dyDescent="0.2">
      <c r="A147">
        <v>2008</v>
      </c>
      <c r="B147" t="s">
        <v>4</v>
      </c>
      <c r="C147" s="9">
        <v>22800</v>
      </c>
      <c r="D147" s="9">
        <v>100</v>
      </c>
      <c r="E147" s="11">
        <f t="shared" si="35"/>
        <v>4.3859649122807015E-3</v>
      </c>
      <c r="F147" s="8">
        <f>C147/AVERAGE(C$147:C$151)</f>
        <v>0.20202020202020202</v>
      </c>
      <c r="H147" s="9">
        <f>AVERAGE(C$147:C$151)</f>
        <v>112860</v>
      </c>
      <c r="I147" s="11">
        <f t="shared" si="34"/>
        <v>8.8605351763246503E-4</v>
      </c>
      <c r="J147" s="11">
        <f>SUM(I$147:I$151)</f>
        <v>0.91263512316143891</v>
      </c>
      <c r="K147" s="8">
        <f t="shared" si="36"/>
        <v>0.18252702463228779</v>
      </c>
    </row>
    <row r="148" spans="1:11" x14ac:dyDescent="0.2">
      <c r="A148">
        <v>2008</v>
      </c>
      <c r="B148" t="s">
        <v>5</v>
      </c>
      <c r="C148" s="9">
        <v>49100</v>
      </c>
      <c r="D148" s="9">
        <v>3900</v>
      </c>
      <c r="E148" s="11">
        <f t="shared" si="35"/>
        <v>7.9429735234215884E-2</v>
      </c>
      <c r="F148" s="8">
        <f t="shared" ref="F148:F151" si="40">C148/AVERAGE(C$147:C$151)</f>
        <v>0.4350522771575403</v>
      </c>
      <c r="H148" s="9">
        <f>AVERAGE(C$147:C$151)</f>
        <v>112860</v>
      </c>
      <c r="I148" s="11">
        <f t="shared" si="34"/>
        <v>3.4556087187666132E-2</v>
      </c>
      <c r="J148" s="11">
        <f>SUM(I$147:I$151)</f>
        <v>0.91263512316143891</v>
      </c>
      <c r="K148" s="8">
        <f t="shared" si="36"/>
        <v>0.18252702463228779</v>
      </c>
    </row>
    <row r="149" spans="1:11" x14ac:dyDescent="0.2">
      <c r="A149">
        <v>2008</v>
      </c>
      <c r="B149" t="s">
        <v>6</v>
      </c>
      <c r="C149" s="9">
        <v>77600</v>
      </c>
      <c r="D149" s="9">
        <v>9500</v>
      </c>
      <c r="E149" s="11">
        <f t="shared" si="35"/>
        <v>0.12242268041237113</v>
      </c>
      <c r="F149" s="8">
        <f t="shared" si="40"/>
        <v>0.68757752968279284</v>
      </c>
      <c r="H149" s="9">
        <f>AVERAGE(C$147:C$151)</f>
        <v>112860</v>
      </c>
      <c r="I149" s="11">
        <f t="shared" si="34"/>
        <v>8.4175084175084181E-2</v>
      </c>
      <c r="J149" s="11">
        <f>SUM(I$147:I$151)</f>
        <v>0.91263512316143891</v>
      </c>
      <c r="K149" s="8">
        <f t="shared" si="36"/>
        <v>0.18252702463228779</v>
      </c>
    </row>
    <row r="150" spans="1:11" x14ac:dyDescent="0.2">
      <c r="A150">
        <v>2008</v>
      </c>
      <c r="B150" t="s">
        <v>7</v>
      </c>
      <c r="C150" s="9">
        <v>115400</v>
      </c>
      <c r="D150" s="9">
        <v>18500</v>
      </c>
      <c r="E150" s="11">
        <f t="shared" si="35"/>
        <v>0.16031195840554593</v>
      </c>
      <c r="F150" s="8">
        <f t="shared" si="40"/>
        <v>1.0225057593478646</v>
      </c>
      <c r="H150" s="9">
        <f>AVERAGE(C$147:C$151)</f>
        <v>112860</v>
      </c>
      <c r="I150" s="11">
        <f t="shared" si="34"/>
        <v>0.16391990076200602</v>
      </c>
      <c r="J150" s="11">
        <f>SUM(I$147:I$151)</f>
        <v>0.91263512316143891</v>
      </c>
      <c r="K150" s="8">
        <f t="shared" si="36"/>
        <v>0.18252702463228779</v>
      </c>
    </row>
    <row r="151" spans="1:11" x14ac:dyDescent="0.2">
      <c r="A151">
        <v>2008</v>
      </c>
      <c r="B151" t="s">
        <v>8</v>
      </c>
      <c r="C151" s="9">
        <v>299400</v>
      </c>
      <c r="D151" s="9">
        <v>71000</v>
      </c>
      <c r="E151" s="11">
        <f t="shared" si="35"/>
        <v>0.23714094856379425</v>
      </c>
      <c r="F151" s="8">
        <f t="shared" si="40"/>
        <v>2.6528442317916001</v>
      </c>
      <c r="G151">
        <f>SUM(F147:F151)/5</f>
        <v>1</v>
      </c>
      <c r="H151" s="9">
        <f>AVERAGE(C$147:C$151)</f>
        <v>112860</v>
      </c>
      <c r="I151" s="11">
        <f t="shared" si="34"/>
        <v>0.62909799751905016</v>
      </c>
      <c r="J151" s="11">
        <f>SUM(I$147:I$151)</f>
        <v>0.91263512316143891</v>
      </c>
      <c r="K151" s="8">
        <f t="shared" si="36"/>
        <v>0.18252702463228779</v>
      </c>
    </row>
    <row r="152" spans="1:11" x14ac:dyDescent="0.2">
      <c r="A152">
        <v>2009</v>
      </c>
      <c r="B152" t="s">
        <v>4</v>
      </c>
      <c r="C152" s="9">
        <v>22000</v>
      </c>
      <c r="D152" s="9">
        <v>-200</v>
      </c>
      <c r="E152" s="11">
        <f t="shared" si="35"/>
        <v>-9.0909090909090905E-3</v>
      </c>
      <c r="F152" s="8">
        <f>C152/AVERAGE(C$152:C$156)</f>
        <v>0.2071563088512241</v>
      </c>
      <c r="H152" s="9">
        <f>AVERAGE(C$152:C$156)</f>
        <v>106200</v>
      </c>
      <c r="I152" s="11">
        <f t="shared" si="34"/>
        <v>-1.8832391713747645E-3</v>
      </c>
      <c r="J152" s="11">
        <f>SUM(I$152:I$156)</f>
        <v>0.87664783427495285</v>
      </c>
      <c r="K152" s="8">
        <f t="shared" si="36"/>
        <v>0.17532956685499057</v>
      </c>
    </row>
    <row r="153" spans="1:11" x14ac:dyDescent="0.2">
      <c r="A153">
        <v>2009</v>
      </c>
      <c r="B153" t="s">
        <v>5</v>
      </c>
      <c r="C153" s="9">
        <v>47700</v>
      </c>
      <c r="D153" s="9">
        <v>3500</v>
      </c>
      <c r="E153" s="11">
        <f t="shared" si="35"/>
        <v>7.337526205450734E-2</v>
      </c>
      <c r="F153" s="8">
        <f t="shared" ref="F153:F155" si="41">C153/AVERAGE(C$152:C$156)</f>
        <v>0.44915254237288138</v>
      </c>
      <c r="H153" s="9">
        <f>AVERAGE(C$152:C$156)</f>
        <v>106200</v>
      </c>
      <c r="I153" s="11">
        <f t="shared" si="34"/>
        <v>3.2956685499058377E-2</v>
      </c>
      <c r="J153" s="11">
        <f>SUM(I$152:I$156)</f>
        <v>0.87664783427495285</v>
      </c>
      <c r="K153" s="8">
        <f t="shared" si="36"/>
        <v>0.17532956685499057</v>
      </c>
    </row>
    <row r="154" spans="1:11" x14ac:dyDescent="0.2">
      <c r="A154">
        <v>2009</v>
      </c>
      <c r="B154" t="s">
        <v>6</v>
      </c>
      <c r="C154" s="9">
        <v>76200</v>
      </c>
      <c r="D154" s="9">
        <v>9000</v>
      </c>
      <c r="E154" s="11">
        <f t="shared" si="35"/>
        <v>0.11811023622047244</v>
      </c>
      <c r="F154" s="8">
        <f t="shared" si="41"/>
        <v>0.71751412429378536</v>
      </c>
      <c r="H154" s="9">
        <f>AVERAGE(C$152:C$156)</f>
        <v>106200</v>
      </c>
      <c r="I154" s="11">
        <f t="shared" si="34"/>
        <v>8.4745762711864403E-2</v>
      </c>
      <c r="J154" s="11">
        <f>SUM(I$152:I$156)</f>
        <v>0.87664783427495285</v>
      </c>
      <c r="K154" s="8">
        <f t="shared" si="36"/>
        <v>0.17532956685499057</v>
      </c>
    </row>
    <row r="155" spans="1:11" x14ac:dyDescent="0.2">
      <c r="A155">
        <v>2009</v>
      </c>
      <c r="B155" t="s">
        <v>7</v>
      </c>
      <c r="C155" s="9">
        <v>113000</v>
      </c>
      <c r="D155" s="9">
        <v>17500</v>
      </c>
      <c r="E155" s="11">
        <f t="shared" si="35"/>
        <v>0.15486725663716813</v>
      </c>
      <c r="F155" s="8">
        <f t="shared" si="41"/>
        <v>1.064030131826742</v>
      </c>
      <c r="H155" s="9">
        <f>AVERAGE(C$152:C$156)</f>
        <v>106200</v>
      </c>
      <c r="I155" s="11">
        <f t="shared" si="34"/>
        <v>0.1647834274952919</v>
      </c>
      <c r="J155" s="11">
        <f>SUM(I$152:I$156)</f>
        <v>0.87664783427495285</v>
      </c>
      <c r="K155" s="8">
        <f t="shared" si="36"/>
        <v>0.17532956685499057</v>
      </c>
    </row>
    <row r="156" spans="1:11" x14ac:dyDescent="0.2">
      <c r="A156">
        <v>2009</v>
      </c>
      <c r="B156" t="s">
        <v>8</v>
      </c>
      <c r="C156" s="9">
        <v>272100</v>
      </c>
      <c r="D156" s="9">
        <v>63300</v>
      </c>
      <c r="E156" s="11">
        <f t="shared" si="35"/>
        <v>0.23263506063947079</v>
      </c>
      <c r="F156" s="8">
        <f>C156/AVERAGE(C$152:C$156)</f>
        <v>2.5621468926553672</v>
      </c>
      <c r="G156">
        <f>SUM(F152:F156)/5</f>
        <v>1</v>
      </c>
      <c r="H156" s="9">
        <f>AVERAGE(C$152:C$156)</f>
        <v>106200</v>
      </c>
      <c r="I156" s="11">
        <f t="shared" si="34"/>
        <v>0.596045197740113</v>
      </c>
      <c r="J156" s="11">
        <f>SUM(I$152:I$156)</f>
        <v>0.87664783427495285</v>
      </c>
      <c r="K156" s="8">
        <f t="shared" si="36"/>
        <v>0.17532956685499057</v>
      </c>
    </row>
    <row r="157" spans="1:11" x14ac:dyDescent="0.2">
      <c r="A157">
        <v>2010</v>
      </c>
      <c r="B157" t="s">
        <v>4</v>
      </c>
      <c r="C157" s="9">
        <v>21400</v>
      </c>
      <c r="D157" s="9">
        <v>-100</v>
      </c>
      <c r="E157" s="11">
        <f t="shared" si="35"/>
        <v>-4.6728971962616819E-3</v>
      </c>
      <c r="F157" s="8">
        <f>C157/AVERAGE(C$157:C$161)</f>
        <v>0.198074787115883</v>
      </c>
      <c r="H157" s="9">
        <f>AVERAGE(C$157:C$161)</f>
        <v>108040</v>
      </c>
      <c r="I157" s="11">
        <f t="shared" si="34"/>
        <v>-9.255831173639391E-4</v>
      </c>
      <c r="J157" s="11">
        <f>SUM(I$157:I$161)</f>
        <v>0.91077378748611626</v>
      </c>
      <c r="K157" s="8">
        <f t="shared" si="36"/>
        <v>0.18215475749722326</v>
      </c>
    </row>
    <row r="158" spans="1:11" x14ac:dyDescent="0.2">
      <c r="A158">
        <v>2010</v>
      </c>
      <c r="B158" t="s">
        <v>5</v>
      </c>
      <c r="C158" s="9">
        <v>47000</v>
      </c>
      <c r="D158" s="9">
        <v>3600</v>
      </c>
      <c r="E158" s="11">
        <f t="shared" si="35"/>
        <v>7.6595744680851063E-2</v>
      </c>
      <c r="F158" s="8">
        <f t="shared" ref="F158:F160" si="42">C158/AVERAGE(C$157:C$161)</f>
        <v>0.43502406516105147</v>
      </c>
      <c r="H158" s="9">
        <f>AVERAGE(C$157:C$161)</f>
        <v>108040</v>
      </c>
      <c r="I158" s="11">
        <f t="shared" si="34"/>
        <v>3.3320992225101813E-2</v>
      </c>
      <c r="J158" s="11">
        <f>SUM(I$157:I$161)</f>
        <v>0.91077378748611626</v>
      </c>
      <c r="K158" s="8">
        <f t="shared" si="36"/>
        <v>0.18215475749722326</v>
      </c>
    </row>
    <row r="159" spans="1:11" x14ac:dyDescent="0.2">
      <c r="A159">
        <v>2010</v>
      </c>
      <c r="B159" t="s">
        <v>6</v>
      </c>
      <c r="C159" s="9">
        <v>75100</v>
      </c>
      <c r="D159" s="9">
        <v>9000</v>
      </c>
      <c r="E159" s="11">
        <f t="shared" si="35"/>
        <v>0.11984021304926765</v>
      </c>
      <c r="F159" s="8">
        <f t="shared" si="42"/>
        <v>0.69511292114031842</v>
      </c>
      <c r="H159" s="9">
        <f>AVERAGE(C$157:C$161)</f>
        <v>108040</v>
      </c>
      <c r="I159" s="11">
        <f t="shared" si="34"/>
        <v>8.3302480562754536E-2</v>
      </c>
      <c r="J159" s="11">
        <f>SUM(I$157:I$161)</f>
        <v>0.91077378748611626</v>
      </c>
      <c r="K159" s="8">
        <f t="shared" si="36"/>
        <v>0.18215475749722326</v>
      </c>
    </row>
    <row r="160" spans="1:11" x14ac:dyDescent="0.2">
      <c r="A160">
        <v>2010</v>
      </c>
      <c r="B160" t="s">
        <v>7</v>
      </c>
      <c r="C160" s="9">
        <v>112600</v>
      </c>
      <c r="D160" s="9">
        <v>17900</v>
      </c>
      <c r="E160" s="11">
        <f t="shared" si="35"/>
        <v>0.15896980461811722</v>
      </c>
      <c r="F160" s="8">
        <f t="shared" si="42"/>
        <v>1.0422065901517956</v>
      </c>
      <c r="H160" s="9">
        <f>AVERAGE(C$157:C$161)</f>
        <v>108040</v>
      </c>
      <c r="I160" s="11">
        <f t="shared" si="34"/>
        <v>0.16567937800814514</v>
      </c>
      <c r="J160" s="11">
        <f>SUM(I$157:I$161)</f>
        <v>0.91077378748611626</v>
      </c>
      <c r="K160" s="8">
        <f t="shared" si="36"/>
        <v>0.18215475749722326</v>
      </c>
    </row>
    <row r="161" spans="1:11" x14ac:dyDescent="0.2">
      <c r="A161">
        <v>2010</v>
      </c>
      <c r="B161" t="s">
        <v>8</v>
      </c>
      <c r="C161" s="9">
        <v>284100</v>
      </c>
      <c r="D161" s="9">
        <v>68000</v>
      </c>
      <c r="E161" s="11">
        <f t="shared" si="35"/>
        <v>0.23935234072509678</v>
      </c>
      <c r="F161" s="8">
        <f>C161/AVERAGE(C$157:C$161)</f>
        <v>2.6295816364309514</v>
      </c>
      <c r="G161">
        <f>SUM(F157:F161)/5</f>
        <v>1</v>
      </c>
      <c r="H161" s="9">
        <f>AVERAGE(C$157:C$161)</f>
        <v>108040</v>
      </c>
      <c r="I161" s="11">
        <f t="shared" si="34"/>
        <v>0.62939651980747868</v>
      </c>
      <c r="J161" s="11">
        <f>SUM(I$157:I$161)</f>
        <v>0.91077378748611626</v>
      </c>
      <c r="K161" s="8">
        <f t="shared" si="36"/>
        <v>0.18215475749722326</v>
      </c>
    </row>
    <row r="162" spans="1:11" x14ac:dyDescent="0.2">
      <c r="A162">
        <v>2011</v>
      </c>
      <c r="B162" t="s">
        <v>4</v>
      </c>
      <c r="C162" s="9">
        <v>21600</v>
      </c>
      <c r="D162" s="9">
        <v>0</v>
      </c>
      <c r="E162" s="11">
        <f t="shared" si="35"/>
        <v>0</v>
      </c>
      <c r="F162" s="8">
        <f>C162/AVERAGE(C$162:C$166)</f>
        <v>0.1989316632897403</v>
      </c>
      <c r="H162" s="9">
        <f>AVERAGE(C$162:C$166)</f>
        <v>108580</v>
      </c>
      <c r="I162" s="11">
        <f t="shared" si="34"/>
        <v>0</v>
      </c>
      <c r="J162" s="11">
        <f>SUM(I$162:I$166)</f>
        <v>0.90071836433965746</v>
      </c>
      <c r="K162" s="8">
        <f t="shared" si="36"/>
        <v>0.18014367286793148</v>
      </c>
    </row>
    <row r="163" spans="1:11" x14ac:dyDescent="0.2">
      <c r="A163">
        <v>2011</v>
      </c>
      <c r="B163" t="s">
        <v>5</v>
      </c>
      <c r="C163" s="9">
        <v>46800</v>
      </c>
      <c r="D163" s="9">
        <v>3700</v>
      </c>
      <c r="E163" s="11">
        <f t="shared" si="35"/>
        <v>7.9059829059829057E-2</v>
      </c>
      <c r="F163" s="8">
        <f t="shared" ref="F163:F165" si="43">C163/AVERAGE(C$162:C$166)</f>
        <v>0.43101860379443729</v>
      </c>
      <c r="H163" s="9">
        <f>AVERAGE(C$162:C$166)</f>
        <v>108580</v>
      </c>
      <c r="I163" s="11">
        <f t="shared" si="34"/>
        <v>3.40762571375944E-2</v>
      </c>
      <c r="J163" s="11">
        <f>SUM(I$162:I$166)</f>
        <v>0.90071836433965746</v>
      </c>
      <c r="K163" s="8">
        <f t="shared" si="36"/>
        <v>0.18014367286793148</v>
      </c>
    </row>
    <row r="164" spans="1:11" x14ac:dyDescent="0.2">
      <c r="A164">
        <v>2011</v>
      </c>
      <c r="B164" t="s">
        <v>6</v>
      </c>
      <c r="C164" s="9">
        <v>74700</v>
      </c>
      <c r="D164" s="9">
        <v>8900</v>
      </c>
      <c r="E164" s="11">
        <f t="shared" si="35"/>
        <v>0.11914323962516733</v>
      </c>
      <c r="F164" s="8">
        <f t="shared" si="43"/>
        <v>0.68797200221035182</v>
      </c>
      <c r="H164" s="9">
        <f>AVERAGE(C$162:C$166)</f>
        <v>108580</v>
      </c>
      <c r="I164" s="11">
        <f t="shared" si="34"/>
        <v>8.1967213114754092E-2</v>
      </c>
      <c r="J164" s="11">
        <f>SUM(I$162:I$166)</f>
        <v>0.90071836433965746</v>
      </c>
      <c r="K164" s="8">
        <f t="shared" si="36"/>
        <v>0.18014367286793148</v>
      </c>
    </row>
    <row r="165" spans="1:11" x14ac:dyDescent="0.2">
      <c r="A165">
        <v>2011</v>
      </c>
      <c r="B165" t="s">
        <v>7</v>
      </c>
      <c r="C165" s="9">
        <v>112600</v>
      </c>
      <c r="D165" s="9">
        <v>17700</v>
      </c>
      <c r="E165" s="11">
        <f t="shared" si="35"/>
        <v>0.15719360568383658</v>
      </c>
      <c r="F165" s="8">
        <f t="shared" si="43"/>
        <v>1.037023392890035</v>
      </c>
      <c r="H165" s="9">
        <f>AVERAGE(C$162:C$166)</f>
        <v>108580</v>
      </c>
      <c r="I165" s="11">
        <f t="shared" si="34"/>
        <v>0.16301344630687051</v>
      </c>
      <c r="J165" s="11">
        <f>SUM(I$162:I$166)</f>
        <v>0.90071836433965746</v>
      </c>
      <c r="K165" s="8">
        <f t="shared" si="36"/>
        <v>0.18014367286793148</v>
      </c>
    </row>
    <row r="166" spans="1:11" x14ac:dyDescent="0.2">
      <c r="A166">
        <v>2011</v>
      </c>
      <c r="B166" t="s">
        <v>8</v>
      </c>
      <c r="C166" s="9">
        <v>287200</v>
      </c>
      <c r="D166" s="9">
        <v>67500</v>
      </c>
      <c r="E166" s="11">
        <f t="shared" si="35"/>
        <v>0.23502785515320335</v>
      </c>
      <c r="F166" s="8">
        <f>C166/AVERAGE(C$162:C$166)</f>
        <v>2.6450543378154356</v>
      </c>
      <c r="G166">
        <f>SUM(F162:F166)/5</f>
        <v>1</v>
      </c>
      <c r="H166" s="9">
        <f>AVERAGE(C$162:C$166)</f>
        <v>108580</v>
      </c>
      <c r="I166" s="11">
        <f t="shared" si="34"/>
        <v>0.62166144778043841</v>
      </c>
      <c r="J166" s="11">
        <f>SUM(I$162:I$166)</f>
        <v>0.90071836433965746</v>
      </c>
      <c r="K166" s="8">
        <f t="shared" si="36"/>
        <v>0.18014367286793148</v>
      </c>
    </row>
    <row r="167" spans="1:11" x14ac:dyDescent="0.2">
      <c r="A167">
        <v>2012</v>
      </c>
      <c r="B167" t="s">
        <v>4</v>
      </c>
      <c r="C167" s="9">
        <v>20900</v>
      </c>
      <c r="D167" s="9">
        <v>100</v>
      </c>
      <c r="E167" s="11">
        <f t="shared" si="35"/>
        <v>4.7846889952153108E-3</v>
      </c>
      <c r="F167" s="8">
        <f>C167/AVERAGE(C$167:C$171)</f>
        <v>0.18472688704260209</v>
      </c>
      <c r="H167" s="9">
        <f>AVERAGE(C$167:C$171)</f>
        <v>113140</v>
      </c>
      <c r="I167" s="11">
        <f t="shared" si="34"/>
        <v>8.8386070355312004E-4</v>
      </c>
      <c r="J167" s="11">
        <f>SUM(I$167:I$171)</f>
        <v>0.92893759943432919</v>
      </c>
      <c r="K167" s="8">
        <f t="shared" si="36"/>
        <v>0.18578751988686584</v>
      </c>
    </row>
    <row r="168" spans="1:11" x14ac:dyDescent="0.2">
      <c r="A168">
        <v>2012</v>
      </c>
      <c r="B168" t="s">
        <v>5</v>
      </c>
      <c r="C168" s="9">
        <v>46500</v>
      </c>
      <c r="D168" s="9">
        <v>3600</v>
      </c>
      <c r="E168" s="11">
        <f t="shared" si="35"/>
        <v>7.7419354838709681E-2</v>
      </c>
      <c r="F168" s="8">
        <f t="shared" ref="F168" si="44">C168/AVERAGE(C$167:C$171)</f>
        <v>0.41099522715220083</v>
      </c>
      <c r="H168" s="9">
        <f>AVERAGE(C$167:C$171)</f>
        <v>113140</v>
      </c>
      <c r="I168" s="11">
        <f t="shared" si="34"/>
        <v>3.1818985327912323E-2</v>
      </c>
      <c r="J168" s="11">
        <f>SUM(I$167:I$171)</f>
        <v>0.92893759943432919</v>
      </c>
      <c r="K168" s="8">
        <f t="shared" si="36"/>
        <v>0.18578751988686584</v>
      </c>
    </row>
    <row r="169" spans="1:11" x14ac:dyDescent="0.2">
      <c r="A169">
        <v>2012</v>
      </c>
      <c r="B169" t="s">
        <v>6</v>
      </c>
      <c r="C169" s="9">
        <v>74800</v>
      </c>
      <c r="D169" s="9">
        <v>9100</v>
      </c>
      <c r="E169" s="11">
        <f t="shared" si="35"/>
        <v>0.12165775401069519</v>
      </c>
      <c r="F169" s="8">
        <f>C169/AVERAGE(C$167:C$171)</f>
        <v>0.66112780625773382</v>
      </c>
      <c r="H169" s="9">
        <f>AVERAGE(C$167:C$171)</f>
        <v>113140</v>
      </c>
      <c r="I169" s="11">
        <f t="shared" si="34"/>
        <v>8.0431324023333917E-2</v>
      </c>
      <c r="J169" s="11">
        <f>SUM(I$167:I$171)</f>
        <v>0.92893759943432919</v>
      </c>
      <c r="K169" s="8">
        <f t="shared" si="36"/>
        <v>0.18578751988686584</v>
      </c>
    </row>
    <row r="170" spans="1:11" x14ac:dyDescent="0.2">
      <c r="A170">
        <v>2012</v>
      </c>
      <c r="B170" t="s">
        <v>7</v>
      </c>
      <c r="C170" s="9">
        <v>113200</v>
      </c>
      <c r="D170" s="9">
        <v>18100</v>
      </c>
      <c r="E170" s="11">
        <f t="shared" si="35"/>
        <v>0.15989399293286219</v>
      </c>
      <c r="F170" s="8">
        <f>C170/AVERAGE(C$167:C$171)</f>
        <v>1.000530316422132</v>
      </c>
      <c r="H170" s="9">
        <f>AVERAGE(C$167:C$171)</f>
        <v>113140</v>
      </c>
      <c r="I170" s="11">
        <f t="shared" si="34"/>
        <v>0.15997878734311471</v>
      </c>
      <c r="J170" s="11">
        <f>SUM(I$167:I$171)</f>
        <v>0.92893759943432919</v>
      </c>
      <c r="K170" s="8">
        <f t="shared" si="36"/>
        <v>0.18578751988686584</v>
      </c>
    </row>
    <row r="171" spans="1:11" x14ac:dyDescent="0.2">
      <c r="A171">
        <v>2012</v>
      </c>
      <c r="B171" t="s">
        <v>8</v>
      </c>
      <c r="C171" s="9">
        <v>310300</v>
      </c>
      <c r="D171" s="9">
        <v>74200</v>
      </c>
      <c r="E171" s="11">
        <f t="shared" si="35"/>
        <v>0.23912342893973573</v>
      </c>
      <c r="F171" s="8">
        <f>C171/AVERAGE(C$167:C$171)</f>
        <v>2.7426197631253313</v>
      </c>
      <c r="G171">
        <f t="shared" ref="G171:G211" si="45">SUM(F167:F171)/5</f>
        <v>1</v>
      </c>
      <c r="H171" s="9">
        <f>AVERAGE(C$167:C$171)</f>
        <v>113140</v>
      </c>
      <c r="I171" s="11">
        <f t="shared" si="34"/>
        <v>0.65582464203641511</v>
      </c>
      <c r="J171" s="11">
        <f>SUM(I$167:I$171)</f>
        <v>0.92893759943432919</v>
      </c>
      <c r="K171" s="8">
        <f t="shared" si="36"/>
        <v>0.18578751988686584</v>
      </c>
    </row>
    <row r="172" spans="1:11" x14ac:dyDescent="0.2">
      <c r="A172">
        <v>2013</v>
      </c>
      <c r="B172" t="s">
        <v>4</v>
      </c>
      <c r="C172" s="9">
        <v>21500</v>
      </c>
      <c r="D172" s="9">
        <v>400</v>
      </c>
      <c r="E172" s="11">
        <f t="shared" si="35"/>
        <v>1.8604651162790697E-2</v>
      </c>
      <c r="F172" s="8">
        <f>C172/AVERAGE(C$172:C$176)</f>
        <v>0.19182726623840113</v>
      </c>
      <c r="H172" s="9">
        <f>AVERAGE(C$172:C$176)</f>
        <v>112080</v>
      </c>
      <c r="I172" s="11">
        <f t="shared" si="34"/>
        <v>3.5688793718772305E-3</v>
      </c>
      <c r="J172" s="11">
        <f>SUM(I$172:I$176)</f>
        <v>1.0162384011420413</v>
      </c>
      <c r="K172" s="8">
        <f t="shared" si="36"/>
        <v>0.20324768022840828</v>
      </c>
    </row>
    <row r="173" spans="1:11" x14ac:dyDescent="0.2">
      <c r="A173">
        <v>2013</v>
      </c>
      <c r="B173" t="s">
        <v>5</v>
      </c>
      <c r="C173" s="9">
        <v>47500</v>
      </c>
      <c r="D173" s="9">
        <v>4400</v>
      </c>
      <c r="E173" s="11">
        <f t="shared" si="35"/>
        <v>9.2631578947368426E-2</v>
      </c>
      <c r="F173" s="8">
        <f t="shared" ref="F173:F176" si="46">C173/AVERAGE(C$172:C$176)</f>
        <v>0.42380442541042113</v>
      </c>
      <c r="H173" s="9">
        <f>AVERAGE(C$172:C$176)</f>
        <v>112080</v>
      </c>
      <c r="I173" s="11">
        <f t="shared" si="34"/>
        <v>3.9257673090649536E-2</v>
      </c>
      <c r="J173" s="11">
        <f>SUM(I$172:I$176)</f>
        <v>1.0162384011420413</v>
      </c>
      <c r="K173" s="8">
        <f t="shared" si="36"/>
        <v>0.20324768022840828</v>
      </c>
    </row>
    <row r="174" spans="1:11" x14ac:dyDescent="0.2">
      <c r="A174">
        <v>2013</v>
      </c>
      <c r="B174" t="s">
        <v>6</v>
      </c>
      <c r="C174" s="9">
        <v>76000</v>
      </c>
      <c r="D174" s="9">
        <v>10300</v>
      </c>
      <c r="E174" s="11">
        <f t="shared" si="35"/>
        <v>0.13552631578947369</v>
      </c>
      <c r="F174" s="8">
        <f t="shared" si="46"/>
        <v>0.67808708065667378</v>
      </c>
      <c r="H174" s="9">
        <f>AVERAGE(C$172:C$176)</f>
        <v>112080</v>
      </c>
      <c r="I174" s="11">
        <f t="shared" si="34"/>
        <v>9.1898643825838691E-2</v>
      </c>
      <c r="J174" s="11">
        <f>SUM(I$172:I$176)</f>
        <v>1.0162384011420413</v>
      </c>
      <c r="K174" s="8">
        <f t="shared" si="36"/>
        <v>0.20324768022840828</v>
      </c>
    </row>
    <row r="175" spans="1:11" x14ac:dyDescent="0.2">
      <c r="A175">
        <v>2013</v>
      </c>
      <c r="B175" t="s">
        <v>7</v>
      </c>
      <c r="C175" s="9">
        <v>116000</v>
      </c>
      <c r="D175" s="9">
        <v>20200</v>
      </c>
      <c r="E175" s="11">
        <f t="shared" si="35"/>
        <v>0.17413793103448275</v>
      </c>
      <c r="F175" s="8">
        <f t="shared" si="46"/>
        <v>1.0349750178443968</v>
      </c>
      <c r="H175" s="9">
        <f>AVERAGE(C$172:C$176)</f>
        <v>112080</v>
      </c>
      <c r="I175" s="11">
        <f t="shared" si="34"/>
        <v>0.18022840827980013</v>
      </c>
      <c r="J175" s="11">
        <f>SUM(I$172:I$176)</f>
        <v>1.0162384011420413</v>
      </c>
      <c r="K175" s="8">
        <f t="shared" si="36"/>
        <v>0.20324768022840828</v>
      </c>
    </row>
    <row r="176" spans="1:11" x14ac:dyDescent="0.2">
      <c r="A176">
        <v>2013</v>
      </c>
      <c r="B176" t="s">
        <v>8</v>
      </c>
      <c r="C176" s="9">
        <v>299400</v>
      </c>
      <c r="D176" s="9">
        <v>78600</v>
      </c>
      <c r="E176" s="11">
        <f t="shared" si="35"/>
        <v>0.26252505010020039</v>
      </c>
      <c r="F176" s="8">
        <f t="shared" si="46"/>
        <v>2.671306209850107</v>
      </c>
      <c r="G176">
        <f t="shared" si="45"/>
        <v>1</v>
      </c>
      <c r="H176" s="9">
        <f>AVERAGE(C$172:C$176)</f>
        <v>112080</v>
      </c>
      <c r="I176" s="11">
        <f t="shared" si="34"/>
        <v>0.70128479657387577</v>
      </c>
      <c r="J176" s="11">
        <f>SUM(I$172:I$176)</f>
        <v>1.0162384011420413</v>
      </c>
      <c r="K176" s="8">
        <f t="shared" si="36"/>
        <v>0.20324768022840828</v>
      </c>
    </row>
    <row r="177" spans="1:11" x14ac:dyDescent="0.2">
      <c r="A177">
        <v>2014</v>
      </c>
      <c r="B177" t="s">
        <v>4</v>
      </c>
      <c r="C177" s="9">
        <v>20900</v>
      </c>
      <c r="D177" s="9">
        <v>300</v>
      </c>
      <c r="E177" s="11">
        <f t="shared" si="35"/>
        <v>1.4354066985645933E-2</v>
      </c>
      <c r="F177" s="8">
        <f>C177/AVERAGE(C$177:C$181)</f>
        <v>0.18014135493880365</v>
      </c>
      <c r="H177" s="9">
        <f>AVERAGE(C$177:C$181)</f>
        <v>116020</v>
      </c>
      <c r="I177" s="11">
        <f t="shared" si="34"/>
        <v>2.5857610756766076E-3</v>
      </c>
      <c r="J177" s="11">
        <f>SUM(I$177:I$181)</f>
        <v>1.0420617134976728</v>
      </c>
      <c r="K177" s="8">
        <f t="shared" si="36"/>
        <v>0.20841234269953457</v>
      </c>
    </row>
    <row r="178" spans="1:11" x14ac:dyDescent="0.2">
      <c r="A178">
        <v>2014</v>
      </c>
      <c r="B178" t="s">
        <v>5</v>
      </c>
      <c r="C178" s="9">
        <v>47500</v>
      </c>
      <c r="D178" s="9">
        <v>4400</v>
      </c>
      <c r="E178" s="11">
        <f t="shared" si="35"/>
        <v>9.2631578947368426E-2</v>
      </c>
      <c r="F178" s="8">
        <f t="shared" ref="F178:F181" si="47">C178/AVERAGE(C$177:C$181)</f>
        <v>0.40941217031546284</v>
      </c>
      <c r="H178" s="9">
        <f>AVERAGE(C$177:C$181)</f>
        <v>116020</v>
      </c>
      <c r="I178" s="11">
        <f t="shared" si="34"/>
        <v>3.7924495776590246E-2</v>
      </c>
      <c r="J178" s="11">
        <f>SUM(I$177:I$181)</f>
        <v>1.0420617134976728</v>
      </c>
      <c r="K178" s="8">
        <f t="shared" si="36"/>
        <v>0.20841234269953457</v>
      </c>
    </row>
    <row r="179" spans="1:11" x14ac:dyDescent="0.2">
      <c r="A179">
        <v>2014</v>
      </c>
      <c r="B179" t="s">
        <v>6</v>
      </c>
      <c r="C179" s="9">
        <v>77500</v>
      </c>
      <c r="D179" s="9">
        <v>10800</v>
      </c>
      <c r="E179" s="11">
        <f t="shared" si="35"/>
        <v>0.13935483870967741</v>
      </c>
      <c r="F179" s="8">
        <f t="shared" si="47"/>
        <v>0.66798827788312365</v>
      </c>
      <c r="H179" s="9">
        <f>AVERAGE(C$177:C$181)</f>
        <v>116020</v>
      </c>
      <c r="I179" s="11">
        <f t="shared" si="34"/>
        <v>9.3087398724357867E-2</v>
      </c>
      <c r="J179" s="11">
        <f>SUM(I$177:I$181)</f>
        <v>1.0420617134976728</v>
      </c>
      <c r="K179" s="8">
        <f t="shared" si="36"/>
        <v>0.20841234269953457</v>
      </c>
    </row>
    <row r="180" spans="1:11" x14ac:dyDescent="0.2">
      <c r="A180">
        <v>2014</v>
      </c>
      <c r="B180" t="s">
        <v>7</v>
      </c>
      <c r="C180" s="9">
        <v>117800</v>
      </c>
      <c r="D180" s="9">
        <v>21000</v>
      </c>
      <c r="E180" s="11">
        <f t="shared" si="35"/>
        <v>0.17826825127334464</v>
      </c>
      <c r="F180" s="8">
        <f t="shared" si="47"/>
        <v>1.0153421823823479</v>
      </c>
      <c r="H180" s="9">
        <f>AVERAGE(C$177:C$181)</f>
        <v>116020</v>
      </c>
      <c r="I180" s="11">
        <f t="shared" si="34"/>
        <v>0.18100327529736251</v>
      </c>
      <c r="J180" s="11">
        <f>SUM(I$177:I$181)</f>
        <v>1.0420617134976728</v>
      </c>
      <c r="K180" s="8">
        <f t="shared" si="36"/>
        <v>0.20841234269953457</v>
      </c>
    </row>
    <row r="181" spans="1:11" x14ac:dyDescent="0.2">
      <c r="A181">
        <v>2014</v>
      </c>
      <c r="B181" t="s">
        <v>8</v>
      </c>
      <c r="C181" s="9">
        <v>316400</v>
      </c>
      <c r="D181" s="9">
        <v>84400</v>
      </c>
      <c r="E181" s="11">
        <f t="shared" si="35"/>
        <v>0.26675094816687739</v>
      </c>
      <c r="F181" s="8">
        <f t="shared" si="47"/>
        <v>2.727116014480262</v>
      </c>
      <c r="G181">
        <f t="shared" si="45"/>
        <v>1</v>
      </c>
      <c r="H181" s="9">
        <f>AVERAGE(C$177:C$181)</f>
        <v>116020</v>
      </c>
      <c r="I181" s="11">
        <f t="shared" si="34"/>
        <v>0.72746078262368552</v>
      </c>
      <c r="J181" s="11">
        <f>SUM(I$177:I$181)</f>
        <v>1.0420617134976728</v>
      </c>
      <c r="K181" s="8">
        <f t="shared" si="36"/>
        <v>0.20841234269953457</v>
      </c>
    </row>
    <row r="182" spans="1:11" x14ac:dyDescent="0.2">
      <c r="A182">
        <v>2015</v>
      </c>
      <c r="B182" t="s">
        <v>4</v>
      </c>
      <c r="C182" s="9">
        <v>22200</v>
      </c>
      <c r="D182" s="9">
        <v>300</v>
      </c>
      <c r="E182" s="11">
        <f t="shared" si="35"/>
        <v>1.3513513513513514E-2</v>
      </c>
      <c r="F182" s="8">
        <f>C182/AVERAGE(C$182:C$186)</f>
        <v>0.18450797872340424</v>
      </c>
      <c r="H182" s="9">
        <f>AVERAGE(C$182:C$186)</f>
        <v>120320</v>
      </c>
      <c r="I182" s="11">
        <f t="shared" si="34"/>
        <v>2.4933510638297874E-3</v>
      </c>
      <c r="J182" s="11">
        <f>SUM(I$182:I$186)</f>
        <v>1.0397273936170213</v>
      </c>
      <c r="K182" s="8">
        <f t="shared" si="36"/>
        <v>0.20794547872340424</v>
      </c>
    </row>
    <row r="183" spans="1:11" x14ac:dyDescent="0.2">
      <c r="A183">
        <v>2015</v>
      </c>
      <c r="B183" t="s">
        <v>5</v>
      </c>
      <c r="C183" s="9">
        <v>49800</v>
      </c>
      <c r="D183" s="9">
        <v>4600</v>
      </c>
      <c r="E183" s="11">
        <f t="shared" si="35"/>
        <v>9.2369477911646583E-2</v>
      </c>
      <c r="F183" s="8">
        <f t="shared" ref="F183:F185" si="48">C183/AVERAGE(C$182:C$186)</f>
        <v>0.41389627659574468</v>
      </c>
      <c r="H183" s="9">
        <f>AVERAGE(C$182:C$186)</f>
        <v>120320</v>
      </c>
      <c r="I183" s="11">
        <f t="shared" si="34"/>
        <v>3.8231382978723402E-2</v>
      </c>
      <c r="J183" s="11">
        <f>SUM(I$182:I$186)</f>
        <v>1.0397273936170213</v>
      </c>
      <c r="K183" s="8">
        <f t="shared" si="36"/>
        <v>0.20794547872340424</v>
      </c>
    </row>
    <row r="184" spans="1:11" x14ac:dyDescent="0.2">
      <c r="A184">
        <v>2015</v>
      </c>
      <c r="B184" t="s">
        <v>6</v>
      </c>
      <c r="C184" s="9">
        <v>80200</v>
      </c>
      <c r="D184" s="9">
        <v>11100</v>
      </c>
      <c r="E184" s="11">
        <f t="shared" si="35"/>
        <v>0.13840399002493767</v>
      </c>
      <c r="F184" s="8">
        <f t="shared" si="48"/>
        <v>0.66655585106382975</v>
      </c>
      <c r="H184" s="9">
        <f>AVERAGE(C$182:C$186)</f>
        <v>120320</v>
      </c>
      <c r="I184" s="11">
        <f t="shared" si="34"/>
        <v>9.2253989361702149E-2</v>
      </c>
      <c r="J184" s="11">
        <f>SUM(I$182:I$186)</f>
        <v>1.0397273936170213</v>
      </c>
      <c r="K184" s="8">
        <f t="shared" si="36"/>
        <v>0.20794547872340424</v>
      </c>
    </row>
    <row r="185" spans="1:11" x14ac:dyDescent="0.2">
      <c r="A185">
        <v>2015</v>
      </c>
      <c r="B185" t="s">
        <v>7</v>
      </c>
      <c r="C185" s="9">
        <v>121700</v>
      </c>
      <c r="D185" s="9">
        <v>21800</v>
      </c>
      <c r="E185" s="11">
        <f t="shared" si="35"/>
        <v>0.17912900575184881</v>
      </c>
      <c r="F185" s="8">
        <f t="shared" si="48"/>
        <v>1.011469414893617</v>
      </c>
      <c r="H185" s="9">
        <f>AVERAGE(C$182:C$186)</f>
        <v>120320</v>
      </c>
      <c r="I185" s="11">
        <f t="shared" si="34"/>
        <v>0.18118351063829788</v>
      </c>
      <c r="J185" s="11">
        <f>SUM(I$182:I$186)</f>
        <v>1.0397273936170213</v>
      </c>
      <c r="K185" s="8">
        <f t="shared" si="36"/>
        <v>0.20794547872340424</v>
      </c>
    </row>
    <row r="186" spans="1:11" x14ac:dyDescent="0.2">
      <c r="A186">
        <v>2015</v>
      </c>
      <c r="B186" t="s">
        <v>8</v>
      </c>
      <c r="C186" s="9">
        <v>327700</v>
      </c>
      <c r="D186" s="9">
        <v>87300</v>
      </c>
      <c r="E186" s="11">
        <f t="shared" si="35"/>
        <v>0.26640219713152274</v>
      </c>
      <c r="F186" s="8">
        <f>C186/AVERAGE(C$182:C$186)</f>
        <v>2.7235704787234041</v>
      </c>
      <c r="G186">
        <f t="shared" si="45"/>
        <v>1</v>
      </c>
      <c r="H186" s="9">
        <f>AVERAGE(C$182:C$186)</f>
        <v>120320</v>
      </c>
      <c r="I186" s="11">
        <f t="shared" si="34"/>
        <v>0.7255651595744681</v>
      </c>
      <c r="J186" s="11">
        <f>SUM(I$182:I$186)</f>
        <v>1.0397273936170213</v>
      </c>
      <c r="K186" s="8">
        <f t="shared" si="36"/>
        <v>0.20794547872340424</v>
      </c>
    </row>
    <row r="187" spans="1:11" x14ac:dyDescent="0.2">
      <c r="A187">
        <v>2016</v>
      </c>
      <c r="B187" t="s">
        <v>4</v>
      </c>
      <c r="C187" s="9">
        <v>22400</v>
      </c>
      <c r="D187" s="9">
        <v>300</v>
      </c>
      <c r="E187" s="11">
        <f t="shared" si="35"/>
        <v>1.3392857142857142E-2</v>
      </c>
      <c r="F187" s="8">
        <f>C187/AVERAGE(C$187:C$191)</f>
        <v>0.18682235195996663</v>
      </c>
      <c r="H187" s="9">
        <f>AVERAGE(C$187:C$191)</f>
        <v>119900</v>
      </c>
      <c r="I187" s="11">
        <f t="shared" si="34"/>
        <v>2.5020850708924102E-3</v>
      </c>
      <c r="J187" s="11">
        <f>SUM(I$187:I$191)</f>
        <v>1.0300250208507089</v>
      </c>
      <c r="K187" s="8">
        <f t="shared" si="36"/>
        <v>0.20600500417014178</v>
      </c>
    </row>
    <row r="188" spans="1:11" x14ac:dyDescent="0.2">
      <c r="A188">
        <v>2016</v>
      </c>
      <c r="B188" t="s">
        <v>5</v>
      </c>
      <c r="C188" s="9">
        <v>50400</v>
      </c>
      <c r="D188" s="9">
        <v>4700</v>
      </c>
      <c r="E188" s="11">
        <f t="shared" si="35"/>
        <v>9.3253968253968256E-2</v>
      </c>
      <c r="F188" s="8">
        <f t="shared" ref="F188:F191" si="49">C188/AVERAGE(C$187:C$191)</f>
        <v>0.42035029190992496</v>
      </c>
      <c r="H188" s="9">
        <f>AVERAGE(C$187:C$191)</f>
        <v>119900</v>
      </c>
      <c r="I188" s="11">
        <f t="shared" si="34"/>
        <v>3.9199332777314431E-2</v>
      </c>
      <c r="J188" s="11">
        <f>SUM(I$187:I$191)</f>
        <v>1.0300250208507089</v>
      </c>
      <c r="K188" s="8">
        <f t="shared" si="36"/>
        <v>0.20600500417014178</v>
      </c>
    </row>
    <row r="189" spans="1:11" x14ac:dyDescent="0.2">
      <c r="A189">
        <v>2016</v>
      </c>
      <c r="B189" t="s">
        <v>6</v>
      </c>
      <c r="C189" s="9">
        <v>80800</v>
      </c>
      <c r="D189" s="9">
        <v>11200</v>
      </c>
      <c r="E189" s="11">
        <f t="shared" si="35"/>
        <v>0.13861386138613863</v>
      </c>
      <c r="F189" s="8">
        <f t="shared" si="49"/>
        <v>0.67389491242702249</v>
      </c>
      <c r="H189" s="9">
        <f>AVERAGE(C$187:C$191)</f>
        <v>119900</v>
      </c>
      <c r="I189" s="11">
        <f t="shared" si="34"/>
        <v>9.341117597998333E-2</v>
      </c>
      <c r="J189" s="11">
        <f>SUM(I$187:I$191)</f>
        <v>1.0300250208507089</v>
      </c>
      <c r="K189" s="8">
        <f t="shared" si="36"/>
        <v>0.20600500417014178</v>
      </c>
    </row>
    <row r="190" spans="1:11" x14ac:dyDescent="0.2">
      <c r="A190">
        <v>2016</v>
      </c>
      <c r="B190" t="s">
        <v>7</v>
      </c>
      <c r="C190" s="9">
        <v>122200</v>
      </c>
      <c r="D190" s="9">
        <v>21800</v>
      </c>
      <c r="E190" s="11">
        <f t="shared" si="35"/>
        <v>0.17839607201309329</v>
      </c>
      <c r="F190" s="8">
        <f t="shared" si="49"/>
        <v>1.0191826522101752</v>
      </c>
      <c r="H190" s="9">
        <f>AVERAGE(C$187:C$191)</f>
        <v>119900</v>
      </c>
      <c r="I190" s="11">
        <f t="shared" si="34"/>
        <v>0.18181818181818182</v>
      </c>
      <c r="J190" s="11">
        <f>SUM(I$187:I$191)</f>
        <v>1.0300250208507089</v>
      </c>
      <c r="K190" s="8">
        <f t="shared" si="36"/>
        <v>0.20600500417014178</v>
      </c>
    </row>
    <row r="191" spans="1:11" x14ac:dyDescent="0.2">
      <c r="A191">
        <v>2016</v>
      </c>
      <c r="B191" t="s">
        <v>8</v>
      </c>
      <c r="C191" s="9">
        <v>323700</v>
      </c>
      <c r="D191" s="9">
        <v>85500</v>
      </c>
      <c r="E191" s="11">
        <f t="shared" si="35"/>
        <v>0.26413345690454126</v>
      </c>
      <c r="F191" s="8">
        <f t="shared" si="49"/>
        <v>2.6997497914929109</v>
      </c>
      <c r="G191">
        <f t="shared" si="45"/>
        <v>1</v>
      </c>
      <c r="H191" s="9">
        <f>AVERAGE(C$187:C$191)</f>
        <v>119900</v>
      </c>
      <c r="I191" s="11">
        <f t="shared" si="34"/>
        <v>0.71309424520433695</v>
      </c>
      <c r="J191" s="11">
        <f>SUM(I$187:I$191)</f>
        <v>1.0300250208507089</v>
      </c>
      <c r="K191" s="8">
        <f t="shared" si="36"/>
        <v>0.20600500417014178</v>
      </c>
    </row>
    <row r="192" spans="1:11" x14ac:dyDescent="0.2">
      <c r="A192">
        <v>2017</v>
      </c>
      <c r="B192" t="s">
        <v>4</v>
      </c>
      <c r="C192" s="9">
        <v>22700</v>
      </c>
      <c r="D192" s="9">
        <v>200</v>
      </c>
      <c r="E192" s="11">
        <f t="shared" si="35"/>
        <v>8.8105726872246704E-3</v>
      </c>
      <c r="F192" s="8">
        <f>C192/AVERAGE(C$192:C$196)</f>
        <v>0.18371641307866624</v>
      </c>
      <c r="H192" s="9">
        <f>AVERAGE(C$192:C$196)</f>
        <v>123560</v>
      </c>
      <c r="I192" s="11">
        <f t="shared" si="34"/>
        <v>1.618646811265782E-3</v>
      </c>
      <c r="J192" s="11">
        <f>SUM(I$192:I$196)</f>
        <v>1.0181288442861767</v>
      </c>
      <c r="K192" s="8">
        <f t="shared" si="36"/>
        <v>0.20362576885723532</v>
      </c>
    </row>
    <row r="193" spans="1:11" x14ac:dyDescent="0.2">
      <c r="A193">
        <v>2017</v>
      </c>
      <c r="B193" t="s">
        <v>5</v>
      </c>
      <c r="C193" s="9">
        <v>51100</v>
      </c>
      <c r="D193" s="9">
        <v>4700</v>
      </c>
      <c r="E193" s="11">
        <f t="shared" si="35"/>
        <v>9.1976516634050876E-2</v>
      </c>
      <c r="F193" s="8">
        <f t="shared" ref="F193:F196" si="50">C193/AVERAGE(C$192:C$196)</f>
        <v>0.41356426027840726</v>
      </c>
      <c r="H193" s="9">
        <f>AVERAGE(C$192:C$196)</f>
        <v>123560</v>
      </c>
      <c r="I193" s="11">
        <f t="shared" si="34"/>
        <v>3.803820006474587E-2</v>
      </c>
      <c r="J193" s="11">
        <f>SUM(I$192:I$196)</f>
        <v>1.0181288442861767</v>
      </c>
      <c r="K193" s="8">
        <f t="shared" si="36"/>
        <v>0.20362576885723532</v>
      </c>
    </row>
    <row r="194" spans="1:11" x14ac:dyDescent="0.2">
      <c r="A194">
        <v>2017</v>
      </c>
      <c r="B194" t="s">
        <v>6</v>
      </c>
      <c r="C194" s="9">
        <v>82100</v>
      </c>
      <c r="D194" s="9">
        <v>11300</v>
      </c>
      <c r="E194" s="11">
        <f t="shared" si="35"/>
        <v>0.13763702801461633</v>
      </c>
      <c r="F194" s="8">
        <f t="shared" si="50"/>
        <v>0.66445451602460348</v>
      </c>
      <c r="H194" s="9">
        <f>AVERAGE(C$192:C$196)</f>
        <v>123560</v>
      </c>
      <c r="I194" s="11">
        <f t="shared" ref="I194:I216" si="51">(C194*E194)/H194</f>
        <v>9.1453544836516673E-2</v>
      </c>
      <c r="J194" s="11">
        <f>SUM(I$192:I$196)</f>
        <v>1.0181288442861767</v>
      </c>
      <c r="K194" s="8">
        <f t="shared" si="36"/>
        <v>0.20362576885723532</v>
      </c>
    </row>
    <row r="195" spans="1:11" x14ac:dyDescent="0.2">
      <c r="A195">
        <v>2017</v>
      </c>
      <c r="B195" t="s">
        <v>7</v>
      </c>
      <c r="C195" s="9">
        <v>124400</v>
      </c>
      <c r="D195" s="9">
        <v>22100</v>
      </c>
      <c r="E195" s="11">
        <f t="shared" ref="E195:E216" si="52">D195/C195</f>
        <v>0.17765273311897106</v>
      </c>
      <c r="F195" s="8">
        <f t="shared" si="50"/>
        <v>1.0067983166073162</v>
      </c>
      <c r="H195" s="9">
        <f>AVERAGE(C$192:C$196)</f>
        <v>123560</v>
      </c>
      <c r="I195" s="11">
        <f t="shared" si="51"/>
        <v>0.1788604726448689</v>
      </c>
      <c r="J195" s="11">
        <f>SUM(I$192:I$196)</f>
        <v>1.0181288442861767</v>
      </c>
      <c r="K195" s="8">
        <f t="shared" ref="K195:K216" si="53">J195/5</f>
        <v>0.20362576885723532</v>
      </c>
    </row>
    <row r="196" spans="1:11" x14ac:dyDescent="0.2">
      <c r="A196">
        <v>2017</v>
      </c>
      <c r="B196" t="s">
        <v>8</v>
      </c>
      <c r="C196" s="9">
        <v>337500</v>
      </c>
      <c r="D196" s="9">
        <v>87500</v>
      </c>
      <c r="E196" s="11">
        <f t="shared" si="52"/>
        <v>0.25925925925925924</v>
      </c>
      <c r="F196" s="8">
        <f t="shared" si="50"/>
        <v>2.7314664940110069</v>
      </c>
      <c r="G196">
        <f t="shared" si="45"/>
        <v>1</v>
      </c>
      <c r="H196" s="9">
        <f>AVERAGE(C$192:C$196)</f>
        <v>123560</v>
      </c>
      <c r="I196" s="11">
        <f t="shared" si="51"/>
        <v>0.70815797992877949</v>
      </c>
      <c r="J196" s="11">
        <f>SUM(I$192:I$196)</f>
        <v>1.0181288442861767</v>
      </c>
      <c r="K196" s="8">
        <f t="shared" si="53"/>
        <v>0.20362576885723532</v>
      </c>
    </row>
    <row r="197" spans="1:11" x14ac:dyDescent="0.2">
      <c r="A197">
        <v>2018</v>
      </c>
      <c r="B197" t="s">
        <v>4</v>
      </c>
      <c r="C197" s="9">
        <v>23300</v>
      </c>
      <c r="D197" s="9">
        <v>-100</v>
      </c>
      <c r="E197" s="11">
        <f>D197/C197</f>
        <v>-4.2918454935622317E-3</v>
      </c>
      <c r="F197" s="8">
        <f>C197/AVERAGE(C$197:C$201)</f>
        <v>0.18506751389992057</v>
      </c>
      <c r="H197" s="9">
        <f>AVERAGE(C$197:C$201)</f>
        <v>125900</v>
      </c>
      <c r="I197" s="11">
        <f t="shared" si="51"/>
        <v>-7.9428117553613975E-4</v>
      </c>
      <c r="J197" s="11">
        <f>SUM(I$197:I$201)</f>
        <v>0.9555202541699761</v>
      </c>
      <c r="K197" s="8">
        <f t="shared" si="53"/>
        <v>0.19110405083399523</v>
      </c>
    </row>
    <row r="198" spans="1:11" x14ac:dyDescent="0.2">
      <c r="A198">
        <v>2018</v>
      </c>
      <c r="B198" t="s">
        <v>5</v>
      </c>
      <c r="C198" s="9">
        <v>52300</v>
      </c>
      <c r="D198" s="9">
        <v>4300</v>
      </c>
      <c r="E198" s="11">
        <f>D198/C198</f>
        <v>8.2217973231357558E-2</v>
      </c>
      <c r="F198" s="8">
        <f>C198/AVERAGE(C$197:C$201)</f>
        <v>0.41540905480540113</v>
      </c>
      <c r="H198" s="9">
        <f t="shared" ref="H198:H201" si="54">AVERAGE(C$197:C$201)</f>
        <v>125900</v>
      </c>
      <c r="I198" s="11">
        <f t="shared" si="51"/>
        <v>3.415409054805401E-2</v>
      </c>
      <c r="J198" s="11">
        <f>SUM(I$197:I$201)</f>
        <v>0.9555202541699761</v>
      </c>
      <c r="K198" s="8">
        <f t="shared" si="53"/>
        <v>0.19110405083399523</v>
      </c>
    </row>
    <row r="199" spans="1:11" x14ac:dyDescent="0.2">
      <c r="A199">
        <v>2018</v>
      </c>
      <c r="B199" t="s">
        <v>6</v>
      </c>
      <c r="C199" s="9">
        <v>83100</v>
      </c>
      <c r="D199" s="9">
        <v>10600</v>
      </c>
      <c r="E199" s="11">
        <f t="shared" si="52"/>
        <v>0.12755716004813478</v>
      </c>
      <c r="F199" s="8">
        <f>C199/AVERAGE(C$197:C$201)</f>
        <v>0.66004765687053213</v>
      </c>
      <c r="H199" s="9">
        <f t="shared" si="54"/>
        <v>125900</v>
      </c>
      <c r="I199" s="11">
        <f t="shared" si="51"/>
        <v>8.4193804606830819E-2</v>
      </c>
      <c r="J199" s="11">
        <f>SUM(I$197:I$201)</f>
        <v>0.9555202541699761</v>
      </c>
      <c r="K199" s="8">
        <f t="shared" si="53"/>
        <v>0.19110405083399523</v>
      </c>
    </row>
    <row r="200" spans="1:11" x14ac:dyDescent="0.2">
      <c r="A200">
        <v>2018</v>
      </c>
      <c r="B200" t="s">
        <v>7</v>
      </c>
      <c r="C200" s="9">
        <v>125900</v>
      </c>
      <c r="D200" s="9">
        <v>21100</v>
      </c>
      <c r="E200" s="11">
        <f t="shared" si="52"/>
        <v>0.16759332803812549</v>
      </c>
      <c r="F200" s="8">
        <f>C200/AVERAGE(C$197:C$201)</f>
        <v>1</v>
      </c>
      <c r="H200" s="9">
        <f t="shared" si="54"/>
        <v>125900</v>
      </c>
      <c r="I200" s="11">
        <f t="shared" si="51"/>
        <v>0.16759332803812549</v>
      </c>
      <c r="J200" s="11">
        <f>SUM(I$197:I$201)</f>
        <v>0.9555202541699761</v>
      </c>
      <c r="K200" s="8">
        <f t="shared" si="53"/>
        <v>0.19110405083399523</v>
      </c>
    </row>
    <row r="201" spans="1:11" x14ac:dyDescent="0.2">
      <c r="A201">
        <v>2018</v>
      </c>
      <c r="B201" t="s">
        <v>8</v>
      </c>
      <c r="C201" s="9">
        <v>344900</v>
      </c>
      <c r="D201" s="9">
        <v>84400</v>
      </c>
      <c r="E201" s="11">
        <f t="shared" si="52"/>
        <v>0.24470861119164974</v>
      </c>
      <c r="F201" s="8">
        <f>C201/AVERAGE(C$197:C$201)</f>
        <v>2.7394757744241462</v>
      </c>
      <c r="G201">
        <f t="shared" si="45"/>
        <v>1</v>
      </c>
      <c r="H201" s="9">
        <f t="shared" si="54"/>
        <v>125900</v>
      </c>
      <c r="I201" s="11">
        <f t="shared" si="51"/>
        <v>0.67037331215250195</v>
      </c>
      <c r="J201" s="11">
        <f>SUM(I$197:I$201)</f>
        <v>0.9555202541699761</v>
      </c>
      <c r="K201" s="8">
        <f t="shared" si="53"/>
        <v>0.19110405083399523</v>
      </c>
    </row>
    <row r="202" spans="1:11" x14ac:dyDescent="0.2">
      <c r="A202">
        <v>2019</v>
      </c>
      <c r="B202" t="s">
        <v>4</v>
      </c>
      <c r="C202" s="9">
        <v>25200</v>
      </c>
      <c r="D202" s="9">
        <v>200</v>
      </c>
      <c r="E202" s="11">
        <f t="shared" si="52"/>
        <v>7.9365079365079361E-3</v>
      </c>
      <c r="F202" s="8">
        <f>C202/AVERAGE(C$202:C$206)</f>
        <v>0.19405513630063145</v>
      </c>
      <c r="H202" s="9">
        <f>AVERAGE(C$202:C$206)</f>
        <v>129860</v>
      </c>
      <c r="I202" s="11">
        <f t="shared" si="51"/>
        <v>1.5401201293700909E-3</v>
      </c>
      <c r="J202" s="11">
        <f>SUM(I$202:I$206)</f>
        <v>0.95333436008008632</v>
      </c>
      <c r="K202" s="8">
        <f t="shared" si="53"/>
        <v>0.19066687201601726</v>
      </c>
    </row>
    <row r="203" spans="1:11" x14ac:dyDescent="0.2">
      <c r="A203">
        <v>2019</v>
      </c>
      <c r="B203" t="s">
        <v>5</v>
      </c>
      <c r="C203" s="9">
        <v>55600</v>
      </c>
      <c r="D203" s="9">
        <v>5000</v>
      </c>
      <c r="E203" s="11">
        <f t="shared" si="52"/>
        <v>8.9928057553956831E-2</v>
      </c>
      <c r="F203" s="8">
        <f t="shared" ref="F203:F206" si="55">C203/AVERAGE(C$202:C$206)</f>
        <v>0.42815339596488527</v>
      </c>
      <c r="H203" s="9">
        <f t="shared" ref="H203:H206" si="56">AVERAGE(C$202:C$206)</f>
        <v>129860</v>
      </c>
      <c r="I203" s="11">
        <f t="shared" si="51"/>
        <v>3.8503003234252271E-2</v>
      </c>
      <c r="J203" s="11">
        <f>SUM(I$202:I$206)</f>
        <v>0.95333436008008632</v>
      </c>
      <c r="K203" s="8">
        <f t="shared" si="53"/>
        <v>0.19066687201601726</v>
      </c>
    </row>
    <row r="204" spans="1:11" x14ac:dyDescent="0.2">
      <c r="A204">
        <v>2019</v>
      </c>
      <c r="B204" t="s">
        <v>6</v>
      </c>
      <c r="C204" s="9">
        <v>86600</v>
      </c>
      <c r="D204" s="9">
        <v>11200</v>
      </c>
      <c r="E204" s="11">
        <f t="shared" si="52"/>
        <v>0.12933025404157045</v>
      </c>
      <c r="F204" s="8">
        <f t="shared" si="55"/>
        <v>0.66687201601724932</v>
      </c>
      <c r="H204" s="9">
        <f t="shared" si="56"/>
        <v>129860</v>
      </c>
      <c r="I204" s="11">
        <f t="shared" si="51"/>
        <v>8.6246727244725083E-2</v>
      </c>
      <c r="J204" s="11">
        <f>SUM(I$202:I$206)</f>
        <v>0.95333436008008632</v>
      </c>
      <c r="K204" s="8">
        <f t="shared" si="53"/>
        <v>0.19066687201601726</v>
      </c>
    </row>
    <row r="205" spans="1:11" x14ac:dyDescent="0.2">
      <c r="A205">
        <v>2019</v>
      </c>
      <c r="B205" t="s">
        <v>7</v>
      </c>
      <c r="C205" s="9">
        <v>130400</v>
      </c>
      <c r="D205" s="9">
        <v>21800</v>
      </c>
      <c r="E205" s="11">
        <f t="shared" si="52"/>
        <v>0.16717791411042945</v>
      </c>
      <c r="F205" s="8">
        <f t="shared" si="55"/>
        <v>1.0041583243492993</v>
      </c>
      <c r="H205" s="9">
        <f t="shared" si="56"/>
        <v>129860</v>
      </c>
      <c r="I205" s="11">
        <f t="shared" si="51"/>
        <v>0.16787309410133991</v>
      </c>
      <c r="J205" s="11">
        <f>SUM(I$202:I$206)</f>
        <v>0.95333436008008632</v>
      </c>
      <c r="K205" s="8">
        <f t="shared" si="53"/>
        <v>0.19066687201601726</v>
      </c>
    </row>
    <row r="206" spans="1:11" x14ac:dyDescent="0.2">
      <c r="A206">
        <v>2019</v>
      </c>
      <c r="B206" t="s">
        <v>8</v>
      </c>
      <c r="C206" s="9">
        <v>351500</v>
      </c>
      <c r="D206" s="9">
        <v>85600</v>
      </c>
      <c r="E206" s="11">
        <f t="shared" si="52"/>
        <v>0.24352773826458038</v>
      </c>
      <c r="F206" s="8">
        <f t="shared" si="55"/>
        <v>2.7067611273679346</v>
      </c>
      <c r="G206">
        <f t="shared" si="45"/>
        <v>1</v>
      </c>
      <c r="H206" s="9">
        <f t="shared" si="56"/>
        <v>129860</v>
      </c>
      <c r="I206" s="11">
        <f t="shared" si="51"/>
        <v>0.65917141537039892</v>
      </c>
      <c r="J206" s="11">
        <f>SUM(I$202:I$206)</f>
        <v>0.95333436008008632</v>
      </c>
      <c r="K206" s="8">
        <f t="shared" si="53"/>
        <v>0.19066687201601726</v>
      </c>
    </row>
    <row r="207" spans="1:11" x14ac:dyDescent="0.2">
      <c r="A207">
        <v>2020</v>
      </c>
      <c r="B207" t="s">
        <v>4</v>
      </c>
      <c r="C207" s="9">
        <v>22300</v>
      </c>
      <c r="D207" s="9">
        <v>-3700</v>
      </c>
      <c r="E207" s="11">
        <f t="shared" si="52"/>
        <v>-0.16591928251121077</v>
      </c>
      <c r="F207" s="8">
        <f>C207/AVERAGE(C$207:C$211)</f>
        <v>0.16709126329986512</v>
      </c>
      <c r="H207" s="9">
        <f>AVERAGE(C$207:C$211)</f>
        <v>133460</v>
      </c>
      <c r="I207" s="11">
        <f t="shared" si="51"/>
        <v>-2.7723662520605426E-2</v>
      </c>
      <c r="J207" s="11">
        <f>SUM(I$207:I$211)</f>
        <v>0.83021129926569759</v>
      </c>
      <c r="K207" s="8">
        <f>J207/5</f>
        <v>0.16604225985313953</v>
      </c>
    </row>
    <row r="208" spans="1:11" x14ac:dyDescent="0.2">
      <c r="A208">
        <v>2020</v>
      </c>
      <c r="B208" t="s">
        <v>5</v>
      </c>
      <c r="C208" s="9">
        <v>53500</v>
      </c>
      <c r="D208" s="9">
        <v>500</v>
      </c>
      <c r="E208" s="11">
        <f t="shared" si="52"/>
        <v>9.3457943925233638E-3</v>
      </c>
      <c r="F208" s="8">
        <f t="shared" ref="F208:F210" si="57">C208/AVERAGE(C$207:C$211)</f>
        <v>0.40086917428442981</v>
      </c>
      <c r="H208" s="9">
        <f t="shared" ref="H208:H210" si="58">AVERAGE(C$207:C$211)</f>
        <v>133460</v>
      </c>
      <c r="I208" s="11">
        <f t="shared" si="51"/>
        <v>3.746440881162895E-3</v>
      </c>
      <c r="J208" s="11">
        <f>SUM(I$207:I$211)</f>
        <v>0.83021129926569759</v>
      </c>
      <c r="K208" s="8">
        <f>J208/5</f>
        <v>0.16604225985313953</v>
      </c>
    </row>
    <row r="209" spans="1:11" x14ac:dyDescent="0.2">
      <c r="A209">
        <v>2020</v>
      </c>
      <c r="B209" t="s">
        <v>6</v>
      </c>
      <c r="C209" s="9">
        <v>86300</v>
      </c>
      <c r="D209" s="9">
        <v>6700</v>
      </c>
      <c r="E209" s="11">
        <f t="shared" si="52"/>
        <v>7.7636152954808801E-2</v>
      </c>
      <c r="F209" s="8">
        <f>C209/AVERAGE(C$207:C$211)</f>
        <v>0.64663569608871574</v>
      </c>
      <c r="H209" s="9">
        <f t="shared" si="58"/>
        <v>133460</v>
      </c>
      <c r="I209" s="11">
        <f t="shared" si="51"/>
        <v>5.0202307807582794E-2</v>
      </c>
      <c r="J209" s="11">
        <f>SUM(I$207:I$211)</f>
        <v>0.83021129926569759</v>
      </c>
      <c r="K209" s="8">
        <f>J209/5</f>
        <v>0.16604225985313953</v>
      </c>
    </row>
    <row r="210" spans="1:11" x14ac:dyDescent="0.2">
      <c r="A210">
        <v>2020</v>
      </c>
      <c r="B210" t="s">
        <v>7</v>
      </c>
      <c r="C210" s="9">
        <v>132000</v>
      </c>
      <c r="D210" s="9">
        <v>17700</v>
      </c>
      <c r="E210" s="11">
        <f t="shared" si="52"/>
        <v>0.13409090909090909</v>
      </c>
      <c r="F210" s="8">
        <f t="shared" si="57"/>
        <v>0.98906039262700429</v>
      </c>
      <c r="H210" s="9">
        <f t="shared" si="58"/>
        <v>133460</v>
      </c>
      <c r="I210" s="11">
        <f t="shared" si="51"/>
        <v>0.1326240071931665</v>
      </c>
      <c r="J210" s="11">
        <f>SUM(I$207:I$211)</f>
        <v>0.83021129926569759</v>
      </c>
      <c r="K210" s="8">
        <f>J210/5</f>
        <v>0.16604225985313953</v>
      </c>
    </row>
    <row r="211" spans="1:11" x14ac:dyDescent="0.2">
      <c r="A211">
        <v>2020</v>
      </c>
      <c r="B211" t="s">
        <v>8</v>
      </c>
      <c r="C211" s="9">
        <v>373200</v>
      </c>
      <c r="D211" s="9">
        <v>89600</v>
      </c>
      <c r="E211" s="11">
        <f t="shared" si="52"/>
        <v>0.24008574490889603</v>
      </c>
      <c r="F211" s="8">
        <f>C211/AVERAGE(C$207:C$211)</f>
        <v>2.7963434736999848</v>
      </c>
      <c r="G211">
        <f t="shared" si="45"/>
        <v>1</v>
      </c>
      <c r="H211" s="9">
        <f>AVERAGE(C$207:C$211)</f>
        <v>133460</v>
      </c>
      <c r="I211" s="11">
        <f t="shared" si="51"/>
        <v>0.67136220590439077</v>
      </c>
      <c r="J211" s="11">
        <f>SUM(I$207:I$211)</f>
        <v>0.83021129926569759</v>
      </c>
      <c r="K211" s="8">
        <f t="shared" si="53"/>
        <v>0.16604225985313953</v>
      </c>
    </row>
    <row r="212" spans="1:11" x14ac:dyDescent="0.2">
      <c r="A212">
        <v>2021</v>
      </c>
      <c r="B212" t="s">
        <v>4</v>
      </c>
      <c r="C212" s="9">
        <v>22500</v>
      </c>
      <c r="D212" s="9">
        <v>-5200</v>
      </c>
      <c r="E212" s="11">
        <f t="shared" si="52"/>
        <v>-0.2311111111111111</v>
      </c>
      <c r="F212" s="8">
        <f>C212/AVERAGE(C$212:C$216)</f>
        <v>0.15773976444195176</v>
      </c>
      <c r="H212" s="9">
        <f>AVERAGE(C$212:C$216)</f>
        <v>142640</v>
      </c>
      <c r="I212" s="11">
        <f t="shared" si="51"/>
        <v>-3.645541222658441E-2</v>
      </c>
      <c r="J212" s="11">
        <f>SUM(I$212:I$216)</f>
        <v>0.86721817162086379</v>
      </c>
      <c r="K212" s="8">
        <f t="shared" si="53"/>
        <v>0.17344363432417276</v>
      </c>
    </row>
    <row r="213" spans="1:11" x14ac:dyDescent="0.2">
      <c r="A213">
        <v>2021</v>
      </c>
      <c r="B213" t="s">
        <v>5</v>
      </c>
      <c r="C213" s="9">
        <v>53600</v>
      </c>
      <c r="D213" s="9">
        <v>100</v>
      </c>
      <c r="E213" s="11">
        <f t="shared" si="52"/>
        <v>1.8656716417910447E-3</v>
      </c>
      <c r="F213" s="8">
        <f t="shared" ref="F213:F216" si="59">C213/AVERAGE(C$212:C$216)</f>
        <v>0.37577117218171618</v>
      </c>
      <c r="H213" s="9">
        <f t="shared" ref="H213:H216" si="60">AVERAGE(C$212:C$216)</f>
        <v>142640</v>
      </c>
      <c r="I213" s="11">
        <f t="shared" si="51"/>
        <v>7.0106561974200789E-4</v>
      </c>
      <c r="J213" s="11">
        <f>SUM(I$212:I$216)</f>
        <v>0.86721817162086379</v>
      </c>
      <c r="K213" s="8">
        <f t="shared" si="53"/>
        <v>0.17344363432417276</v>
      </c>
    </row>
    <row r="214" spans="1:11" x14ac:dyDescent="0.2">
      <c r="A214">
        <v>2021</v>
      </c>
      <c r="B214" t="s">
        <v>6</v>
      </c>
      <c r="C214" s="9">
        <v>86500</v>
      </c>
      <c r="D214" s="9">
        <v>6700</v>
      </c>
      <c r="E214" s="11">
        <f t="shared" si="52"/>
        <v>7.7456647398843934E-2</v>
      </c>
      <c r="F214" s="8">
        <f t="shared" si="59"/>
        <v>0.60642176107683676</v>
      </c>
      <c r="H214" s="9">
        <f t="shared" si="60"/>
        <v>142640</v>
      </c>
      <c r="I214" s="11">
        <f t="shared" si="51"/>
        <v>4.6971396522714523E-2</v>
      </c>
      <c r="J214" s="11">
        <f>SUM(I$212:I$216)</f>
        <v>0.86721817162086379</v>
      </c>
      <c r="K214" s="8">
        <f t="shared" si="53"/>
        <v>0.17344363432417276</v>
      </c>
    </row>
    <row r="215" spans="1:11" x14ac:dyDescent="0.2">
      <c r="A215">
        <v>2021</v>
      </c>
      <c r="B215" t="s">
        <v>7</v>
      </c>
      <c r="C215" s="9">
        <v>132500</v>
      </c>
      <c r="D215" s="9">
        <v>18500</v>
      </c>
      <c r="E215" s="11">
        <f t="shared" si="52"/>
        <v>0.13962264150943396</v>
      </c>
      <c r="F215" s="8">
        <f t="shared" si="59"/>
        <v>0.92891194615816042</v>
      </c>
      <c r="H215" s="9">
        <f t="shared" si="60"/>
        <v>142640</v>
      </c>
      <c r="I215" s="11">
        <f t="shared" si="51"/>
        <v>0.12969713965227145</v>
      </c>
      <c r="J215" s="11">
        <f>SUM(I$212:I$216)</f>
        <v>0.86721817162086379</v>
      </c>
      <c r="K215" s="8">
        <f t="shared" si="53"/>
        <v>0.17344363432417276</v>
      </c>
    </row>
    <row r="216" spans="1:11" x14ac:dyDescent="0.2">
      <c r="A216">
        <v>2021</v>
      </c>
      <c r="B216" t="s">
        <v>8</v>
      </c>
      <c r="C216" s="9">
        <v>418100</v>
      </c>
      <c r="D216" s="9">
        <v>103600</v>
      </c>
      <c r="E216" s="11">
        <f t="shared" si="52"/>
        <v>0.24778761061946902</v>
      </c>
      <c r="F216" s="8">
        <f t="shared" si="59"/>
        <v>2.931155356141335</v>
      </c>
      <c r="G216">
        <f>SUM(F212:F216)/5</f>
        <v>1</v>
      </c>
      <c r="H216" s="9">
        <f t="shared" si="60"/>
        <v>142640</v>
      </c>
      <c r="I216" s="11">
        <f t="shared" si="51"/>
        <v>0.72630398205272018</v>
      </c>
      <c r="J216" s="11">
        <f>SUM(I$212:I$216)</f>
        <v>0.86721817162086379</v>
      </c>
      <c r="K216" s="8">
        <f t="shared" si="53"/>
        <v>0.17344363432417276</v>
      </c>
    </row>
    <row r="217" spans="1:11" x14ac:dyDescent="0.2">
      <c r="J217" s="11"/>
    </row>
    <row r="218" spans="1:11" x14ac:dyDescent="0.2">
      <c r="J218" s="11"/>
    </row>
    <row r="219" spans="1:11" x14ac:dyDescent="0.2">
      <c r="J219" s="11"/>
    </row>
    <row r="220" spans="1:11" x14ac:dyDescent="0.2">
      <c r="J220" s="11"/>
    </row>
    <row r="221" spans="1:11" x14ac:dyDescent="0.2">
      <c r="J221" s="11"/>
    </row>
    <row r="222" spans="1:11" x14ac:dyDescent="0.2">
      <c r="J222" s="11"/>
    </row>
    <row r="223" spans="1:11" x14ac:dyDescent="0.2">
      <c r="J223" s="11"/>
    </row>
    <row r="224" spans="1:11" x14ac:dyDescent="0.2">
      <c r="J224" s="11"/>
    </row>
    <row r="225" spans="10:10" x14ac:dyDescent="0.2">
      <c r="J225" s="11"/>
    </row>
    <row r="226" spans="10:10" x14ac:dyDescent="0.2">
      <c r="J226" s="11"/>
    </row>
    <row r="227" spans="10:10" x14ac:dyDescent="0.2">
      <c r="J227" s="11"/>
    </row>
    <row r="228" spans="10:10" x14ac:dyDescent="0.2">
      <c r="J228" s="11"/>
    </row>
    <row r="229" spans="10:10" x14ac:dyDescent="0.2">
      <c r="J229" s="11"/>
    </row>
    <row r="230" spans="10:10" x14ac:dyDescent="0.2">
      <c r="J230" s="11"/>
    </row>
    <row r="231" spans="10:10" x14ac:dyDescent="0.2">
      <c r="J231" s="11"/>
    </row>
    <row r="232" spans="10:10" x14ac:dyDescent="0.2">
      <c r="J232" s="11"/>
    </row>
    <row r="233" spans="10:10" x14ac:dyDescent="0.2">
      <c r="J233" s="11"/>
    </row>
    <row r="234" spans="10:10" x14ac:dyDescent="0.2">
      <c r="J234" s="11"/>
    </row>
    <row r="235" spans="10:10" x14ac:dyDescent="0.2">
      <c r="J235" s="11"/>
    </row>
    <row r="236" spans="10:10" x14ac:dyDescent="0.2">
      <c r="J236" s="11"/>
    </row>
    <row r="237" spans="10:10" x14ac:dyDescent="0.2">
      <c r="J237" s="11"/>
    </row>
    <row r="238" spans="10:10" x14ac:dyDescent="0.2">
      <c r="J238" s="11"/>
    </row>
    <row r="239" spans="10:10" x14ac:dyDescent="0.2">
      <c r="J239" s="11"/>
    </row>
    <row r="240" spans="10:10" x14ac:dyDescent="0.2">
      <c r="J240" s="11"/>
    </row>
    <row r="241" spans="10:10" x14ac:dyDescent="0.2">
      <c r="J241" s="11"/>
    </row>
    <row r="242" spans="10:10" x14ac:dyDescent="0.2">
      <c r="J242" s="11"/>
    </row>
    <row r="243" spans="10:10" x14ac:dyDescent="0.2">
      <c r="J243" s="11"/>
    </row>
    <row r="244" spans="10:10" x14ac:dyDescent="0.2">
      <c r="J244" s="11"/>
    </row>
    <row r="245" spans="10:10" x14ac:dyDescent="0.2">
      <c r="J245" s="11"/>
    </row>
    <row r="246" spans="10:10" x14ac:dyDescent="0.2">
      <c r="J246" s="11"/>
    </row>
    <row r="247" spans="10:10" x14ac:dyDescent="0.2">
      <c r="J247" s="11"/>
    </row>
    <row r="248" spans="10:10" x14ac:dyDescent="0.2">
      <c r="J248" s="11"/>
    </row>
    <row r="249" spans="10:10" x14ac:dyDescent="0.2">
      <c r="J249" s="11"/>
    </row>
    <row r="250" spans="10:10" x14ac:dyDescent="0.2">
      <c r="J250" s="11"/>
    </row>
    <row r="251" spans="10:10" x14ac:dyDescent="0.2">
      <c r="J251" s="11"/>
    </row>
    <row r="252" spans="10:10" x14ac:dyDescent="0.2">
      <c r="J252" s="11"/>
    </row>
    <row r="253" spans="10:10" x14ac:dyDescent="0.2">
      <c r="J253" s="11"/>
    </row>
    <row r="254" spans="10:10" x14ac:dyDescent="0.2">
      <c r="J254" s="11"/>
    </row>
    <row r="255" spans="10:10" x14ac:dyDescent="0.2">
      <c r="J255" s="11"/>
    </row>
    <row r="256" spans="10:10" x14ac:dyDescent="0.2">
      <c r="J256" s="11"/>
    </row>
    <row r="257" spans="10:10" x14ac:dyDescent="0.2">
      <c r="J257" s="11"/>
    </row>
    <row r="258" spans="10:10" x14ac:dyDescent="0.2">
      <c r="J258" s="11"/>
    </row>
    <row r="259" spans="10:10" x14ac:dyDescent="0.2">
      <c r="J259" s="11"/>
    </row>
    <row r="260" spans="10:10" x14ac:dyDescent="0.2">
      <c r="J260" s="11"/>
    </row>
    <row r="261" spans="10:10" x14ac:dyDescent="0.2">
      <c r="J261" s="11"/>
    </row>
    <row r="262" spans="10:10" x14ac:dyDescent="0.2">
      <c r="J262" s="11"/>
    </row>
    <row r="263" spans="10:10" x14ac:dyDescent="0.2">
      <c r="J263" s="11"/>
    </row>
    <row r="264" spans="10:10" x14ac:dyDescent="0.2">
      <c r="J264" s="11"/>
    </row>
    <row r="265" spans="10:10" x14ac:dyDescent="0.2">
      <c r="J265" s="11"/>
    </row>
    <row r="266" spans="10:10" x14ac:dyDescent="0.2">
      <c r="J266" s="11"/>
    </row>
    <row r="267" spans="10:10" x14ac:dyDescent="0.2">
      <c r="J267" s="11"/>
    </row>
    <row r="268" spans="10:10" x14ac:dyDescent="0.2">
      <c r="J268" s="11"/>
    </row>
    <row r="269" spans="10:10" x14ac:dyDescent="0.2">
      <c r="J269" s="11"/>
    </row>
    <row r="270" spans="10:10" x14ac:dyDescent="0.2">
      <c r="J270" s="11"/>
    </row>
    <row r="271" spans="10:10" x14ac:dyDescent="0.2">
      <c r="J27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B88A0-55C6-1A42-B4E5-ED120D9C27B8}">
  <dimension ref="A1:H271"/>
  <sheetViews>
    <sheetView workbookViewId="0">
      <selection activeCell="E219" sqref="E219"/>
    </sheetView>
  </sheetViews>
  <sheetFormatPr baseColWidth="10" defaultRowHeight="16" x14ac:dyDescent="0.2"/>
  <cols>
    <col min="1" max="1" width="17.1640625" customWidth="1"/>
    <col min="2" max="2" width="28.83203125" bestFit="1" customWidth="1"/>
    <col min="3" max="3" width="27.1640625" customWidth="1"/>
    <col min="4" max="4" width="26" customWidth="1"/>
    <col min="5" max="5" width="25.1640625" customWidth="1"/>
    <col min="6" max="6" width="44.33203125" customWidth="1"/>
    <col min="7" max="7" width="21.1640625" bestFit="1" customWidth="1"/>
    <col min="8" max="8" width="24.1640625" style="8" bestFit="1" customWidth="1"/>
  </cols>
  <sheetData>
    <row r="1" spans="1:8" x14ac:dyDescent="0.2">
      <c r="A1" t="s">
        <v>14</v>
      </c>
      <c r="B1" t="s">
        <v>17</v>
      </c>
      <c r="C1" s="12" t="s">
        <v>18</v>
      </c>
      <c r="D1" t="s">
        <v>15</v>
      </c>
      <c r="E1" t="s">
        <v>16</v>
      </c>
      <c r="F1" t="s">
        <v>19</v>
      </c>
      <c r="G1" t="s">
        <v>33</v>
      </c>
      <c r="H1" s="8" t="s">
        <v>34</v>
      </c>
    </row>
    <row r="2" spans="1:8" x14ac:dyDescent="0.2">
      <c r="A2">
        <v>1979</v>
      </c>
      <c r="B2" t="s">
        <v>4</v>
      </c>
      <c r="C2" s="12">
        <v>0.223</v>
      </c>
      <c r="D2" s="8">
        <v>0.05</v>
      </c>
      <c r="E2" s="8">
        <v>5.5999999999999994E-2</v>
      </c>
      <c r="F2" s="8">
        <f>E2/D2</f>
        <v>1.1199999999999999</v>
      </c>
      <c r="G2">
        <f>LN(1-(1-C2)*F2)</f>
        <v>-2.0420686886150334</v>
      </c>
      <c r="H2" s="8">
        <f>LN(D2)</f>
        <v>-2.9957322735539909</v>
      </c>
    </row>
    <row r="3" spans="1:8" x14ac:dyDescent="0.2">
      <c r="A3">
        <v>1979</v>
      </c>
      <c r="B3" t="s">
        <v>5</v>
      </c>
      <c r="C3" s="12">
        <v>0.223</v>
      </c>
      <c r="D3" s="8">
        <v>0.11199999999999999</v>
      </c>
      <c r="E3" s="8">
        <v>0.109</v>
      </c>
      <c r="F3" s="8">
        <f t="shared" ref="F3:F66" si="0">E3/D3</f>
        <v>0.97321428571428581</v>
      </c>
      <c r="G3">
        <f t="shared" ref="G3:G66" si="1">LN(1-(1-C3)*F3)</f>
        <v>-1.4113557917152624</v>
      </c>
      <c r="H3" s="8">
        <f t="shared" ref="H3:H66" si="2">LN(D3)</f>
        <v>-2.1892564076870427</v>
      </c>
    </row>
    <row r="4" spans="1:8" x14ac:dyDescent="0.2">
      <c r="A4">
        <v>1979</v>
      </c>
      <c r="B4" t="s">
        <v>6</v>
      </c>
      <c r="C4" s="12">
        <v>0.223</v>
      </c>
      <c r="D4" s="8">
        <v>0.16</v>
      </c>
      <c r="E4" s="8">
        <v>0.161</v>
      </c>
      <c r="F4" s="8">
        <f t="shared" si="0"/>
        <v>1.0062500000000001</v>
      </c>
      <c r="G4">
        <f t="shared" si="1"/>
        <v>-1.5226010298343986</v>
      </c>
      <c r="H4" s="8">
        <f t="shared" si="2"/>
        <v>-1.8325814637483102</v>
      </c>
    </row>
    <row r="5" spans="1:8" x14ac:dyDescent="0.2">
      <c r="A5">
        <v>1979</v>
      </c>
      <c r="B5" t="s">
        <v>7</v>
      </c>
      <c r="C5" s="12">
        <v>0.223</v>
      </c>
      <c r="D5" s="8">
        <v>0.22399999999999998</v>
      </c>
      <c r="E5" s="8">
        <v>0.22500000000000001</v>
      </c>
      <c r="F5" s="8">
        <f t="shared" si="0"/>
        <v>1.0044642857142858</v>
      </c>
      <c r="G5">
        <f t="shared" si="1"/>
        <v>-1.5162606875799174</v>
      </c>
      <c r="H5" s="8">
        <f t="shared" si="2"/>
        <v>-1.4961092271270973</v>
      </c>
    </row>
    <row r="6" spans="1:8" x14ac:dyDescent="0.2">
      <c r="A6">
        <v>1979</v>
      </c>
      <c r="B6" t="s">
        <v>8</v>
      </c>
      <c r="C6" s="12">
        <v>0.223</v>
      </c>
      <c r="D6" s="8">
        <v>0.45600000000000002</v>
      </c>
      <c r="E6" s="8">
        <v>0.45299999999999996</v>
      </c>
      <c r="F6" s="8">
        <f t="shared" si="0"/>
        <v>0.99342105263157887</v>
      </c>
      <c r="G6">
        <f t="shared" si="1"/>
        <v>-1.4779192347515286</v>
      </c>
      <c r="H6" s="8">
        <f t="shared" si="2"/>
        <v>-0.78526246946775091</v>
      </c>
    </row>
    <row r="7" spans="1:8" x14ac:dyDescent="0.2">
      <c r="A7">
        <v>1980</v>
      </c>
      <c r="B7" t="s">
        <v>4</v>
      </c>
      <c r="C7" s="12">
        <v>0.222</v>
      </c>
      <c r="D7" s="8">
        <v>4.9000000000000002E-2</v>
      </c>
      <c r="E7" s="8">
        <v>5.5E-2</v>
      </c>
      <c r="F7" s="8">
        <f t="shared" si="0"/>
        <v>1.1224489795918366</v>
      </c>
      <c r="G7">
        <f t="shared" si="1"/>
        <v>-2.0656594021652386</v>
      </c>
      <c r="H7" s="8">
        <f t="shared" si="2"/>
        <v>-3.0159349808715104</v>
      </c>
    </row>
    <row r="8" spans="1:8" x14ac:dyDescent="0.2">
      <c r="A8">
        <v>1980</v>
      </c>
      <c r="B8" t="s">
        <v>5</v>
      </c>
      <c r="C8" s="12">
        <v>0.222</v>
      </c>
      <c r="D8" s="8">
        <v>0.11</v>
      </c>
      <c r="E8" s="8">
        <v>0.10800000000000001</v>
      </c>
      <c r="F8" s="8">
        <f t="shared" si="0"/>
        <v>0.98181818181818192</v>
      </c>
      <c r="G8">
        <f t="shared" si="1"/>
        <v>-1.4433073309918718</v>
      </c>
      <c r="H8" s="8">
        <f t="shared" si="2"/>
        <v>-2.2072749131897207</v>
      </c>
    </row>
    <row r="9" spans="1:8" x14ac:dyDescent="0.2">
      <c r="A9">
        <v>1980</v>
      </c>
      <c r="B9" t="s">
        <v>6</v>
      </c>
      <c r="C9" s="12">
        <v>0.222</v>
      </c>
      <c r="D9" s="8">
        <v>0.16</v>
      </c>
      <c r="E9" s="8">
        <v>0.159</v>
      </c>
      <c r="F9" s="8">
        <f t="shared" si="0"/>
        <v>0.99375000000000002</v>
      </c>
      <c r="G9">
        <f t="shared" si="1"/>
        <v>-1.4834111718996181</v>
      </c>
      <c r="H9" s="8">
        <f t="shared" si="2"/>
        <v>-1.8325814637483102</v>
      </c>
    </row>
    <row r="10" spans="1:8" x14ac:dyDescent="0.2">
      <c r="A10">
        <v>1980</v>
      </c>
      <c r="B10" t="s">
        <v>7</v>
      </c>
      <c r="C10" s="12">
        <v>0.222</v>
      </c>
      <c r="D10" s="8">
        <v>0.22399999999999998</v>
      </c>
      <c r="E10" s="8">
        <v>0.22500000000000001</v>
      </c>
      <c r="F10" s="8">
        <f t="shared" si="0"/>
        <v>1.0044642857142858</v>
      </c>
      <c r="G10">
        <f t="shared" si="1"/>
        <v>-1.5208466828785208</v>
      </c>
      <c r="H10" s="8">
        <f t="shared" si="2"/>
        <v>-1.4961092271270973</v>
      </c>
    </row>
    <row r="11" spans="1:8" x14ac:dyDescent="0.2">
      <c r="A11">
        <v>1980</v>
      </c>
      <c r="B11" t="s">
        <v>8</v>
      </c>
      <c r="C11" s="12">
        <v>0.222</v>
      </c>
      <c r="D11" s="8">
        <v>0.46</v>
      </c>
      <c r="E11" s="8">
        <v>0.45700000000000002</v>
      </c>
      <c r="F11" s="8">
        <f t="shared" si="0"/>
        <v>0.99347826086956526</v>
      </c>
      <c r="G11">
        <f t="shared" si="1"/>
        <v>-1.4824797063785049</v>
      </c>
      <c r="H11" s="8">
        <f t="shared" si="2"/>
        <v>-0.77652878949899629</v>
      </c>
    </row>
    <row r="12" spans="1:8" x14ac:dyDescent="0.2">
      <c r="A12">
        <v>1981</v>
      </c>
      <c r="B12" t="s">
        <v>4</v>
      </c>
      <c r="C12" s="12">
        <v>0.224</v>
      </c>
      <c r="D12" s="8">
        <v>4.7E-2</v>
      </c>
      <c r="E12" s="8">
        <v>5.2999999999999999E-2</v>
      </c>
      <c r="F12" s="8">
        <f t="shared" si="0"/>
        <v>1.1276595744680851</v>
      </c>
      <c r="G12">
        <f t="shared" si="1"/>
        <v>-2.0799523103978443</v>
      </c>
      <c r="H12" s="8">
        <f t="shared" si="2"/>
        <v>-3.0576076772720784</v>
      </c>
    </row>
    <row r="13" spans="1:8" x14ac:dyDescent="0.2">
      <c r="A13">
        <v>1981</v>
      </c>
      <c r="B13" t="s">
        <v>5</v>
      </c>
      <c r="C13" s="12">
        <v>0.224</v>
      </c>
      <c r="D13" s="8">
        <v>0.109</v>
      </c>
      <c r="E13" s="8">
        <v>0.107</v>
      </c>
      <c r="F13" s="8">
        <f t="shared" si="0"/>
        <v>0.98165137614678899</v>
      </c>
      <c r="G13">
        <f t="shared" si="1"/>
        <v>-1.4344828714569084</v>
      </c>
      <c r="H13" s="8">
        <f t="shared" si="2"/>
        <v>-2.2164073967529934</v>
      </c>
    </row>
    <row r="14" spans="1:8" x14ac:dyDescent="0.2">
      <c r="A14">
        <v>1981</v>
      </c>
      <c r="B14" t="s">
        <v>6</v>
      </c>
      <c r="C14" s="12">
        <v>0.224</v>
      </c>
      <c r="D14" s="8">
        <v>0.161</v>
      </c>
      <c r="E14" s="8">
        <v>0.16</v>
      </c>
      <c r="F14" s="8">
        <f t="shared" si="0"/>
        <v>0.99378881987577639</v>
      </c>
      <c r="G14">
        <f t="shared" si="1"/>
        <v>-1.4748201535973569</v>
      </c>
      <c r="H14" s="8">
        <f t="shared" si="2"/>
        <v>-1.8263509139976741</v>
      </c>
    </row>
    <row r="15" spans="1:8" x14ac:dyDescent="0.2">
      <c r="A15">
        <v>1981</v>
      </c>
      <c r="B15" t="s">
        <v>7</v>
      </c>
      <c r="C15" s="12">
        <v>0.224</v>
      </c>
      <c r="D15" s="8">
        <v>0.22500000000000001</v>
      </c>
      <c r="E15" s="8">
        <v>0.22600000000000001</v>
      </c>
      <c r="F15" s="8">
        <f t="shared" si="0"/>
        <v>1.0044444444444445</v>
      </c>
      <c r="G15">
        <f t="shared" si="1"/>
        <v>-1.5116258145336041</v>
      </c>
      <c r="H15" s="8">
        <f t="shared" si="2"/>
        <v>-1.4916548767777169</v>
      </c>
    </row>
    <row r="16" spans="1:8" x14ac:dyDescent="0.2">
      <c r="A16">
        <v>1981</v>
      </c>
      <c r="B16" t="s">
        <v>8</v>
      </c>
      <c r="C16" s="12">
        <v>0.224</v>
      </c>
      <c r="D16" s="8">
        <v>0.46200000000000002</v>
      </c>
      <c r="E16" s="8">
        <v>0.45899999999999996</v>
      </c>
      <c r="F16" s="8">
        <f t="shared" si="0"/>
        <v>0.99350649350649334</v>
      </c>
      <c r="G16">
        <f t="shared" si="1"/>
        <v>-1.4738631543579921</v>
      </c>
      <c r="H16" s="8">
        <f t="shared" si="2"/>
        <v>-0.77219038790039818</v>
      </c>
    </row>
    <row r="17" spans="1:8" x14ac:dyDescent="0.2">
      <c r="A17">
        <v>1982</v>
      </c>
      <c r="B17" t="s">
        <v>4</v>
      </c>
      <c r="C17" s="12">
        <v>0.20599999999999999</v>
      </c>
      <c r="D17" s="8">
        <v>4.4000000000000004E-2</v>
      </c>
      <c r="E17" s="8">
        <v>0.05</v>
      </c>
      <c r="F17" s="8">
        <f t="shared" si="0"/>
        <v>1.1363636363636362</v>
      </c>
      <c r="G17">
        <f t="shared" si="1"/>
        <v>-2.3255746112187441</v>
      </c>
      <c r="H17" s="8">
        <f t="shared" si="2"/>
        <v>-3.1235656450638758</v>
      </c>
    </row>
    <row r="18" spans="1:8" x14ac:dyDescent="0.2">
      <c r="A18">
        <v>1982</v>
      </c>
      <c r="B18" t="s">
        <v>5</v>
      </c>
      <c r="C18" s="12">
        <v>0.20599999999999999</v>
      </c>
      <c r="D18" s="8">
        <v>0.107</v>
      </c>
      <c r="E18" s="8">
        <v>0.10400000000000001</v>
      </c>
      <c r="F18" s="8">
        <f t="shared" si="0"/>
        <v>0.97196261682243001</v>
      </c>
      <c r="G18">
        <f t="shared" si="1"/>
        <v>-1.4772625790293301</v>
      </c>
      <c r="H18" s="8">
        <f t="shared" si="2"/>
        <v>-2.234926444520231</v>
      </c>
    </row>
    <row r="19" spans="1:8" x14ac:dyDescent="0.2">
      <c r="A19">
        <v>1982</v>
      </c>
      <c r="B19" t="s">
        <v>6</v>
      </c>
      <c r="C19" s="12">
        <v>0.20599999999999999</v>
      </c>
      <c r="D19" s="8">
        <v>0.159</v>
      </c>
      <c r="E19" s="8">
        <v>0.158</v>
      </c>
      <c r="F19" s="8">
        <f t="shared" si="0"/>
        <v>0.99371069182389937</v>
      </c>
      <c r="G19">
        <f t="shared" si="1"/>
        <v>-1.5559269530980668</v>
      </c>
      <c r="H19" s="8">
        <f t="shared" si="2"/>
        <v>-1.8388510767619055</v>
      </c>
    </row>
    <row r="20" spans="1:8" x14ac:dyDescent="0.2">
      <c r="A20">
        <v>1982</v>
      </c>
      <c r="B20" t="s">
        <v>7</v>
      </c>
      <c r="C20" s="12">
        <v>0.20599999999999999</v>
      </c>
      <c r="D20" s="8">
        <v>0.22500000000000001</v>
      </c>
      <c r="E20" s="8">
        <v>0.22699999999999998</v>
      </c>
      <c r="F20" s="8">
        <f t="shared" si="0"/>
        <v>1.0088888888888887</v>
      </c>
      <c r="G20">
        <f t="shared" si="1"/>
        <v>-1.614740837006482</v>
      </c>
      <c r="H20" s="8">
        <f t="shared" si="2"/>
        <v>-1.4916548767777169</v>
      </c>
    </row>
    <row r="21" spans="1:8" x14ac:dyDescent="0.2">
      <c r="A21">
        <v>1982</v>
      </c>
      <c r="B21" t="s">
        <v>8</v>
      </c>
      <c r="C21" s="12">
        <v>0.20599999999999999</v>
      </c>
      <c r="D21" s="8">
        <v>0.47</v>
      </c>
      <c r="E21" s="8">
        <v>0.46700000000000003</v>
      </c>
      <c r="F21" s="8">
        <f t="shared" si="0"/>
        <v>0.9936170212765959</v>
      </c>
      <c r="G21">
        <f t="shared" si="1"/>
        <v>-1.5555745193261912</v>
      </c>
      <c r="H21" s="8">
        <f t="shared" si="2"/>
        <v>-0.75502258427803282</v>
      </c>
    </row>
    <row r="22" spans="1:8" x14ac:dyDescent="0.2">
      <c r="A22">
        <v>1983</v>
      </c>
      <c r="B22" t="s">
        <v>4</v>
      </c>
      <c r="C22" s="12">
        <v>0.20300000000000001</v>
      </c>
      <c r="D22" s="8">
        <v>4.0999999999999995E-2</v>
      </c>
      <c r="E22" s="8">
        <v>4.5999999999999999E-2</v>
      </c>
      <c r="F22" s="8">
        <f t="shared" si="0"/>
        <v>1.1219512195121952</v>
      </c>
      <c r="G22">
        <f t="shared" si="1"/>
        <v>-2.2461586542996255</v>
      </c>
      <c r="H22" s="8">
        <f t="shared" si="2"/>
        <v>-3.1941832122778293</v>
      </c>
    </row>
    <row r="23" spans="1:8" x14ac:dyDescent="0.2">
      <c r="A23">
        <v>1983</v>
      </c>
      <c r="B23" t="s">
        <v>5</v>
      </c>
      <c r="C23" s="12">
        <v>0.20300000000000001</v>
      </c>
      <c r="D23" s="8">
        <v>0.10400000000000001</v>
      </c>
      <c r="E23" s="8">
        <v>0.1</v>
      </c>
      <c r="F23" s="8">
        <f t="shared" si="0"/>
        <v>0.96153846153846145</v>
      </c>
      <c r="G23">
        <f t="shared" si="1"/>
        <v>-1.4539145487948693</v>
      </c>
      <c r="H23" s="8">
        <f t="shared" si="2"/>
        <v>-2.2633643798407643</v>
      </c>
    </row>
    <row r="24" spans="1:8" x14ac:dyDescent="0.2">
      <c r="A24">
        <v>1983</v>
      </c>
      <c r="B24" t="s">
        <v>6</v>
      </c>
      <c r="C24" s="12">
        <v>0.20300000000000001</v>
      </c>
      <c r="D24" s="8">
        <v>0.157</v>
      </c>
      <c r="E24" s="8">
        <v>0.156</v>
      </c>
      <c r="F24" s="8">
        <f t="shared" si="0"/>
        <v>0.99363057324840764</v>
      </c>
      <c r="G24">
        <f t="shared" si="1"/>
        <v>-1.5698497998522785</v>
      </c>
      <c r="H24" s="8">
        <f t="shared" si="2"/>
        <v>-1.8515094736338289</v>
      </c>
    </row>
    <row r="25" spans="1:8" x14ac:dyDescent="0.2">
      <c r="A25">
        <v>1983</v>
      </c>
      <c r="B25" t="s">
        <v>7</v>
      </c>
      <c r="C25" s="12">
        <v>0.20300000000000001</v>
      </c>
      <c r="D25" s="8">
        <v>0.22500000000000001</v>
      </c>
      <c r="E25" s="8">
        <v>0.22600000000000001</v>
      </c>
      <c r="F25" s="8">
        <f t="shared" si="0"/>
        <v>1.0044444444444445</v>
      </c>
      <c r="G25">
        <f t="shared" si="1"/>
        <v>-1.6121527052628088</v>
      </c>
      <c r="H25" s="8">
        <f t="shared" si="2"/>
        <v>-1.4916548767777169</v>
      </c>
    </row>
    <row r="26" spans="1:8" x14ac:dyDescent="0.2">
      <c r="A26">
        <v>1983</v>
      </c>
      <c r="B26" t="s">
        <v>8</v>
      </c>
      <c r="C26" s="12">
        <v>0.20300000000000001</v>
      </c>
      <c r="D26" s="8">
        <v>0.47899999999999998</v>
      </c>
      <c r="E26" s="8">
        <v>0.47700000000000004</v>
      </c>
      <c r="F26" s="8">
        <f t="shared" si="0"/>
        <v>0.9958246346555325</v>
      </c>
      <c r="G26">
        <f t="shared" si="1"/>
        <v>-1.5782892766889078</v>
      </c>
      <c r="H26" s="8">
        <f t="shared" si="2"/>
        <v>-0.73605468157122189</v>
      </c>
    </row>
    <row r="27" spans="1:8" x14ac:dyDescent="0.2">
      <c r="A27">
        <v>1984</v>
      </c>
      <c r="B27" t="s">
        <v>4</v>
      </c>
      <c r="C27" s="12">
        <v>0.20599999999999999</v>
      </c>
      <c r="D27" s="8">
        <v>4.2999999999999997E-2</v>
      </c>
      <c r="E27" s="8">
        <v>4.8000000000000001E-2</v>
      </c>
      <c r="F27" s="8">
        <f t="shared" si="0"/>
        <v>1.1162790697674421</v>
      </c>
      <c r="G27">
        <f t="shared" si="1"/>
        <v>-2.1744168938242696</v>
      </c>
      <c r="H27" s="8">
        <f t="shared" si="2"/>
        <v>-3.1465551632885749</v>
      </c>
    </row>
    <row r="28" spans="1:8" x14ac:dyDescent="0.2">
      <c r="A28">
        <v>1984</v>
      </c>
      <c r="B28" t="s">
        <v>5</v>
      </c>
      <c r="C28" s="12">
        <v>0.20599999999999999</v>
      </c>
      <c r="D28" s="8">
        <v>0.10400000000000001</v>
      </c>
      <c r="E28" s="8">
        <v>0.10099999999999999</v>
      </c>
      <c r="F28" s="8">
        <f t="shared" si="0"/>
        <v>0.97115384615384603</v>
      </c>
      <c r="G28">
        <f t="shared" si="1"/>
        <v>-1.4744532493956846</v>
      </c>
      <c r="H28" s="8">
        <f t="shared" si="2"/>
        <v>-2.2633643798407643</v>
      </c>
    </row>
    <row r="29" spans="1:8" x14ac:dyDescent="0.2">
      <c r="A29">
        <v>1984</v>
      </c>
      <c r="B29" t="s">
        <v>6</v>
      </c>
      <c r="C29" s="12">
        <v>0.20599999999999999</v>
      </c>
      <c r="D29" s="8">
        <v>0.156</v>
      </c>
      <c r="E29" s="8">
        <v>0.155</v>
      </c>
      <c r="F29" s="8">
        <f t="shared" si="0"/>
        <v>0.99358974358974361</v>
      </c>
      <c r="G29">
        <f t="shared" si="1"/>
        <v>-1.5554719108612645</v>
      </c>
      <c r="H29" s="8">
        <f t="shared" si="2"/>
        <v>-1.8578992717325999</v>
      </c>
    </row>
    <row r="30" spans="1:8" x14ac:dyDescent="0.2">
      <c r="A30">
        <v>1984</v>
      </c>
      <c r="B30" t="s">
        <v>7</v>
      </c>
      <c r="C30" s="12">
        <v>0.20599999999999999</v>
      </c>
      <c r="D30" s="8">
        <v>0.22399999999999998</v>
      </c>
      <c r="E30" s="8">
        <v>0.22500000000000001</v>
      </c>
      <c r="F30" s="8">
        <f t="shared" si="0"/>
        <v>1.0044642857142858</v>
      </c>
      <c r="G30">
        <f t="shared" si="1"/>
        <v>-1.5972358752938949</v>
      </c>
      <c r="H30" s="8">
        <f t="shared" si="2"/>
        <v>-1.4961092271270973</v>
      </c>
    </row>
    <row r="31" spans="1:8" x14ac:dyDescent="0.2">
      <c r="A31">
        <v>1984</v>
      </c>
      <c r="B31" t="s">
        <v>8</v>
      </c>
      <c r="C31" s="12">
        <v>0.20599999999999999</v>
      </c>
      <c r="D31" s="8">
        <v>0.47899999999999998</v>
      </c>
      <c r="E31" s="8">
        <v>0.47700000000000004</v>
      </c>
      <c r="F31" s="8">
        <f t="shared" si="0"/>
        <v>0.9958246346555325</v>
      </c>
      <c r="G31">
        <f t="shared" si="1"/>
        <v>-1.5639138376396708</v>
      </c>
      <c r="H31" s="8">
        <f t="shared" si="2"/>
        <v>-0.73605468157122189</v>
      </c>
    </row>
    <row r="32" spans="1:8" x14ac:dyDescent="0.2">
      <c r="A32">
        <v>1985</v>
      </c>
      <c r="B32" t="s">
        <v>4</v>
      </c>
      <c r="C32" s="12">
        <v>0.20699999999999999</v>
      </c>
      <c r="D32" s="8">
        <v>4.0999999999999995E-2</v>
      </c>
      <c r="E32" s="8">
        <v>4.5999999999999999E-2</v>
      </c>
      <c r="F32" s="8">
        <f t="shared" si="0"/>
        <v>1.1219512195121952</v>
      </c>
      <c r="G32">
        <f t="shared" si="1"/>
        <v>-2.2046176928485308</v>
      </c>
      <c r="H32" s="8">
        <f t="shared" si="2"/>
        <v>-3.1941832122778293</v>
      </c>
    </row>
    <row r="33" spans="1:8" x14ac:dyDescent="0.2">
      <c r="A33">
        <v>1985</v>
      </c>
      <c r="B33" t="s">
        <v>5</v>
      </c>
      <c r="C33" s="12">
        <v>0.20699999999999999</v>
      </c>
      <c r="D33" s="8">
        <v>0.10199999999999999</v>
      </c>
      <c r="E33" s="8">
        <v>9.9000000000000005E-2</v>
      </c>
      <c r="F33" s="8">
        <f t="shared" si="0"/>
        <v>0.97058823529411775</v>
      </c>
      <c r="G33">
        <f t="shared" si="1"/>
        <v>-1.4682703088473612</v>
      </c>
      <c r="H33" s="8">
        <f t="shared" si="2"/>
        <v>-2.2827824656978661</v>
      </c>
    </row>
    <row r="34" spans="1:8" x14ac:dyDescent="0.2">
      <c r="A34">
        <v>1985</v>
      </c>
      <c r="B34" t="s">
        <v>6</v>
      </c>
      <c r="C34" s="12">
        <v>0.20699999999999999</v>
      </c>
      <c r="D34" s="8">
        <v>0.154</v>
      </c>
      <c r="E34" s="8">
        <v>0.153</v>
      </c>
      <c r="F34" s="8">
        <f t="shared" si="0"/>
        <v>0.99350649350649345</v>
      </c>
      <c r="G34">
        <f t="shared" si="1"/>
        <v>-1.5504647681475816</v>
      </c>
      <c r="H34" s="8">
        <f t="shared" si="2"/>
        <v>-1.870802676568508</v>
      </c>
    </row>
    <row r="35" spans="1:8" x14ac:dyDescent="0.2">
      <c r="A35">
        <v>1985</v>
      </c>
      <c r="B35" t="s">
        <v>7</v>
      </c>
      <c r="C35" s="12">
        <v>0.20699999999999999</v>
      </c>
      <c r="D35" s="8">
        <v>0.221</v>
      </c>
      <c r="E35" s="8">
        <v>0.222</v>
      </c>
      <c r="F35" s="8">
        <f t="shared" si="0"/>
        <v>1.004524886877828</v>
      </c>
      <c r="G35">
        <f t="shared" si="1"/>
        <v>-1.5925229567951176</v>
      </c>
      <c r="H35" s="8">
        <f t="shared" si="2"/>
        <v>-1.5095925774643841</v>
      </c>
    </row>
    <row r="36" spans="1:8" x14ac:dyDescent="0.2">
      <c r="A36">
        <v>1985</v>
      </c>
      <c r="B36" t="s">
        <v>8</v>
      </c>
      <c r="C36" s="12">
        <v>0.20699999999999999</v>
      </c>
      <c r="D36" s="8">
        <v>0.48700000000000004</v>
      </c>
      <c r="E36" s="8">
        <v>0.48599999999999999</v>
      </c>
      <c r="F36" s="8">
        <f t="shared" si="0"/>
        <v>0.99794661190965084</v>
      </c>
      <c r="G36">
        <f t="shared" si="1"/>
        <v>-1.567200903092586</v>
      </c>
      <c r="H36" s="8">
        <f t="shared" si="2"/>
        <v>-0.71949115589954715</v>
      </c>
    </row>
    <row r="37" spans="1:8" x14ac:dyDescent="0.2">
      <c r="A37">
        <v>1986</v>
      </c>
      <c r="B37" t="s">
        <v>4</v>
      </c>
      <c r="C37" s="12">
        <v>0.20799999999999999</v>
      </c>
      <c r="D37" s="8">
        <v>3.9E-2</v>
      </c>
      <c r="E37" s="8">
        <v>4.2999999999999997E-2</v>
      </c>
      <c r="F37" s="8">
        <f t="shared" si="0"/>
        <v>1.1025641025641024</v>
      </c>
      <c r="G37">
        <f t="shared" si="1"/>
        <v>-2.0653869259742561</v>
      </c>
      <c r="H37" s="8">
        <f t="shared" si="2"/>
        <v>-3.2441936328524905</v>
      </c>
    </row>
    <row r="38" spans="1:8" x14ac:dyDescent="0.2">
      <c r="A38">
        <v>1986</v>
      </c>
      <c r="B38" t="s">
        <v>5</v>
      </c>
      <c r="C38" s="12">
        <v>0.20799999999999999</v>
      </c>
      <c r="D38" s="8">
        <v>9.6999999999999989E-2</v>
      </c>
      <c r="E38" s="8">
        <v>9.4E-2</v>
      </c>
      <c r="F38" s="8">
        <f t="shared" si="0"/>
        <v>0.96907216494845372</v>
      </c>
      <c r="G38">
        <f t="shared" si="1"/>
        <v>-1.4588872246915718</v>
      </c>
      <c r="H38" s="8">
        <f t="shared" si="2"/>
        <v>-2.3330443004787544</v>
      </c>
    </row>
    <row r="39" spans="1:8" x14ac:dyDescent="0.2">
      <c r="A39">
        <v>1986</v>
      </c>
      <c r="B39" t="s">
        <v>6</v>
      </c>
      <c r="C39" s="12">
        <v>0.20799999999999999</v>
      </c>
      <c r="D39" s="8">
        <v>0.14899999999999999</v>
      </c>
      <c r="E39" s="8">
        <v>0.14800000000000002</v>
      </c>
      <c r="F39" s="8">
        <f t="shared" si="0"/>
        <v>0.99328859060402708</v>
      </c>
      <c r="G39">
        <f t="shared" si="1"/>
        <v>-1.5449832874331624</v>
      </c>
      <c r="H39" s="8">
        <f t="shared" si="2"/>
        <v>-1.9038089730366781</v>
      </c>
    </row>
    <row r="40" spans="1:8" x14ac:dyDescent="0.2">
      <c r="A40">
        <v>1986</v>
      </c>
      <c r="B40" t="s">
        <v>7</v>
      </c>
      <c r="C40" s="12">
        <v>0.20799999999999999</v>
      </c>
      <c r="D40" s="8">
        <v>0.214</v>
      </c>
      <c r="E40" s="8">
        <v>0.215</v>
      </c>
      <c r="F40" s="8">
        <f t="shared" si="0"/>
        <v>1.0046728971962617</v>
      </c>
      <c r="G40">
        <f t="shared" si="1"/>
        <v>-1.5881703517135142</v>
      </c>
      <c r="H40" s="8">
        <f t="shared" si="2"/>
        <v>-1.5417792639602856</v>
      </c>
    </row>
    <row r="41" spans="1:8" x14ac:dyDescent="0.2">
      <c r="A41">
        <v>1986</v>
      </c>
      <c r="B41" t="s">
        <v>8</v>
      </c>
      <c r="C41" s="12">
        <v>0.20799999999999999</v>
      </c>
      <c r="D41" s="8">
        <v>0.50700000000000001</v>
      </c>
      <c r="E41" s="8">
        <v>0.50600000000000001</v>
      </c>
      <c r="F41" s="8">
        <f t="shared" si="0"/>
        <v>0.99802761341222879</v>
      </c>
      <c r="G41">
        <f t="shared" si="1"/>
        <v>-1.5627350194932335</v>
      </c>
      <c r="H41" s="8">
        <f t="shared" si="2"/>
        <v>-0.67924427539095389</v>
      </c>
    </row>
    <row r="42" spans="1:8" x14ac:dyDescent="0.2">
      <c r="A42">
        <v>1987</v>
      </c>
      <c r="B42" t="s">
        <v>4</v>
      </c>
      <c r="C42" s="12">
        <v>0.215</v>
      </c>
      <c r="D42" s="8">
        <v>3.7000000000000005E-2</v>
      </c>
      <c r="E42" s="8">
        <v>4.0999999999999995E-2</v>
      </c>
      <c r="F42" s="8">
        <f t="shared" si="0"/>
        <v>1.1081081081081079</v>
      </c>
      <c r="G42">
        <f t="shared" si="1"/>
        <v>-2.0391818673941344</v>
      </c>
      <c r="H42" s="8">
        <f t="shared" si="2"/>
        <v>-3.2968373663379125</v>
      </c>
    </row>
    <row r="43" spans="1:8" x14ac:dyDescent="0.2">
      <c r="A43">
        <v>1987</v>
      </c>
      <c r="B43" t="s">
        <v>5</v>
      </c>
      <c r="C43" s="12">
        <v>0.215</v>
      </c>
      <c r="D43" s="8">
        <v>0.1</v>
      </c>
      <c r="E43" s="8">
        <v>9.8000000000000004E-2</v>
      </c>
      <c r="F43" s="8">
        <f t="shared" si="0"/>
        <v>0.98</v>
      </c>
      <c r="G43">
        <f t="shared" si="1"/>
        <v>-1.466637113802429</v>
      </c>
      <c r="H43" s="8">
        <f t="shared" si="2"/>
        <v>-2.3025850929940455</v>
      </c>
    </row>
    <row r="44" spans="1:8" x14ac:dyDescent="0.2">
      <c r="A44">
        <v>1987</v>
      </c>
      <c r="B44" t="s">
        <v>6</v>
      </c>
      <c r="C44" s="12">
        <v>0.215</v>
      </c>
      <c r="D44" s="8">
        <v>0.156</v>
      </c>
      <c r="E44" s="8">
        <v>0.154</v>
      </c>
      <c r="F44" s="8">
        <f t="shared" si="0"/>
        <v>0.98717948717948711</v>
      </c>
      <c r="G44">
        <f t="shared" si="1"/>
        <v>-1.4913700170691961</v>
      </c>
      <c r="H44" s="8">
        <f t="shared" si="2"/>
        <v>-1.8578992717325999</v>
      </c>
    </row>
    <row r="45" spans="1:8" x14ac:dyDescent="0.2">
      <c r="A45">
        <v>1987</v>
      </c>
      <c r="B45" t="s">
        <v>7</v>
      </c>
      <c r="C45" s="12">
        <v>0.215</v>
      </c>
      <c r="D45" s="8">
        <v>0.22399999999999998</v>
      </c>
      <c r="E45" s="8">
        <v>0.22500000000000001</v>
      </c>
      <c r="F45" s="8">
        <f t="shared" si="0"/>
        <v>1.0044642857142858</v>
      </c>
      <c r="G45">
        <f t="shared" si="1"/>
        <v>-1.5535513884524501</v>
      </c>
      <c r="H45" s="8">
        <f t="shared" si="2"/>
        <v>-1.4961092271270973</v>
      </c>
    </row>
    <row r="46" spans="1:8" x14ac:dyDescent="0.2">
      <c r="A46">
        <v>1987</v>
      </c>
      <c r="B46" t="s">
        <v>8</v>
      </c>
      <c r="C46" s="12">
        <v>0.215</v>
      </c>
      <c r="D46" s="8">
        <v>0.49099999999999999</v>
      </c>
      <c r="E46" s="8">
        <v>0.48899999999999999</v>
      </c>
      <c r="F46" s="8">
        <f t="shared" si="0"/>
        <v>0.99592668024439923</v>
      </c>
      <c r="G46">
        <f t="shared" si="1"/>
        <v>-1.5223544063418315</v>
      </c>
      <c r="H46" s="8">
        <f t="shared" si="2"/>
        <v>-0.71131115118761645</v>
      </c>
    </row>
    <row r="47" spans="1:8" x14ac:dyDescent="0.2">
      <c r="A47">
        <v>1988</v>
      </c>
      <c r="B47" t="s">
        <v>4</v>
      </c>
      <c r="C47" s="12">
        <v>0.217</v>
      </c>
      <c r="D47" s="8">
        <v>3.7000000000000005E-2</v>
      </c>
      <c r="E47" s="8">
        <v>4.0999999999999995E-2</v>
      </c>
      <c r="F47" s="8">
        <f t="shared" si="0"/>
        <v>1.1081081081081079</v>
      </c>
      <c r="G47">
        <f t="shared" si="1"/>
        <v>-2.0222951399240432</v>
      </c>
      <c r="H47" s="8">
        <f t="shared" si="2"/>
        <v>-3.2968373663379125</v>
      </c>
    </row>
    <row r="48" spans="1:8" x14ac:dyDescent="0.2">
      <c r="A48">
        <v>1988</v>
      </c>
      <c r="B48" t="s">
        <v>5</v>
      </c>
      <c r="C48" s="12">
        <v>0.217</v>
      </c>
      <c r="D48" s="8">
        <v>9.8000000000000004E-2</v>
      </c>
      <c r="E48" s="8">
        <v>9.6000000000000002E-2</v>
      </c>
      <c r="F48" s="8">
        <f t="shared" si="0"/>
        <v>0.97959183673469385</v>
      </c>
      <c r="G48">
        <f t="shared" si="1"/>
        <v>-1.4568044179360915</v>
      </c>
      <c r="H48" s="8">
        <f t="shared" si="2"/>
        <v>-2.322787800311565</v>
      </c>
    </row>
    <row r="49" spans="1:8" x14ac:dyDescent="0.2">
      <c r="A49">
        <v>1988</v>
      </c>
      <c r="B49" t="s">
        <v>6</v>
      </c>
      <c r="C49" s="12">
        <v>0.217</v>
      </c>
      <c r="D49" s="8">
        <v>0.151</v>
      </c>
      <c r="E49" s="8">
        <v>0.15</v>
      </c>
      <c r="F49" s="8">
        <f t="shared" si="0"/>
        <v>0.99337748344370858</v>
      </c>
      <c r="G49">
        <f t="shared" si="1"/>
        <v>-1.5042429733972333</v>
      </c>
      <c r="H49" s="8">
        <f t="shared" si="2"/>
        <v>-1.8904754421672127</v>
      </c>
    </row>
    <row r="50" spans="1:8" x14ac:dyDescent="0.2">
      <c r="A50">
        <v>1988</v>
      </c>
      <c r="B50" t="s">
        <v>7</v>
      </c>
      <c r="C50" s="12">
        <v>0.217</v>
      </c>
      <c r="D50" s="8">
        <v>0.218</v>
      </c>
      <c r="E50" s="8">
        <v>0.22</v>
      </c>
      <c r="F50" s="8">
        <f t="shared" si="0"/>
        <v>1.0091743119266054</v>
      </c>
      <c r="G50">
        <f t="shared" si="1"/>
        <v>-1.5615218741944537</v>
      </c>
      <c r="H50" s="8">
        <f t="shared" si="2"/>
        <v>-1.523260216193048</v>
      </c>
    </row>
    <row r="51" spans="1:8" x14ac:dyDescent="0.2">
      <c r="A51">
        <v>1988</v>
      </c>
      <c r="B51" t="s">
        <v>8</v>
      </c>
      <c r="C51" s="12">
        <v>0.217</v>
      </c>
      <c r="D51" s="8">
        <v>0.504</v>
      </c>
      <c r="E51" s="8">
        <v>0.502</v>
      </c>
      <c r="F51" s="8">
        <f t="shared" si="0"/>
        <v>0.99603174603174605</v>
      </c>
      <c r="G51">
        <f t="shared" si="1"/>
        <v>-1.5136408381950979</v>
      </c>
      <c r="H51" s="8">
        <f t="shared" si="2"/>
        <v>-0.68517901091076838</v>
      </c>
    </row>
    <row r="52" spans="1:8" x14ac:dyDescent="0.2">
      <c r="A52">
        <v>1989</v>
      </c>
      <c r="B52" t="s">
        <v>4</v>
      </c>
      <c r="C52" s="12">
        <v>0.214</v>
      </c>
      <c r="D52" s="8">
        <v>3.7999999999999999E-2</v>
      </c>
      <c r="E52" s="8">
        <v>4.2999999999999997E-2</v>
      </c>
      <c r="F52" s="8">
        <f t="shared" si="0"/>
        <v>1.131578947368421</v>
      </c>
      <c r="G52">
        <f t="shared" si="1"/>
        <v>-2.2020255573035774</v>
      </c>
      <c r="H52" s="8">
        <f t="shared" si="2"/>
        <v>-3.2701691192557512</v>
      </c>
    </row>
    <row r="53" spans="1:8" x14ac:dyDescent="0.2">
      <c r="A53">
        <v>1989</v>
      </c>
      <c r="B53" t="s">
        <v>5</v>
      </c>
      <c r="C53" s="12">
        <v>0.214</v>
      </c>
      <c r="D53" s="8">
        <v>9.9000000000000005E-2</v>
      </c>
      <c r="E53" s="8">
        <v>9.6000000000000002E-2</v>
      </c>
      <c r="F53" s="8">
        <f t="shared" si="0"/>
        <v>0.96969696969696972</v>
      </c>
      <c r="G53">
        <f t="shared" si="1"/>
        <v>-1.4362488392034183</v>
      </c>
      <c r="H53" s="8">
        <f t="shared" si="2"/>
        <v>-2.312635428847547</v>
      </c>
    </row>
    <row r="54" spans="1:8" x14ac:dyDescent="0.2">
      <c r="A54">
        <v>1989</v>
      </c>
      <c r="B54" t="s">
        <v>6</v>
      </c>
      <c r="C54" s="12">
        <v>0.214</v>
      </c>
      <c r="D54" s="8">
        <v>0.152</v>
      </c>
      <c r="E54" s="8">
        <v>0.151</v>
      </c>
      <c r="F54" s="8">
        <f t="shared" si="0"/>
        <v>0.99342105263157898</v>
      </c>
      <c r="G54">
        <f t="shared" si="1"/>
        <v>-1.5179027917913606</v>
      </c>
      <c r="H54" s="8">
        <f t="shared" si="2"/>
        <v>-1.8838747581358606</v>
      </c>
    </row>
    <row r="55" spans="1:8" x14ac:dyDescent="0.2">
      <c r="A55">
        <v>1989</v>
      </c>
      <c r="B55" t="s">
        <v>7</v>
      </c>
      <c r="C55" s="12">
        <v>0.214</v>
      </c>
      <c r="D55" s="8">
        <v>0.21899999999999997</v>
      </c>
      <c r="E55" s="8">
        <v>0.22</v>
      </c>
      <c r="F55" s="8">
        <f t="shared" si="0"/>
        <v>1.0045662100456623</v>
      </c>
      <c r="G55">
        <f t="shared" si="1"/>
        <v>-1.5586927134288657</v>
      </c>
      <c r="H55" s="8">
        <f t="shared" si="2"/>
        <v>-1.5186835491656363</v>
      </c>
    </row>
    <row r="56" spans="1:8" x14ac:dyDescent="0.2">
      <c r="A56">
        <v>1989</v>
      </c>
      <c r="B56" t="s">
        <v>8</v>
      </c>
      <c r="C56" s="12">
        <v>0.214</v>
      </c>
      <c r="D56" s="8">
        <v>0.5</v>
      </c>
      <c r="E56" s="8">
        <v>0.498</v>
      </c>
      <c r="F56" s="8">
        <f t="shared" si="0"/>
        <v>0.996</v>
      </c>
      <c r="G56">
        <f t="shared" si="1"/>
        <v>-1.527194551053084</v>
      </c>
      <c r="H56" s="8">
        <f t="shared" si="2"/>
        <v>-0.69314718055994529</v>
      </c>
    </row>
    <row r="57" spans="1:8" x14ac:dyDescent="0.2">
      <c r="A57">
        <v>1990</v>
      </c>
      <c r="B57" t="s">
        <v>4</v>
      </c>
      <c r="C57" s="12">
        <v>0.214</v>
      </c>
      <c r="D57" s="8">
        <v>3.9E-2</v>
      </c>
      <c r="E57" s="8">
        <v>4.4999999999999998E-2</v>
      </c>
      <c r="F57" s="8">
        <f t="shared" si="0"/>
        <v>1.1538461538461537</v>
      </c>
      <c r="G57">
        <f t="shared" si="1"/>
        <v>-2.3743289978528859</v>
      </c>
      <c r="H57" s="8">
        <f t="shared" si="2"/>
        <v>-3.2441936328524905</v>
      </c>
    </row>
    <row r="58" spans="1:8" x14ac:dyDescent="0.2">
      <c r="A58">
        <v>1990</v>
      </c>
      <c r="B58" t="s">
        <v>5</v>
      </c>
      <c r="C58" s="12">
        <v>0.214</v>
      </c>
      <c r="D58" s="8">
        <v>0.10099999999999999</v>
      </c>
      <c r="E58" s="8">
        <v>9.8000000000000004E-2</v>
      </c>
      <c r="F58" s="8">
        <f t="shared" si="0"/>
        <v>0.97029702970297038</v>
      </c>
      <c r="G58">
        <f t="shared" si="1"/>
        <v>-1.438234034245321</v>
      </c>
      <c r="H58" s="8">
        <f t="shared" si="2"/>
        <v>-2.2926347621408776</v>
      </c>
    </row>
    <row r="59" spans="1:8" x14ac:dyDescent="0.2">
      <c r="A59">
        <v>1990</v>
      </c>
      <c r="B59" t="s">
        <v>6</v>
      </c>
      <c r="C59" s="12">
        <v>0.214</v>
      </c>
      <c r="D59" s="8">
        <v>0.152</v>
      </c>
      <c r="E59" s="8">
        <v>0.151</v>
      </c>
      <c r="F59" s="8">
        <f t="shared" si="0"/>
        <v>0.99342105263157898</v>
      </c>
      <c r="G59">
        <f t="shared" si="1"/>
        <v>-1.5179027917913606</v>
      </c>
      <c r="H59" s="8">
        <f t="shared" si="2"/>
        <v>-1.8838747581358606</v>
      </c>
    </row>
    <row r="60" spans="1:8" x14ac:dyDescent="0.2">
      <c r="A60">
        <v>1990</v>
      </c>
      <c r="B60" t="s">
        <v>7</v>
      </c>
      <c r="C60" s="12">
        <v>0.214</v>
      </c>
      <c r="D60" s="8">
        <v>0.22</v>
      </c>
      <c r="E60" s="8">
        <v>0.221</v>
      </c>
      <c r="F60" s="8">
        <f t="shared" si="0"/>
        <v>1.0045454545454546</v>
      </c>
      <c r="G60">
        <f t="shared" si="1"/>
        <v>-1.5586151832904651</v>
      </c>
      <c r="H60" s="8">
        <f t="shared" si="2"/>
        <v>-1.5141277326297755</v>
      </c>
    </row>
    <row r="61" spans="1:8" x14ac:dyDescent="0.2">
      <c r="A61">
        <v>1990</v>
      </c>
      <c r="B61" t="s">
        <v>8</v>
      </c>
      <c r="C61" s="12">
        <v>0.214</v>
      </c>
      <c r="D61" s="8">
        <v>0.496</v>
      </c>
      <c r="E61" s="8">
        <v>0.49399999999999999</v>
      </c>
      <c r="F61" s="8">
        <f t="shared" si="0"/>
        <v>0.99596774193548387</v>
      </c>
      <c r="G61">
        <f t="shared" si="1"/>
        <v>-1.5270777927795653</v>
      </c>
      <c r="H61" s="8">
        <f t="shared" si="2"/>
        <v>-0.70117935225720962</v>
      </c>
    </row>
    <row r="62" spans="1:8" x14ac:dyDescent="0.2">
      <c r="A62">
        <v>1991</v>
      </c>
      <c r="B62" t="s">
        <v>4</v>
      </c>
      <c r="C62" s="12">
        <v>0.21299999999999999</v>
      </c>
      <c r="D62" s="8">
        <v>0.04</v>
      </c>
      <c r="E62" s="8">
        <v>4.7E-2</v>
      </c>
      <c r="F62" s="8">
        <f t="shared" si="0"/>
        <v>1.175</v>
      </c>
      <c r="G62">
        <f t="shared" si="1"/>
        <v>-2.5866072046143396</v>
      </c>
      <c r="H62" s="8">
        <f t="shared" si="2"/>
        <v>-3.2188758248682006</v>
      </c>
    </row>
    <row r="63" spans="1:8" x14ac:dyDescent="0.2">
      <c r="A63">
        <v>1991</v>
      </c>
      <c r="B63" t="s">
        <v>5</v>
      </c>
      <c r="C63" s="12">
        <v>0.21299999999999999</v>
      </c>
      <c r="D63" s="8">
        <v>0.10099999999999999</v>
      </c>
      <c r="E63" s="8">
        <v>9.8000000000000004E-2</v>
      </c>
      <c r="F63" s="8">
        <f t="shared" si="0"/>
        <v>0.97029702970297038</v>
      </c>
      <c r="G63">
        <f t="shared" si="1"/>
        <v>-1.4423305161684135</v>
      </c>
      <c r="H63" s="8">
        <f t="shared" si="2"/>
        <v>-2.2926347621408776</v>
      </c>
    </row>
    <row r="64" spans="1:8" x14ac:dyDescent="0.2">
      <c r="A64">
        <v>1991</v>
      </c>
      <c r="B64" t="s">
        <v>6</v>
      </c>
      <c r="C64" s="12">
        <v>0.21299999999999999</v>
      </c>
      <c r="D64" s="8">
        <v>0.156</v>
      </c>
      <c r="E64" s="8">
        <v>0.153</v>
      </c>
      <c r="F64" s="8">
        <f t="shared" si="0"/>
        <v>0.98076923076923073</v>
      </c>
      <c r="G64">
        <f t="shared" si="1"/>
        <v>-1.477819405902461</v>
      </c>
      <c r="H64" s="8">
        <f t="shared" si="2"/>
        <v>-1.8578992717325999</v>
      </c>
    </row>
    <row r="65" spans="1:8" x14ac:dyDescent="0.2">
      <c r="A65">
        <v>1991</v>
      </c>
      <c r="B65" t="s">
        <v>7</v>
      </c>
      <c r="C65" s="12">
        <v>0.21299999999999999</v>
      </c>
      <c r="D65" s="8">
        <v>0.221</v>
      </c>
      <c r="E65" s="8">
        <v>0.222</v>
      </c>
      <c r="F65" s="8">
        <f t="shared" si="0"/>
        <v>1.004524886877828</v>
      </c>
      <c r="G65">
        <f t="shared" si="1"/>
        <v>-1.5633231619602825</v>
      </c>
      <c r="H65" s="8">
        <f t="shared" si="2"/>
        <v>-1.5095925774643841</v>
      </c>
    </row>
    <row r="66" spans="1:8" x14ac:dyDescent="0.2">
      <c r="A66">
        <v>1991</v>
      </c>
      <c r="B66" t="s">
        <v>8</v>
      </c>
      <c r="C66" s="12">
        <v>0.21299999999999999</v>
      </c>
      <c r="D66" s="8">
        <v>0.49099999999999999</v>
      </c>
      <c r="E66" s="8">
        <v>0.48799999999999999</v>
      </c>
      <c r="F66" s="8">
        <f t="shared" si="0"/>
        <v>0.99389002036659879</v>
      </c>
      <c r="G66">
        <f t="shared" si="1"/>
        <v>-1.5241387948215923</v>
      </c>
      <c r="H66" s="8">
        <f t="shared" si="2"/>
        <v>-0.71131115118761645</v>
      </c>
    </row>
    <row r="67" spans="1:8" x14ac:dyDescent="0.2">
      <c r="A67">
        <v>1992</v>
      </c>
      <c r="B67" t="s">
        <v>4</v>
      </c>
      <c r="C67" s="12">
        <v>0.21299999999999999</v>
      </c>
      <c r="D67" s="8">
        <v>3.7999999999999999E-2</v>
      </c>
      <c r="E67" s="8">
        <v>4.5999999999999999E-2</v>
      </c>
      <c r="F67" s="8">
        <f t="shared" ref="F67:F130" si="3">E67/D67</f>
        <v>1.2105263157894737</v>
      </c>
      <c r="G67">
        <f t="shared" ref="G67:G130" si="4">LN(1-(1-C67)*F67)</f>
        <v>-3.0509112236769576</v>
      </c>
      <c r="H67" s="8">
        <f t="shared" ref="H67:H130" si="5">LN(D67)</f>
        <v>-3.2701691192557512</v>
      </c>
    </row>
    <row r="68" spans="1:8" x14ac:dyDescent="0.2">
      <c r="A68">
        <v>1992</v>
      </c>
      <c r="B68" t="s">
        <v>5</v>
      </c>
      <c r="C68" s="12">
        <v>0.21299999999999999</v>
      </c>
      <c r="D68" s="8">
        <v>9.9000000000000005E-2</v>
      </c>
      <c r="E68" s="8">
        <v>9.6000000000000002E-2</v>
      </c>
      <c r="F68" s="8">
        <f t="shared" si="3"/>
        <v>0.96969696969696972</v>
      </c>
      <c r="G68">
        <f t="shared" si="4"/>
        <v>-1.440334646725999</v>
      </c>
      <c r="H68" s="8">
        <f t="shared" si="5"/>
        <v>-2.312635428847547</v>
      </c>
    </row>
    <row r="69" spans="1:8" x14ac:dyDescent="0.2">
      <c r="A69">
        <v>1992</v>
      </c>
      <c r="B69" t="s">
        <v>6</v>
      </c>
      <c r="C69" s="12">
        <v>0.21299999999999999</v>
      </c>
      <c r="D69" s="8">
        <v>0.153</v>
      </c>
      <c r="E69" s="8">
        <v>0.15</v>
      </c>
      <c r="F69" s="8">
        <f t="shared" si="3"/>
        <v>0.98039215686274506</v>
      </c>
      <c r="G69">
        <f t="shared" si="4"/>
        <v>-1.4765194527126164</v>
      </c>
      <c r="H69" s="8">
        <f t="shared" si="5"/>
        <v>-1.8773173575897015</v>
      </c>
    </row>
    <row r="70" spans="1:8" x14ac:dyDescent="0.2">
      <c r="A70">
        <v>1992</v>
      </c>
      <c r="B70" t="s">
        <v>7</v>
      </c>
      <c r="C70" s="12">
        <v>0.21299999999999999</v>
      </c>
      <c r="D70" s="8">
        <v>0.218</v>
      </c>
      <c r="E70" s="8">
        <v>0.218</v>
      </c>
      <c r="F70" s="8">
        <f t="shared" si="3"/>
        <v>1</v>
      </c>
      <c r="G70">
        <f t="shared" si="4"/>
        <v>-1.546463113272712</v>
      </c>
      <c r="H70" s="8">
        <f t="shared" si="5"/>
        <v>-1.523260216193048</v>
      </c>
    </row>
    <row r="71" spans="1:8" x14ac:dyDescent="0.2">
      <c r="A71">
        <v>1992</v>
      </c>
      <c r="B71" t="s">
        <v>8</v>
      </c>
      <c r="C71" s="12">
        <v>0.21299999999999999</v>
      </c>
      <c r="D71" s="8">
        <v>0.501</v>
      </c>
      <c r="E71" s="8">
        <v>0.498</v>
      </c>
      <c r="F71" s="8">
        <f t="shared" si="3"/>
        <v>0.99401197604790414</v>
      </c>
      <c r="G71">
        <f t="shared" si="4"/>
        <v>-1.5245795501208852</v>
      </c>
      <c r="H71" s="8">
        <f t="shared" si="5"/>
        <v>-0.69114917789727226</v>
      </c>
    </row>
    <row r="72" spans="1:8" x14ac:dyDescent="0.2">
      <c r="A72">
        <v>1993</v>
      </c>
      <c r="B72" t="s">
        <v>4</v>
      </c>
      <c r="C72" s="12">
        <v>0.218</v>
      </c>
      <c r="D72" s="8">
        <v>3.7999999999999999E-2</v>
      </c>
      <c r="E72" s="8">
        <v>4.5999999999999999E-2</v>
      </c>
      <c r="F72" s="8">
        <f t="shared" si="3"/>
        <v>1.2105263157894737</v>
      </c>
      <c r="G72">
        <f t="shared" si="4"/>
        <v>-2.9305360739974504</v>
      </c>
      <c r="H72" s="8">
        <f t="shared" si="5"/>
        <v>-3.2701691192557512</v>
      </c>
    </row>
    <row r="73" spans="1:8" x14ac:dyDescent="0.2">
      <c r="A73">
        <v>1993</v>
      </c>
      <c r="B73" t="s">
        <v>5</v>
      </c>
      <c r="C73" s="12">
        <v>0.218</v>
      </c>
      <c r="D73" s="8">
        <v>0.1</v>
      </c>
      <c r="E73" s="8">
        <v>9.6000000000000002E-2</v>
      </c>
      <c r="F73" s="8">
        <f t="shared" si="3"/>
        <v>0.96</v>
      </c>
      <c r="G73">
        <f t="shared" si="4"/>
        <v>-1.3891785162997539</v>
      </c>
      <c r="H73" s="8">
        <f t="shared" si="5"/>
        <v>-2.3025850929940455</v>
      </c>
    </row>
    <row r="74" spans="1:8" x14ac:dyDescent="0.2">
      <c r="A74">
        <v>1993</v>
      </c>
      <c r="B74" t="s">
        <v>6</v>
      </c>
      <c r="C74" s="12">
        <v>0.218</v>
      </c>
      <c r="D74" s="8">
        <v>0.153</v>
      </c>
      <c r="E74" s="8">
        <v>0.15</v>
      </c>
      <c r="F74" s="8">
        <f t="shared" si="3"/>
        <v>0.98039215686274506</v>
      </c>
      <c r="G74">
        <f t="shared" si="4"/>
        <v>-1.4552872326068418</v>
      </c>
      <c r="H74" s="8">
        <f t="shared" si="5"/>
        <v>-1.8773173575897015</v>
      </c>
    </row>
    <row r="75" spans="1:8" x14ac:dyDescent="0.2">
      <c r="A75">
        <v>1993</v>
      </c>
      <c r="B75" t="s">
        <v>7</v>
      </c>
      <c r="C75" s="12">
        <v>0.218</v>
      </c>
      <c r="D75" s="8">
        <v>0.21899999999999997</v>
      </c>
      <c r="E75" s="8">
        <v>0.22</v>
      </c>
      <c r="F75" s="8">
        <f t="shared" si="3"/>
        <v>1.0045662100456623</v>
      </c>
      <c r="G75">
        <f t="shared" si="4"/>
        <v>-1.5397755542966605</v>
      </c>
      <c r="H75" s="8">
        <f t="shared" si="5"/>
        <v>-1.5186835491656363</v>
      </c>
    </row>
    <row r="76" spans="1:8" x14ac:dyDescent="0.2">
      <c r="A76">
        <v>1993</v>
      </c>
      <c r="B76" t="s">
        <v>8</v>
      </c>
      <c r="C76" s="12">
        <v>0.218</v>
      </c>
      <c r="D76" s="8">
        <v>0.499</v>
      </c>
      <c r="E76" s="8">
        <v>0.496</v>
      </c>
      <c r="F76" s="8">
        <f t="shared" si="3"/>
        <v>0.9939879759519038</v>
      </c>
      <c r="G76">
        <f t="shared" si="4"/>
        <v>-1.5019234056564306</v>
      </c>
      <c r="H76" s="8">
        <f t="shared" si="5"/>
        <v>-0.69514918323061836</v>
      </c>
    </row>
    <row r="77" spans="1:8" x14ac:dyDescent="0.2">
      <c r="A77">
        <v>1994</v>
      </c>
      <c r="B77" t="s">
        <v>4</v>
      </c>
      <c r="C77" s="12">
        <v>0.221</v>
      </c>
      <c r="D77" s="8">
        <v>3.7000000000000005E-2</v>
      </c>
      <c r="E77" s="8">
        <v>4.5999999999999999E-2</v>
      </c>
      <c r="F77" s="8">
        <f t="shared" si="3"/>
        <v>1.243243243243243</v>
      </c>
      <c r="G77">
        <f t="shared" si="4"/>
        <v>-3.4573388247159169</v>
      </c>
      <c r="H77" s="8">
        <f t="shared" si="5"/>
        <v>-3.2968373663379125</v>
      </c>
    </row>
    <row r="78" spans="1:8" x14ac:dyDescent="0.2">
      <c r="A78">
        <v>1994</v>
      </c>
      <c r="B78" t="s">
        <v>5</v>
      </c>
      <c r="C78" s="12">
        <v>0.221</v>
      </c>
      <c r="D78" s="8">
        <v>0.1</v>
      </c>
      <c r="E78" s="8">
        <v>9.6999999999999989E-2</v>
      </c>
      <c r="F78" s="8">
        <f t="shared" si="3"/>
        <v>0.96999999999999986</v>
      </c>
      <c r="G78">
        <f t="shared" si="4"/>
        <v>-1.4090718088098788</v>
      </c>
      <c r="H78" s="8">
        <f t="shared" si="5"/>
        <v>-2.3025850929940455</v>
      </c>
    </row>
    <row r="79" spans="1:8" x14ac:dyDescent="0.2">
      <c r="A79">
        <v>1994</v>
      </c>
      <c r="B79" t="s">
        <v>6</v>
      </c>
      <c r="C79" s="12">
        <v>0.221</v>
      </c>
      <c r="D79" s="8">
        <v>0.154</v>
      </c>
      <c r="E79" s="8">
        <v>0.15</v>
      </c>
      <c r="F79" s="8">
        <f t="shared" si="3"/>
        <v>0.97402597402597402</v>
      </c>
      <c r="G79">
        <f t="shared" si="4"/>
        <v>-1.421988831249861</v>
      </c>
      <c r="H79" s="8">
        <f t="shared" si="5"/>
        <v>-1.870802676568508</v>
      </c>
    </row>
    <row r="80" spans="1:8" x14ac:dyDescent="0.2">
      <c r="A80">
        <v>1994</v>
      </c>
      <c r="B80" t="s">
        <v>7</v>
      </c>
      <c r="C80" s="12">
        <v>0.221</v>
      </c>
      <c r="D80" s="8">
        <v>0.22</v>
      </c>
      <c r="E80" s="8">
        <v>0.22</v>
      </c>
      <c r="F80" s="8">
        <f t="shared" si="3"/>
        <v>1</v>
      </c>
      <c r="G80">
        <f t="shared" si="4"/>
        <v>-1.5095925774643844</v>
      </c>
      <c r="H80" s="8">
        <f t="shared" si="5"/>
        <v>-1.5141277326297755</v>
      </c>
    </row>
    <row r="81" spans="1:8" x14ac:dyDescent="0.2">
      <c r="A81">
        <v>1994</v>
      </c>
      <c r="B81" t="s">
        <v>8</v>
      </c>
      <c r="C81" s="12">
        <v>0.221</v>
      </c>
      <c r="D81" s="8">
        <v>0.498</v>
      </c>
      <c r="E81" s="8">
        <v>0.495</v>
      </c>
      <c r="F81" s="8">
        <f t="shared" si="3"/>
        <v>0.99397590361445787</v>
      </c>
      <c r="G81">
        <f t="shared" si="4"/>
        <v>-1.4885806245402695</v>
      </c>
      <c r="H81" s="8">
        <f t="shared" si="5"/>
        <v>-0.69715520195748415</v>
      </c>
    </row>
    <row r="82" spans="1:8" x14ac:dyDescent="0.2">
      <c r="A82">
        <v>1995</v>
      </c>
      <c r="B82" t="s">
        <v>4</v>
      </c>
      <c r="C82" s="12">
        <v>0.224</v>
      </c>
      <c r="D82" s="8">
        <v>0.04</v>
      </c>
      <c r="E82" s="8">
        <v>4.8000000000000001E-2</v>
      </c>
      <c r="F82" s="8">
        <f t="shared" si="3"/>
        <v>1.2</v>
      </c>
      <c r="G82">
        <f t="shared" si="4"/>
        <v>-2.6765515340428396</v>
      </c>
      <c r="H82" s="8">
        <f t="shared" si="5"/>
        <v>-3.2188758248682006</v>
      </c>
    </row>
    <row r="83" spans="1:8" x14ac:dyDescent="0.2">
      <c r="A83">
        <v>1995</v>
      </c>
      <c r="B83" t="s">
        <v>5</v>
      </c>
      <c r="C83" s="12">
        <v>0.224</v>
      </c>
      <c r="D83" s="8">
        <v>9.9000000000000005E-2</v>
      </c>
      <c r="E83" s="8">
        <v>9.6999999999999989E-2</v>
      </c>
      <c r="F83" s="8">
        <f t="shared" si="3"/>
        <v>0.97979797979797967</v>
      </c>
      <c r="G83">
        <f t="shared" si="4"/>
        <v>-1.4284640647390134</v>
      </c>
      <c r="H83" s="8">
        <f t="shared" si="5"/>
        <v>-2.312635428847547</v>
      </c>
    </row>
    <row r="84" spans="1:8" x14ac:dyDescent="0.2">
      <c r="A84">
        <v>1995</v>
      </c>
      <c r="B84" t="s">
        <v>6</v>
      </c>
      <c r="C84" s="12">
        <v>0.224</v>
      </c>
      <c r="D84" s="8">
        <v>0.151</v>
      </c>
      <c r="E84" s="8">
        <v>0.14699999999999999</v>
      </c>
      <c r="F84" s="8">
        <f t="shared" si="3"/>
        <v>0.97350993377483441</v>
      </c>
      <c r="G84">
        <f t="shared" si="4"/>
        <v>-1.4083097659292902</v>
      </c>
      <c r="H84" s="8">
        <f t="shared" si="5"/>
        <v>-1.8904754421672127</v>
      </c>
    </row>
    <row r="85" spans="1:8" x14ac:dyDescent="0.2">
      <c r="A85">
        <v>1995</v>
      </c>
      <c r="B85" t="s">
        <v>7</v>
      </c>
      <c r="C85" s="12">
        <v>0.224</v>
      </c>
      <c r="D85" s="8">
        <v>0.21600000000000003</v>
      </c>
      <c r="E85" s="8">
        <v>0.21600000000000003</v>
      </c>
      <c r="F85" s="8">
        <f t="shared" si="3"/>
        <v>1</v>
      </c>
      <c r="G85">
        <f t="shared" si="4"/>
        <v>-1.4961092271270973</v>
      </c>
      <c r="H85" s="8">
        <f t="shared" si="5"/>
        <v>-1.5324768712979719</v>
      </c>
    </row>
    <row r="86" spans="1:8" x14ac:dyDescent="0.2">
      <c r="A86">
        <v>1995</v>
      </c>
      <c r="B86" t="s">
        <v>8</v>
      </c>
      <c r="C86" s="12">
        <v>0.224</v>
      </c>
      <c r="D86" s="8">
        <v>0.502</v>
      </c>
      <c r="E86" s="8">
        <v>0.5</v>
      </c>
      <c r="F86" s="8">
        <f t="shared" si="3"/>
        <v>0.99601593625498008</v>
      </c>
      <c r="G86">
        <f t="shared" si="4"/>
        <v>-1.4824016712972337</v>
      </c>
      <c r="H86" s="8">
        <f t="shared" si="5"/>
        <v>-0.68915515929040783</v>
      </c>
    </row>
    <row r="87" spans="1:8" x14ac:dyDescent="0.2">
      <c r="A87">
        <v>1996</v>
      </c>
      <c r="B87" t="s">
        <v>4</v>
      </c>
      <c r="C87" s="12">
        <v>0.22600000000000001</v>
      </c>
      <c r="D87" s="8">
        <v>3.7999999999999999E-2</v>
      </c>
      <c r="E87" s="8">
        <v>4.5999999999999999E-2</v>
      </c>
      <c r="F87" s="8">
        <f t="shared" si="3"/>
        <v>1.2105263157894737</v>
      </c>
      <c r="G87">
        <f t="shared" si="4"/>
        <v>-2.7637854794731829</v>
      </c>
      <c r="H87" s="8">
        <f t="shared" si="5"/>
        <v>-3.2701691192557512</v>
      </c>
    </row>
    <row r="88" spans="1:8" x14ac:dyDescent="0.2">
      <c r="A88">
        <v>1996</v>
      </c>
      <c r="B88" t="s">
        <v>5</v>
      </c>
      <c r="C88" s="12">
        <v>0.22600000000000001</v>
      </c>
      <c r="D88" s="8">
        <v>9.6000000000000002E-2</v>
      </c>
      <c r="E88" s="8">
        <v>9.3000000000000013E-2</v>
      </c>
      <c r="F88" s="8">
        <f t="shared" si="3"/>
        <v>0.96875000000000011</v>
      </c>
      <c r="G88">
        <f t="shared" si="4"/>
        <v>-1.3855446422293451</v>
      </c>
      <c r="H88" s="8">
        <f t="shared" si="5"/>
        <v>-2.3434070875143007</v>
      </c>
    </row>
    <row r="89" spans="1:8" x14ac:dyDescent="0.2">
      <c r="A89">
        <v>1996</v>
      </c>
      <c r="B89" t="s">
        <v>6</v>
      </c>
      <c r="C89" s="12">
        <v>0.22600000000000001</v>
      </c>
      <c r="D89" s="8">
        <v>0.14800000000000002</v>
      </c>
      <c r="E89" s="8">
        <v>0.14400000000000002</v>
      </c>
      <c r="F89" s="8">
        <f t="shared" si="3"/>
        <v>0.97297297297297292</v>
      </c>
      <c r="G89">
        <f t="shared" si="4"/>
        <v>-1.39869525973057</v>
      </c>
      <c r="H89" s="8">
        <f t="shared" si="5"/>
        <v>-1.9105430052180219</v>
      </c>
    </row>
    <row r="90" spans="1:8" x14ac:dyDescent="0.2">
      <c r="A90">
        <v>1996</v>
      </c>
      <c r="B90" t="s">
        <v>7</v>
      </c>
      <c r="C90" s="12">
        <v>0.22600000000000001</v>
      </c>
      <c r="D90" s="8">
        <v>0.21199999999999999</v>
      </c>
      <c r="E90" s="8">
        <v>0.21100000000000002</v>
      </c>
      <c r="F90" s="8">
        <f t="shared" si="3"/>
        <v>0.9952830188679247</v>
      </c>
      <c r="G90">
        <f t="shared" si="4"/>
        <v>-1.4711947602447846</v>
      </c>
      <c r="H90" s="8">
        <f t="shared" si="5"/>
        <v>-1.5511690043101247</v>
      </c>
    </row>
    <row r="91" spans="1:8" x14ac:dyDescent="0.2">
      <c r="A91">
        <v>1996</v>
      </c>
      <c r="B91" t="s">
        <v>8</v>
      </c>
      <c r="C91" s="12">
        <v>0.22600000000000001</v>
      </c>
      <c r="D91" s="8">
        <v>0.51400000000000001</v>
      </c>
      <c r="E91" s="8">
        <v>0.51200000000000001</v>
      </c>
      <c r="F91" s="8">
        <f t="shared" si="3"/>
        <v>0.99610894941634243</v>
      </c>
      <c r="G91">
        <f t="shared" si="4"/>
        <v>-1.4739823022652565</v>
      </c>
      <c r="H91" s="8">
        <f t="shared" si="5"/>
        <v>-0.66553201352697189</v>
      </c>
    </row>
    <row r="92" spans="1:8" x14ac:dyDescent="0.2">
      <c r="A92">
        <v>1997</v>
      </c>
      <c r="B92" t="s">
        <v>4</v>
      </c>
      <c r="C92" s="12">
        <v>0.22700000000000001</v>
      </c>
      <c r="D92" s="8">
        <v>3.9E-2</v>
      </c>
      <c r="E92" s="8">
        <v>4.7E-2</v>
      </c>
      <c r="F92" s="8">
        <f t="shared" si="3"/>
        <v>1.2051282051282051</v>
      </c>
      <c r="G92">
        <f t="shared" si="4"/>
        <v>-2.6818577757072584</v>
      </c>
      <c r="H92" s="8">
        <f t="shared" si="5"/>
        <v>-3.2441936328524905</v>
      </c>
    </row>
    <row r="93" spans="1:8" x14ac:dyDescent="0.2">
      <c r="A93">
        <v>1997</v>
      </c>
      <c r="B93" t="s">
        <v>5</v>
      </c>
      <c r="C93" s="12">
        <v>0.22700000000000001</v>
      </c>
      <c r="D93" s="8">
        <v>9.3000000000000013E-2</v>
      </c>
      <c r="E93" s="8">
        <v>0.09</v>
      </c>
      <c r="F93" s="8">
        <f t="shared" si="3"/>
        <v>0.96774193548387077</v>
      </c>
      <c r="G93">
        <f t="shared" si="4"/>
        <v>-1.3785822406335511</v>
      </c>
      <c r="H93" s="8">
        <f t="shared" si="5"/>
        <v>-2.375155785828881</v>
      </c>
    </row>
    <row r="94" spans="1:8" x14ac:dyDescent="0.2">
      <c r="A94">
        <v>1997</v>
      </c>
      <c r="B94" t="s">
        <v>6</v>
      </c>
      <c r="C94" s="12">
        <v>0.22700000000000001</v>
      </c>
      <c r="D94" s="8">
        <v>0.14400000000000002</v>
      </c>
      <c r="E94" s="8">
        <v>0.14000000000000001</v>
      </c>
      <c r="F94" s="8">
        <f t="shared" si="3"/>
        <v>0.97222222222222221</v>
      </c>
      <c r="G94">
        <f t="shared" si="4"/>
        <v>-1.3924242214954277</v>
      </c>
      <c r="H94" s="8">
        <f t="shared" si="5"/>
        <v>-1.9379419794061363</v>
      </c>
    </row>
    <row r="95" spans="1:8" x14ac:dyDescent="0.2">
      <c r="A95">
        <v>1997</v>
      </c>
      <c r="B95" t="s">
        <v>7</v>
      </c>
      <c r="C95" s="12">
        <v>0.22700000000000001</v>
      </c>
      <c r="D95" s="8">
        <v>0.20600000000000002</v>
      </c>
      <c r="E95" s="8">
        <v>0.20600000000000002</v>
      </c>
      <c r="F95" s="8">
        <f t="shared" si="3"/>
        <v>1</v>
      </c>
      <c r="G95">
        <f t="shared" si="4"/>
        <v>-1.4828052615007346</v>
      </c>
      <c r="H95" s="8">
        <f t="shared" si="5"/>
        <v>-1.579879110192556</v>
      </c>
    </row>
    <row r="96" spans="1:8" x14ac:dyDescent="0.2">
      <c r="A96">
        <v>1997</v>
      </c>
      <c r="B96" t="s">
        <v>8</v>
      </c>
      <c r="C96" s="12">
        <v>0.22700000000000001</v>
      </c>
      <c r="D96" s="8">
        <v>0.52500000000000002</v>
      </c>
      <c r="E96" s="8">
        <v>0.52300000000000002</v>
      </c>
      <c r="F96" s="8">
        <f t="shared" si="3"/>
        <v>0.99619047619047618</v>
      </c>
      <c r="G96">
        <f t="shared" si="4"/>
        <v>-1.4699161645347953</v>
      </c>
      <c r="H96" s="8">
        <f t="shared" si="5"/>
        <v>-0.64435701639051324</v>
      </c>
    </row>
    <row r="97" spans="1:8" x14ac:dyDescent="0.2">
      <c r="A97">
        <v>1998</v>
      </c>
      <c r="B97" t="s">
        <v>4</v>
      </c>
      <c r="C97" s="12">
        <v>0.224</v>
      </c>
      <c r="D97" s="8">
        <v>0.04</v>
      </c>
      <c r="E97" s="8">
        <v>4.7E-2</v>
      </c>
      <c r="F97" s="8">
        <f t="shared" si="3"/>
        <v>1.175</v>
      </c>
      <c r="G97">
        <f t="shared" si="4"/>
        <v>-2.4281483159693922</v>
      </c>
      <c r="H97" s="8">
        <f t="shared" si="5"/>
        <v>-3.2188758248682006</v>
      </c>
    </row>
    <row r="98" spans="1:8" x14ac:dyDescent="0.2">
      <c r="A98">
        <v>1998</v>
      </c>
      <c r="B98" t="s">
        <v>5</v>
      </c>
      <c r="C98" s="12">
        <v>0.224</v>
      </c>
      <c r="D98" s="8">
        <v>9.1999999999999998E-2</v>
      </c>
      <c r="E98" s="8">
        <v>0.09</v>
      </c>
      <c r="F98" s="8">
        <f t="shared" si="3"/>
        <v>0.97826086956521741</v>
      </c>
      <c r="G98">
        <f t="shared" si="4"/>
        <v>-1.4234997151699575</v>
      </c>
      <c r="H98" s="8">
        <f t="shared" si="5"/>
        <v>-2.3859667019330968</v>
      </c>
    </row>
    <row r="99" spans="1:8" x14ac:dyDescent="0.2">
      <c r="A99">
        <v>1998</v>
      </c>
      <c r="B99" t="s">
        <v>6</v>
      </c>
      <c r="C99" s="12">
        <v>0.224</v>
      </c>
      <c r="D99" s="8">
        <v>0.14199999999999999</v>
      </c>
      <c r="E99" s="8">
        <v>0.13800000000000001</v>
      </c>
      <c r="F99" s="8">
        <f t="shared" si="3"/>
        <v>0.97183098591549311</v>
      </c>
      <c r="G99">
        <f t="shared" si="4"/>
        <v>-1.402996447950601</v>
      </c>
      <c r="H99" s="8">
        <f t="shared" si="5"/>
        <v>-1.9519282213808764</v>
      </c>
    </row>
    <row r="100" spans="1:8" x14ac:dyDescent="0.2">
      <c r="A100">
        <v>1998</v>
      </c>
      <c r="B100" t="s">
        <v>7</v>
      </c>
      <c r="C100" s="12">
        <v>0.224</v>
      </c>
      <c r="D100" s="8">
        <v>0.20300000000000001</v>
      </c>
      <c r="E100" s="8">
        <v>0.20300000000000001</v>
      </c>
      <c r="F100" s="8">
        <f t="shared" si="3"/>
        <v>1</v>
      </c>
      <c r="G100">
        <f t="shared" si="4"/>
        <v>-1.4961092271270973</v>
      </c>
      <c r="H100" s="8">
        <f t="shared" si="5"/>
        <v>-1.5945492999403497</v>
      </c>
    </row>
    <row r="101" spans="1:8" x14ac:dyDescent="0.2">
      <c r="A101">
        <v>1998</v>
      </c>
      <c r="B101" t="s">
        <v>8</v>
      </c>
      <c r="C101" s="12">
        <v>0.224</v>
      </c>
      <c r="D101" s="8">
        <v>0.52900000000000003</v>
      </c>
      <c r="E101" s="8">
        <v>0.52700000000000002</v>
      </c>
      <c r="F101" s="8">
        <f t="shared" si="3"/>
        <v>0.99621928166351603</v>
      </c>
      <c r="G101">
        <f t="shared" si="4"/>
        <v>-1.4830967690549264</v>
      </c>
      <c r="H101" s="8">
        <f t="shared" si="5"/>
        <v>-0.63676684712383758</v>
      </c>
    </row>
    <row r="102" spans="1:8" x14ac:dyDescent="0.2">
      <c r="A102">
        <v>1999</v>
      </c>
      <c r="B102" t="s">
        <v>4</v>
      </c>
      <c r="C102" s="12">
        <v>0.22700000000000001</v>
      </c>
      <c r="D102" s="8">
        <v>0.04</v>
      </c>
      <c r="E102" s="8">
        <v>4.7E-2</v>
      </c>
      <c r="F102" s="8">
        <f t="shared" si="3"/>
        <v>1.175</v>
      </c>
      <c r="G102">
        <f t="shared" si="4"/>
        <v>-2.388960308740792</v>
      </c>
      <c r="H102" s="8">
        <f t="shared" si="5"/>
        <v>-3.2188758248682006</v>
      </c>
    </row>
    <row r="103" spans="1:8" x14ac:dyDescent="0.2">
      <c r="A103">
        <v>1999</v>
      </c>
      <c r="B103" t="s">
        <v>5</v>
      </c>
      <c r="C103" s="12">
        <v>0.22700000000000001</v>
      </c>
      <c r="D103" s="8">
        <v>0.09</v>
      </c>
      <c r="E103" s="8">
        <v>8.8000000000000009E-2</v>
      </c>
      <c r="F103" s="8">
        <f t="shared" si="3"/>
        <v>0.97777777777777786</v>
      </c>
      <c r="G103">
        <f t="shared" si="4"/>
        <v>-1.4098587215372926</v>
      </c>
      <c r="H103" s="8">
        <f t="shared" si="5"/>
        <v>-2.4079456086518722</v>
      </c>
    </row>
    <row r="104" spans="1:8" x14ac:dyDescent="0.2">
      <c r="A104">
        <v>1999</v>
      </c>
      <c r="B104" t="s">
        <v>6</v>
      </c>
      <c r="C104" s="12">
        <v>0.22700000000000001</v>
      </c>
      <c r="D104" s="8">
        <v>0.14000000000000001</v>
      </c>
      <c r="E104" s="8">
        <v>0.13600000000000001</v>
      </c>
      <c r="F104" s="8">
        <f t="shared" si="3"/>
        <v>0.97142857142857142</v>
      </c>
      <c r="G104">
        <f t="shared" si="4"/>
        <v>-1.3899582076732131</v>
      </c>
      <c r="H104" s="8">
        <f t="shared" si="5"/>
        <v>-1.9661128563728327</v>
      </c>
    </row>
    <row r="105" spans="1:8" x14ac:dyDescent="0.2">
      <c r="A105">
        <v>1999</v>
      </c>
      <c r="B105" t="s">
        <v>7</v>
      </c>
      <c r="C105" s="12">
        <v>0.22700000000000001</v>
      </c>
      <c r="D105" s="8">
        <v>0.2</v>
      </c>
      <c r="E105" s="8">
        <v>0.19899999999999998</v>
      </c>
      <c r="F105" s="8">
        <f t="shared" si="3"/>
        <v>0.99499999999999988</v>
      </c>
      <c r="G105">
        <f t="shared" si="4"/>
        <v>-1.4659221548821095</v>
      </c>
      <c r="H105" s="8">
        <f t="shared" si="5"/>
        <v>-1.6094379124341003</v>
      </c>
    </row>
    <row r="106" spans="1:8" x14ac:dyDescent="0.2">
      <c r="A106">
        <v>1999</v>
      </c>
      <c r="B106" t="s">
        <v>8</v>
      </c>
      <c r="C106" s="12">
        <v>0.22700000000000001</v>
      </c>
      <c r="D106" s="8">
        <v>0.53700000000000003</v>
      </c>
      <c r="E106" s="8">
        <v>0.53500000000000003</v>
      </c>
      <c r="F106" s="8">
        <f t="shared" si="3"/>
        <v>0.9962756052141527</v>
      </c>
      <c r="G106">
        <f t="shared" si="4"/>
        <v>-1.4702023817655361</v>
      </c>
      <c r="H106" s="8">
        <f t="shared" si="5"/>
        <v>-0.62175718447327233</v>
      </c>
    </row>
    <row r="107" spans="1:8" x14ac:dyDescent="0.2">
      <c r="A107">
        <v>2000</v>
      </c>
      <c r="B107" t="s">
        <v>4</v>
      </c>
      <c r="C107" s="12">
        <v>0.22900000000000001</v>
      </c>
      <c r="D107" s="8">
        <v>3.7999999999999999E-2</v>
      </c>
      <c r="E107" s="8">
        <v>4.4999999999999998E-2</v>
      </c>
      <c r="F107" s="8">
        <f t="shared" si="3"/>
        <v>1.1842105263157894</v>
      </c>
      <c r="G107">
        <f t="shared" si="4"/>
        <v>-2.4421496864227361</v>
      </c>
      <c r="H107" s="8">
        <f t="shared" si="5"/>
        <v>-3.2701691192557512</v>
      </c>
    </row>
    <row r="108" spans="1:8" x14ac:dyDescent="0.2">
      <c r="A108">
        <v>2000</v>
      </c>
      <c r="B108" t="s">
        <v>5</v>
      </c>
      <c r="C108" s="12">
        <v>0.22900000000000001</v>
      </c>
      <c r="D108" s="8">
        <v>8.6999999999999994E-2</v>
      </c>
      <c r="E108" s="8">
        <v>8.5999999999999993E-2</v>
      </c>
      <c r="F108" s="8">
        <f t="shared" si="3"/>
        <v>0.9885057471264368</v>
      </c>
      <c r="G108">
        <f t="shared" si="4"/>
        <v>-1.4360643154718251</v>
      </c>
      <c r="H108" s="8">
        <f t="shared" si="5"/>
        <v>-2.4418471603275536</v>
      </c>
    </row>
    <row r="109" spans="1:8" x14ac:dyDescent="0.2">
      <c r="A109">
        <v>2000</v>
      </c>
      <c r="B109" t="s">
        <v>6</v>
      </c>
      <c r="C109" s="12">
        <v>0.22900000000000001</v>
      </c>
      <c r="D109" s="8">
        <v>0.13600000000000001</v>
      </c>
      <c r="E109" s="8">
        <v>0.13300000000000001</v>
      </c>
      <c r="F109" s="8">
        <f t="shared" si="3"/>
        <v>0.9779411764705882</v>
      </c>
      <c r="G109">
        <f t="shared" si="4"/>
        <v>-1.4023938534916891</v>
      </c>
      <c r="H109" s="8">
        <f t="shared" si="5"/>
        <v>-1.9951003932460849</v>
      </c>
    </row>
    <row r="110" spans="1:8" x14ac:dyDescent="0.2">
      <c r="A110">
        <v>2000</v>
      </c>
      <c r="B110" t="s">
        <v>7</v>
      </c>
      <c r="C110" s="12">
        <v>0.22900000000000001</v>
      </c>
      <c r="D110" s="8">
        <v>0.19699999999999998</v>
      </c>
      <c r="E110" s="8">
        <v>0.19600000000000001</v>
      </c>
      <c r="F110" s="8">
        <f t="shared" si="3"/>
        <v>0.9949238578680204</v>
      </c>
      <c r="G110">
        <f t="shared" si="4"/>
        <v>-1.4570872563189676</v>
      </c>
      <c r="H110" s="8">
        <f t="shared" si="5"/>
        <v>-1.6245515502441485</v>
      </c>
    </row>
    <row r="111" spans="1:8" x14ac:dyDescent="0.2">
      <c r="A111">
        <v>2000</v>
      </c>
      <c r="B111" t="s">
        <v>8</v>
      </c>
      <c r="C111" s="12">
        <v>0.22900000000000001</v>
      </c>
      <c r="D111" s="8">
        <v>0.54799999999999993</v>
      </c>
      <c r="E111" s="8">
        <v>0.54600000000000004</v>
      </c>
      <c r="F111" s="8">
        <f t="shared" si="3"/>
        <v>0.99635036496350382</v>
      </c>
      <c r="G111">
        <f t="shared" si="4"/>
        <v>-1.4618205197836687</v>
      </c>
      <c r="H111" s="8">
        <f t="shared" si="5"/>
        <v>-0.60147999203412161</v>
      </c>
    </row>
    <row r="112" spans="1:8" x14ac:dyDescent="0.2">
      <c r="A112">
        <v>2001</v>
      </c>
      <c r="B112" t="s">
        <v>4</v>
      </c>
      <c r="C112" s="12">
        <v>0.21299999999999999</v>
      </c>
      <c r="D112" s="8">
        <v>3.9E-2</v>
      </c>
      <c r="E112" s="8">
        <v>4.7E-2</v>
      </c>
      <c r="F112" s="8">
        <f t="shared" si="3"/>
        <v>1.2051282051282051</v>
      </c>
      <c r="G112">
        <f t="shared" si="4"/>
        <v>-2.964929535339131</v>
      </c>
      <c r="H112" s="8">
        <f t="shared" si="5"/>
        <v>-3.2441936328524905</v>
      </c>
    </row>
    <row r="113" spans="1:8" x14ac:dyDescent="0.2">
      <c r="A113">
        <v>2001</v>
      </c>
      <c r="B113" t="s">
        <v>5</v>
      </c>
      <c r="C113" s="12">
        <v>0.21299999999999999</v>
      </c>
      <c r="D113" s="8">
        <v>9.0999999999999998E-2</v>
      </c>
      <c r="E113" s="8">
        <v>0.09</v>
      </c>
      <c r="F113" s="8">
        <f t="shared" si="3"/>
        <v>0.98901098901098905</v>
      </c>
      <c r="G113">
        <f t="shared" si="4"/>
        <v>-1.5066631545507299</v>
      </c>
      <c r="H113" s="8">
        <f t="shared" si="5"/>
        <v>-2.3968957724652871</v>
      </c>
    </row>
    <row r="114" spans="1:8" x14ac:dyDescent="0.2">
      <c r="A114">
        <v>2001</v>
      </c>
      <c r="B114" t="s">
        <v>6</v>
      </c>
      <c r="C114" s="12">
        <v>0.21299999999999999</v>
      </c>
      <c r="D114" s="8">
        <v>0.14300000000000002</v>
      </c>
      <c r="E114" s="8">
        <v>0.13900000000000001</v>
      </c>
      <c r="F114" s="8">
        <f t="shared" si="3"/>
        <v>0.97202797202797198</v>
      </c>
      <c r="G114">
        <f t="shared" si="4"/>
        <v>-1.4481102516557907</v>
      </c>
      <c r="H114" s="8">
        <f t="shared" si="5"/>
        <v>-1.9449106487222296</v>
      </c>
    </row>
    <row r="115" spans="1:8" x14ac:dyDescent="0.2">
      <c r="A115">
        <v>2001</v>
      </c>
      <c r="B115" t="s">
        <v>7</v>
      </c>
      <c r="C115" s="12">
        <v>0.21299999999999999</v>
      </c>
      <c r="D115" s="8">
        <v>0.21</v>
      </c>
      <c r="E115" s="8">
        <v>0.20899999999999999</v>
      </c>
      <c r="F115" s="8">
        <f t="shared" si="3"/>
        <v>0.99523809523809526</v>
      </c>
      <c r="G115">
        <f t="shared" si="4"/>
        <v>-1.5290216481678907</v>
      </c>
      <c r="H115" s="8">
        <f t="shared" si="5"/>
        <v>-1.5606477482646683</v>
      </c>
    </row>
    <row r="116" spans="1:8" x14ac:dyDescent="0.2">
      <c r="A116">
        <v>2001</v>
      </c>
      <c r="B116" t="s">
        <v>8</v>
      </c>
      <c r="C116" s="12">
        <v>0.21299999999999999</v>
      </c>
      <c r="D116" s="8">
        <v>0.52400000000000002</v>
      </c>
      <c r="E116" s="8">
        <v>0.52200000000000002</v>
      </c>
      <c r="F116" s="8">
        <f t="shared" si="3"/>
        <v>0.99618320610687028</v>
      </c>
      <c r="G116">
        <f t="shared" si="4"/>
        <v>-1.5324592011119933</v>
      </c>
      <c r="H116" s="8">
        <f t="shared" si="5"/>
        <v>-0.64626359466109484</v>
      </c>
    </row>
    <row r="117" spans="1:8" x14ac:dyDescent="0.2">
      <c r="A117">
        <v>2002</v>
      </c>
      <c r="B117" t="s">
        <v>4</v>
      </c>
      <c r="C117" s="12">
        <v>0.20499999999999999</v>
      </c>
      <c r="D117" s="8">
        <v>0.04</v>
      </c>
      <c r="E117" s="8">
        <v>4.9000000000000002E-2</v>
      </c>
      <c r="F117" s="8">
        <f t="shared" si="3"/>
        <v>1.2250000000000001</v>
      </c>
      <c r="G117">
        <f t="shared" si="4"/>
        <v>-3.6448625686971678</v>
      </c>
      <c r="H117" s="8">
        <f t="shared" si="5"/>
        <v>-3.2188758248682006</v>
      </c>
    </row>
    <row r="118" spans="1:8" x14ac:dyDescent="0.2">
      <c r="A118">
        <v>2002</v>
      </c>
      <c r="B118" t="s">
        <v>5</v>
      </c>
      <c r="C118" s="12">
        <v>0.20499999999999999</v>
      </c>
      <c r="D118" s="8">
        <v>9.4E-2</v>
      </c>
      <c r="E118" s="8">
        <v>9.3000000000000013E-2</v>
      </c>
      <c r="F118" s="8">
        <f t="shared" si="3"/>
        <v>0.98936170212765973</v>
      </c>
      <c r="G118">
        <f t="shared" si="4"/>
        <v>-1.5443177785511244</v>
      </c>
      <c r="H118" s="8">
        <f t="shared" si="5"/>
        <v>-2.364460496712133</v>
      </c>
    </row>
    <row r="119" spans="1:8" x14ac:dyDescent="0.2">
      <c r="A119">
        <v>2002</v>
      </c>
      <c r="B119" t="s">
        <v>6</v>
      </c>
      <c r="C119" s="12">
        <v>0.20499999999999999</v>
      </c>
      <c r="D119" s="8">
        <v>0.14599999999999999</v>
      </c>
      <c r="E119" s="8">
        <v>0.14199999999999999</v>
      </c>
      <c r="F119" s="8">
        <f t="shared" si="3"/>
        <v>0.9726027397260274</v>
      </c>
      <c r="G119">
        <f t="shared" si="4"/>
        <v>-1.4837712701491819</v>
      </c>
      <c r="H119" s="8">
        <f t="shared" si="5"/>
        <v>-1.9241486572738007</v>
      </c>
    </row>
    <row r="120" spans="1:8" x14ac:dyDescent="0.2">
      <c r="A120">
        <v>2002</v>
      </c>
      <c r="B120" t="s">
        <v>7</v>
      </c>
      <c r="C120" s="12">
        <v>0.20499999999999999</v>
      </c>
      <c r="D120" s="8">
        <v>0.21299999999999999</v>
      </c>
      <c r="E120" s="8">
        <v>0.21199999999999999</v>
      </c>
      <c r="F120" s="8">
        <f t="shared" si="3"/>
        <v>0.99530516431924887</v>
      </c>
      <c r="G120">
        <f t="shared" si="4"/>
        <v>-1.5667022571733751</v>
      </c>
      <c r="H120" s="8">
        <f t="shared" si="5"/>
        <v>-1.546463113272712</v>
      </c>
    </row>
    <row r="121" spans="1:8" x14ac:dyDescent="0.2">
      <c r="A121">
        <v>2002</v>
      </c>
      <c r="B121" t="s">
        <v>8</v>
      </c>
      <c r="C121" s="12">
        <v>0.20499999999999999</v>
      </c>
      <c r="D121" s="8">
        <v>0.51500000000000001</v>
      </c>
      <c r="E121" s="8">
        <v>0.51200000000000001</v>
      </c>
      <c r="F121" s="8">
        <f t="shared" si="3"/>
        <v>0.99417475728155336</v>
      </c>
      <c r="G121">
        <f t="shared" si="4"/>
        <v>-1.5624061125139324</v>
      </c>
      <c r="H121" s="8">
        <f t="shared" si="5"/>
        <v>-0.6635883783184009</v>
      </c>
    </row>
    <row r="122" spans="1:8" x14ac:dyDescent="0.2">
      <c r="A122">
        <v>2003</v>
      </c>
      <c r="B122" t="s">
        <v>4</v>
      </c>
      <c r="C122" s="12">
        <v>0.19700000000000001</v>
      </c>
      <c r="D122" s="8">
        <v>3.9E-2</v>
      </c>
      <c r="E122" s="8">
        <v>4.8000000000000001E-2</v>
      </c>
      <c r="F122" s="8">
        <f t="shared" si="3"/>
        <v>1.2307692307692308</v>
      </c>
      <c r="G122">
        <f t="shared" si="4"/>
        <v>-4.4488241155973993</v>
      </c>
      <c r="H122" s="8">
        <f t="shared" si="5"/>
        <v>-3.2441936328524905</v>
      </c>
    </row>
    <row r="123" spans="1:8" x14ac:dyDescent="0.2">
      <c r="A123">
        <v>2003</v>
      </c>
      <c r="B123" t="s">
        <v>5</v>
      </c>
      <c r="C123" s="12">
        <v>0.19700000000000001</v>
      </c>
      <c r="D123" s="8">
        <v>9.1999999999999998E-2</v>
      </c>
      <c r="E123" s="8">
        <v>9.1999999999999998E-2</v>
      </c>
      <c r="F123" s="8">
        <f t="shared" si="3"/>
        <v>1</v>
      </c>
      <c r="G123">
        <f t="shared" si="4"/>
        <v>-1.6245515502441483</v>
      </c>
      <c r="H123" s="8">
        <f t="shared" si="5"/>
        <v>-2.3859667019330968</v>
      </c>
    </row>
    <row r="124" spans="1:8" x14ac:dyDescent="0.2">
      <c r="A124">
        <v>2003</v>
      </c>
      <c r="B124" t="s">
        <v>6</v>
      </c>
      <c r="C124" s="12">
        <v>0.19700000000000001</v>
      </c>
      <c r="D124" s="8">
        <v>0.14400000000000002</v>
      </c>
      <c r="E124" s="8">
        <v>0.14000000000000001</v>
      </c>
      <c r="F124" s="8">
        <f t="shared" si="3"/>
        <v>0.97222222222222221</v>
      </c>
      <c r="G124">
        <f t="shared" si="4"/>
        <v>-1.5172892907485043</v>
      </c>
      <c r="H124" s="8">
        <f t="shared" si="5"/>
        <v>-1.9379419794061363</v>
      </c>
    </row>
    <row r="125" spans="1:8" x14ac:dyDescent="0.2">
      <c r="A125">
        <v>2003</v>
      </c>
      <c r="B125" t="s">
        <v>7</v>
      </c>
      <c r="C125" s="12">
        <v>0.19700000000000001</v>
      </c>
      <c r="D125" s="8">
        <v>0.21100000000000002</v>
      </c>
      <c r="E125" s="8">
        <v>0.20899999999999999</v>
      </c>
      <c r="F125" s="8">
        <f t="shared" si="3"/>
        <v>0.99052132701421791</v>
      </c>
      <c r="G125">
        <f t="shared" si="4"/>
        <v>-1.5866428336199199</v>
      </c>
      <c r="H125" s="8">
        <f t="shared" si="5"/>
        <v>-1.5558971455060704</v>
      </c>
    </row>
    <row r="126" spans="1:8" x14ac:dyDescent="0.2">
      <c r="A126">
        <v>2003</v>
      </c>
      <c r="B126" t="s">
        <v>8</v>
      </c>
      <c r="C126" s="12">
        <v>0.19700000000000001</v>
      </c>
      <c r="D126" s="8">
        <v>0.52200000000000002</v>
      </c>
      <c r="E126" s="8">
        <v>0.51900000000000002</v>
      </c>
      <c r="F126" s="8">
        <f t="shared" si="3"/>
        <v>0.99425287356321834</v>
      </c>
      <c r="G126">
        <f t="shared" si="4"/>
        <v>-1.6013956258454629</v>
      </c>
      <c r="H126" s="8">
        <f t="shared" si="5"/>
        <v>-0.65008769109949827</v>
      </c>
    </row>
    <row r="127" spans="1:8" x14ac:dyDescent="0.2">
      <c r="A127">
        <v>2004</v>
      </c>
      <c r="B127" t="s">
        <v>4</v>
      </c>
      <c r="C127" s="12">
        <v>0.20100000000000001</v>
      </c>
      <c r="D127" s="8">
        <v>3.7999999999999999E-2</v>
      </c>
      <c r="E127" s="8">
        <v>4.7E-2</v>
      </c>
      <c r="F127" s="8">
        <f t="shared" si="3"/>
        <v>1.236842105263158</v>
      </c>
      <c r="G127">
        <f t="shared" si="4"/>
        <v>-4.4427828440949471</v>
      </c>
      <c r="H127" s="8">
        <f t="shared" si="5"/>
        <v>-3.2701691192557512</v>
      </c>
    </row>
    <row r="128" spans="1:8" x14ac:dyDescent="0.2">
      <c r="A128">
        <v>2004</v>
      </c>
      <c r="B128" t="s">
        <v>5</v>
      </c>
      <c r="C128" s="12">
        <v>0.20100000000000001</v>
      </c>
      <c r="D128" s="8">
        <v>8.900000000000001E-2</v>
      </c>
      <c r="E128" s="8">
        <v>8.900000000000001E-2</v>
      </c>
      <c r="F128" s="8">
        <f t="shared" si="3"/>
        <v>1</v>
      </c>
      <c r="G128">
        <f t="shared" si="4"/>
        <v>-1.6044503709230609</v>
      </c>
      <c r="H128" s="8">
        <f t="shared" si="5"/>
        <v>-2.4191189092499972</v>
      </c>
    </row>
    <row r="129" spans="1:8" x14ac:dyDescent="0.2">
      <c r="A129">
        <v>2004</v>
      </c>
      <c r="B129" t="s">
        <v>6</v>
      </c>
      <c r="C129" s="12">
        <v>0.20100000000000001</v>
      </c>
      <c r="D129" s="8">
        <v>0.13900000000000001</v>
      </c>
      <c r="E129" s="8">
        <v>0.13500000000000001</v>
      </c>
      <c r="F129" s="8">
        <f t="shared" si="3"/>
        <v>0.97122302158273377</v>
      </c>
      <c r="G129">
        <f t="shared" si="4"/>
        <v>-1.4961413448062759</v>
      </c>
      <c r="H129" s="8">
        <f t="shared" si="5"/>
        <v>-1.9732813458514451</v>
      </c>
    </row>
    <row r="130" spans="1:8" x14ac:dyDescent="0.2">
      <c r="A130">
        <v>2004</v>
      </c>
      <c r="B130" t="s">
        <v>7</v>
      </c>
      <c r="C130" s="12">
        <v>0.20100000000000001</v>
      </c>
      <c r="D130" s="8">
        <v>0.20600000000000002</v>
      </c>
      <c r="E130" s="8">
        <v>0.20300000000000001</v>
      </c>
      <c r="F130" s="8">
        <f t="shared" si="3"/>
        <v>0.9854368932038835</v>
      </c>
      <c r="G130">
        <f t="shared" si="4"/>
        <v>-1.5481738606020443</v>
      </c>
      <c r="H130" s="8">
        <f t="shared" si="5"/>
        <v>-1.579879110192556</v>
      </c>
    </row>
    <row r="131" spans="1:8" x14ac:dyDescent="0.2">
      <c r="A131">
        <v>2004</v>
      </c>
      <c r="B131" t="s">
        <v>8</v>
      </c>
      <c r="C131" s="12">
        <v>0.20100000000000001</v>
      </c>
      <c r="D131" s="8">
        <v>0.53500000000000003</v>
      </c>
      <c r="E131" s="8">
        <v>0.53299999999999992</v>
      </c>
      <c r="F131" s="8">
        <f t="shared" ref="F131:F194" si="6">E131/D131</f>
        <v>0.9962616822429905</v>
      </c>
      <c r="G131">
        <f t="shared" ref="G131:G194" si="7">LN(1-(1-C131)*F131)</f>
        <v>-1.5896994249994911</v>
      </c>
      <c r="H131" s="8">
        <f t="shared" ref="H131:H194" si="8">LN(D131)</f>
        <v>-0.62548853208613042</v>
      </c>
    </row>
    <row r="132" spans="1:8" x14ac:dyDescent="0.2">
      <c r="A132">
        <v>2005</v>
      </c>
      <c r="B132" t="s">
        <v>4</v>
      </c>
      <c r="C132" s="12">
        <v>0.20599999999999999</v>
      </c>
      <c r="D132" s="8">
        <v>3.7000000000000005E-2</v>
      </c>
      <c r="E132" s="8">
        <v>4.5999999999999999E-2</v>
      </c>
      <c r="F132" s="8">
        <f t="shared" si="6"/>
        <v>1.243243243243243</v>
      </c>
      <c r="G132">
        <f t="shared" si="7"/>
        <v>-4.3532553373949279</v>
      </c>
      <c r="H132" s="8">
        <f t="shared" si="8"/>
        <v>-3.2968373663379125</v>
      </c>
    </row>
    <row r="133" spans="1:8" x14ac:dyDescent="0.2">
      <c r="A133">
        <v>2005</v>
      </c>
      <c r="B133" t="s">
        <v>5</v>
      </c>
      <c r="C133" s="12">
        <v>0.20599999999999999</v>
      </c>
      <c r="D133" s="8">
        <v>8.5000000000000006E-2</v>
      </c>
      <c r="E133" s="8">
        <v>8.5000000000000006E-2</v>
      </c>
      <c r="F133" s="8">
        <f t="shared" si="6"/>
        <v>1</v>
      </c>
      <c r="G133">
        <f t="shared" si="7"/>
        <v>-1.5798791101925562</v>
      </c>
      <c r="H133" s="8">
        <f t="shared" si="8"/>
        <v>-2.4651040224918206</v>
      </c>
    </row>
    <row r="134" spans="1:8" x14ac:dyDescent="0.2">
      <c r="A134">
        <v>2005</v>
      </c>
      <c r="B134" t="s">
        <v>6</v>
      </c>
      <c r="C134" s="12">
        <v>0.20599999999999999</v>
      </c>
      <c r="D134" s="8">
        <v>0.13500000000000001</v>
      </c>
      <c r="E134" s="8">
        <v>0.13100000000000001</v>
      </c>
      <c r="F134" s="8">
        <f t="shared" si="6"/>
        <v>0.97037037037037033</v>
      </c>
      <c r="G134">
        <f t="shared" si="7"/>
        <v>-1.4717392888643295</v>
      </c>
      <c r="H134" s="8">
        <f t="shared" si="8"/>
        <v>-2.0024805005437076</v>
      </c>
    </row>
    <row r="135" spans="1:8" x14ac:dyDescent="0.2">
      <c r="A135">
        <v>2005</v>
      </c>
      <c r="B135" t="s">
        <v>7</v>
      </c>
      <c r="C135" s="12">
        <v>0.20599999999999999</v>
      </c>
      <c r="D135" s="8">
        <v>0.19899999999999998</v>
      </c>
      <c r="E135" s="8">
        <v>0.19699999999999998</v>
      </c>
      <c r="F135" s="8">
        <f t="shared" si="6"/>
        <v>0.98994974874371855</v>
      </c>
      <c r="G135">
        <f t="shared" si="7"/>
        <v>-1.5418731959535916</v>
      </c>
      <c r="H135" s="8">
        <f t="shared" si="8"/>
        <v>-1.6144504542576448</v>
      </c>
    </row>
    <row r="136" spans="1:8" x14ac:dyDescent="0.2">
      <c r="A136">
        <v>2005</v>
      </c>
      <c r="B136" t="s">
        <v>8</v>
      </c>
      <c r="C136" s="12">
        <v>0.20599999999999999</v>
      </c>
      <c r="D136" s="8">
        <v>0.55100000000000005</v>
      </c>
      <c r="E136" s="8">
        <v>0.54799999999999993</v>
      </c>
      <c r="F136" s="8">
        <f t="shared" si="6"/>
        <v>0.99455535390199612</v>
      </c>
      <c r="G136">
        <f t="shared" si="7"/>
        <v>-1.5591106016999432</v>
      </c>
      <c r="H136" s="8">
        <f t="shared" si="8"/>
        <v>-0.59602046982922252</v>
      </c>
    </row>
    <row r="137" spans="1:8" x14ac:dyDescent="0.2">
      <c r="A137">
        <v>2006</v>
      </c>
      <c r="B137" t="s">
        <v>4</v>
      </c>
      <c r="C137" s="12">
        <v>0.20699999999999999</v>
      </c>
      <c r="D137" s="8">
        <v>3.6000000000000004E-2</v>
      </c>
      <c r="E137" s="8">
        <v>4.4000000000000004E-2</v>
      </c>
      <c r="F137" s="8">
        <f t="shared" si="6"/>
        <v>1.2222222222222221</v>
      </c>
      <c r="G137">
        <f t="shared" si="7"/>
        <v>-3.4809623501310174</v>
      </c>
      <c r="H137" s="8">
        <f t="shared" si="8"/>
        <v>-3.3242363405260269</v>
      </c>
    </row>
    <row r="138" spans="1:8" x14ac:dyDescent="0.2">
      <c r="A138">
        <v>2006</v>
      </c>
      <c r="B138" t="s">
        <v>5</v>
      </c>
      <c r="C138" s="12">
        <v>0.20699999999999999</v>
      </c>
      <c r="D138" s="8">
        <v>8.4000000000000005E-2</v>
      </c>
      <c r="E138" s="8">
        <v>8.4000000000000005E-2</v>
      </c>
      <c r="F138" s="8">
        <f t="shared" si="6"/>
        <v>1</v>
      </c>
      <c r="G138">
        <f t="shared" si="7"/>
        <v>-1.5750364857167682</v>
      </c>
      <c r="H138" s="8">
        <f t="shared" si="8"/>
        <v>-2.4769384801388235</v>
      </c>
    </row>
    <row r="139" spans="1:8" x14ac:dyDescent="0.2">
      <c r="A139">
        <v>2006</v>
      </c>
      <c r="B139" t="s">
        <v>6</v>
      </c>
      <c r="C139" s="12">
        <v>0.20699999999999999</v>
      </c>
      <c r="D139" s="8">
        <v>0.13300000000000001</v>
      </c>
      <c r="E139" s="8">
        <v>0.13</v>
      </c>
      <c r="F139" s="8">
        <f t="shared" si="6"/>
        <v>0.97744360902255634</v>
      </c>
      <c r="G139">
        <f t="shared" si="7"/>
        <v>-1.4921562555798971</v>
      </c>
      <c r="H139" s="8">
        <f t="shared" si="8"/>
        <v>-2.0174061507603831</v>
      </c>
    </row>
    <row r="140" spans="1:8" x14ac:dyDescent="0.2">
      <c r="A140">
        <v>2006</v>
      </c>
      <c r="B140" t="s">
        <v>7</v>
      </c>
      <c r="C140" s="12">
        <v>0.20699999999999999</v>
      </c>
      <c r="D140" s="8">
        <v>0.19600000000000001</v>
      </c>
      <c r="E140" s="8">
        <v>0.19500000000000001</v>
      </c>
      <c r="F140" s="8">
        <f t="shared" si="6"/>
        <v>0.99489795918367352</v>
      </c>
      <c r="G140">
        <f t="shared" si="7"/>
        <v>-1.5556795465883713</v>
      </c>
      <c r="H140" s="8">
        <f t="shared" si="8"/>
        <v>-1.6296406197516198</v>
      </c>
    </row>
    <row r="141" spans="1:8" x14ac:dyDescent="0.2">
      <c r="A141">
        <v>2006</v>
      </c>
      <c r="B141" t="s">
        <v>8</v>
      </c>
      <c r="C141" s="12">
        <v>0.20699999999999999</v>
      </c>
      <c r="D141" s="8">
        <v>0.55700000000000005</v>
      </c>
      <c r="E141" s="8">
        <v>0.55399999999999994</v>
      </c>
      <c r="F141" s="8">
        <f t="shared" si="6"/>
        <v>0.9946140035906641</v>
      </c>
      <c r="G141">
        <f t="shared" si="7"/>
        <v>-1.5546131590198546</v>
      </c>
      <c r="H141" s="8">
        <f t="shared" si="8"/>
        <v>-0.5851900390548529</v>
      </c>
    </row>
    <row r="142" spans="1:8" x14ac:dyDescent="0.2">
      <c r="A142">
        <v>2007</v>
      </c>
      <c r="B142" t="s">
        <v>4</v>
      </c>
      <c r="C142" s="12">
        <v>0.20200000000000001</v>
      </c>
      <c r="D142" s="8">
        <v>3.9E-2</v>
      </c>
      <c r="E142" s="8">
        <v>4.5999999999999999E-2</v>
      </c>
      <c r="F142" s="8">
        <f t="shared" si="6"/>
        <v>1.1794871794871795</v>
      </c>
      <c r="G142">
        <f t="shared" si="7"/>
        <v>-2.8341368472771546</v>
      </c>
      <c r="H142" s="8">
        <f t="shared" si="8"/>
        <v>-3.2441936328524905</v>
      </c>
    </row>
    <row r="143" spans="1:8" x14ac:dyDescent="0.2">
      <c r="A143">
        <v>2007</v>
      </c>
      <c r="B143" t="s">
        <v>5</v>
      </c>
      <c r="C143" s="12">
        <v>0.20200000000000001</v>
      </c>
      <c r="D143" s="8">
        <v>8.5000000000000006E-2</v>
      </c>
      <c r="E143" s="8">
        <v>8.4000000000000005E-2</v>
      </c>
      <c r="F143" s="8">
        <f t="shared" si="6"/>
        <v>0.9882352941176471</v>
      </c>
      <c r="G143">
        <f t="shared" si="7"/>
        <v>-1.5540588584942296</v>
      </c>
      <c r="H143" s="8">
        <f t="shared" si="8"/>
        <v>-2.4651040224918206</v>
      </c>
    </row>
    <row r="144" spans="1:8" x14ac:dyDescent="0.2">
      <c r="A144">
        <v>2007</v>
      </c>
      <c r="B144" t="s">
        <v>6</v>
      </c>
      <c r="C144" s="12">
        <v>0.20200000000000001</v>
      </c>
      <c r="D144" s="8">
        <v>0.13300000000000001</v>
      </c>
      <c r="E144" s="8">
        <v>0.13</v>
      </c>
      <c r="F144" s="8">
        <f t="shared" si="6"/>
        <v>0.97744360902255634</v>
      </c>
      <c r="G144">
        <f t="shared" si="7"/>
        <v>-1.5141277326297757</v>
      </c>
      <c r="H144" s="8">
        <f t="shared" si="8"/>
        <v>-2.0174061507603831</v>
      </c>
    </row>
    <row r="145" spans="1:8" x14ac:dyDescent="0.2">
      <c r="A145">
        <v>2007</v>
      </c>
      <c r="B145" t="s">
        <v>7</v>
      </c>
      <c r="C145" s="12">
        <v>0.20200000000000001</v>
      </c>
      <c r="D145" s="8">
        <v>0.193</v>
      </c>
      <c r="E145" s="8">
        <v>0.191</v>
      </c>
      <c r="F145" s="8">
        <f t="shared" si="6"/>
        <v>0.98963730569948183</v>
      </c>
      <c r="G145">
        <f t="shared" si="7"/>
        <v>-1.5593655703594533</v>
      </c>
      <c r="H145" s="8">
        <f t="shared" si="8"/>
        <v>-1.6450650900772514</v>
      </c>
    </row>
    <row r="146" spans="1:8" x14ac:dyDescent="0.2">
      <c r="A146">
        <v>2007</v>
      </c>
      <c r="B146" t="s">
        <v>8</v>
      </c>
      <c r="C146" s="12">
        <v>0.20200000000000001</v>
      </c>
      <c r="D146" s="8">
        <v>0.55899999999999994</v>
      </c>
      <c r="E146" s="8">
        <v>0.55600000000000005</v>
      </c>
      <c r="F146" s="8">
        <f t="shared" si="6"/>
        <v>0.99463327370304133</v>
      </c>
      <c r="G146">
        <f t="shared" si="7"/>
        <v>-1.5785079749730151</v>
      </c>
      <c r="H146" s="8">
        <f t="shared" si="8"/>
        <v>-0.58160580582703802</v>
      </c>
    </row>
    <row r="147" spans="1:8" x14ac:dyDescent="0.2">
      <c r="A147">
        <v>2008</v>
      </c>
      <c r="B147" t="s">
        <v>4</v>
      </c>
      <c r="C147" s="12">
        <v>0.183</v>
      </c>
      <c r="D147" s="8">
        <v>0.04</v>
      </c>
      <c r="E147" s="8">
        <v>4.9000000000000002E-2</v>
      </c>
      <c r="F147" s="8">
        <f t="shared" si="6"/>
        <v>1.2250000000000001</v>
      </c>
      <c r="G147" t="e">
        <f t="shared" si="7"/>
        <v>#NUM!</v>
      </c>
      <c r="H147" s="8">
        <f t="shared" si="8"/>
        <v>-3.2188758248682006</v>
      </c>
    </row>
    <row r="148" spans="1:8" x14ac:dyDescent="0.2">
      <c r="A148">
        <v>2008</v>
      </c>
      <c r="B148" t="s">
        <v>5</v>
      </c>
      <c r="C148" s="12">
        <v>0.183</v>
      </c>
      <c r="D148" s="8">
        <v>8.900000000000001E-2</v>
      </c>
      <c r="E148" s="8">
        <v>8.8000000000000009E-2</v>
      </c>
      <c r="F148" s="8">
        <f t="shared" si="6"/>
        <v>0.9887640449438202</v>
      </c>
      <c r="G148">
        <f t="shared" si="7"/>
        <v>-1.6493240154494502</v>
      </c>
      <c r="H148" s="8">
        <f t="shared" si="8"/>
        <v>-2.4191189092499972</v>
      </c>
    </row>
    <row r="149" spans="1:8" x14ac:dyDescent="0.2">
      <c r="A149">
        <v>2008</v>
      </c>
      <c r="B149" t="s">
        <v>6</v>
      </c>
      <c r="C149" s="12">
        <v>0.183</v>
      </c>
      <c r="D149" s="8">
        <v>0.13900000000000001</v>
      </c>
      <c r="E149" s="8">
        <v>0.13600000000000001</v>
      </c>
      <c r="F149" s="8">
        <f t="shared" si="6"/>
        <v>0.97841726618705038</v>
      </c>
      <c r="G149">
        <f t="shared" si="7"/>
        <v>-1.6062774443530266</v>
      </c>
      <c r="H149" s="8">
        <f t="shared" si="8"/>
        <v>-1.9732813458514451</v>
      </c>
    </row>
    <row r="150" spans="1:8" x14ac:dyDescent="0.2">
      <c r="A150">
        <v>2008</v>
      </c>
      <c r="B150" t="s">
        <v>7</v>
      </c>
      <c r="C150" s="12">
        <v>0.183</v>
      </c>
      <c r="D150" s="8">
        <v>0.20399999999999999</v>
      </c>
      <c r="E150" s="8">
        <v>0.20100000000000001</v>
      </c>
      <c r="F150" s="8">
        <f t="shared" si="6"/>
        <v>0.98529411764705899</v>
      </c>
      <c r="G150">
        <f t="shared" si="7"/>
        <v>-1.6346803084806454</v>
      </c>
      <c r="H150" s="8">
        <f t="shared" si="8"/>
        <v>-1.5896352851379207</v>
      </c>
    </row>
    <row r="151" spans="1:8" x14ac:dyDescent="0.2">
      <c r="A151">
        <v>2008</v>
      </c>
      <c r="B151" t="s">
        <v>8</v>
      </c>
      <c r="C151" s="12">
        <v>0.183</v>
      </c>
      <c r="D151" s="8">
        <v>0.54</v>
      </c>
      <c r="E151" s="8">
        <v>0.53700000000000003</v>
      </c>
      <c r="F151" s="8">
        <f t="shared" si="6"/>
        <v>0.99444444444444446</v>
      </c>
      <c r="G151">
        <f t="shared" si="7"/>
        <v>-1.6737690476702067</v>
      </c>
      <c r="H151" s="8">
        <f t="shared" si="8"/>
        <v>-0.61618613942381695</v>
      </c>
    </row>
    <row r="152" spans="1:8" x14ac:dyDescent="0.2">
      <c r="A152">
        <v>2009</v>
      </c>
      <c r="B152" t="s">
        <v>4</v>
      </c>
      <c r="C152" s="12">
        <v>0.17499999999999999</v>
      </c>
      <c r="D152" s="8">
        <v>0.04</v>
      </c>
      <c r="E152" s="8">
        <v>0.05</v>
      </c>
      <c r="F152" s="8">
        <f t="shared" si="6"/>
        <v>1.25</v>
      </c>
      <c r="G152" t="e">
        <f t="shared" si="7"/>
        <v>#NUM!</v>
      </c>
      <c r="H152" s="8">
        <f t="shared" si="8"/>
        <v>-3.2188758248682006</v>
      </c>
    </row>
    <row r="153" spans="1:8" x14ac:dyDescent="0.2">
      <c r="A153">
        <v>2009</v>
      </c>
      <c r="B153" t="s">
        <v>5</v>
      </c>
      <c r="C153" s="12">
        <v>0.17499999999999999</v>
      </c>
      <c r="D153" s="8">
        <v>9.3000000000000013E-2</v>
      </c>
      <c r="E153" s="8">
        <v>9.1999999999999998E-2</v>
      </c>
      <c r="F153" s="8">
        <f t="shared" si="6"/>
        <v>0.98924731182795678</v>
      </c>
      <c r="G153">
        <f t="shared" si="7"/>
        <v>-1.6935210296446408</v>
      </c>
      <c r="H153" s="8">
        <f t="shared" si="8"/>
        <v>-2.375155785828881</v>
      </c>
    </row>
    <row r="154" spans="1:8" x14ac:dyDescent="0.2">
      <c r="A154">
        <v>2009</v>
      </c>
      <c r="B154" t="s">
        <v>6</v>
      </c>
      <c r="C154" s="12">
        <v>0.17499999999999999</v>
      </c>
      <c r="D154" s="8">
        <v>0.14599999999999999</v>
      </c>
      <c r="E154" s="8">
        <v>0.14199999999999999</v>
      </c>
      <c r="F154" s="8">
        <f t="shared" si="6"/>
        <v>0.9726027397260274</v>
      </c>
      <c r="G154">
        <f t="shared" si="7"/>
        <v>-1.6214966287542274</v>
      </c>
      <c r="H154" s="8">
        <f t="shared" si="8"/>
        <v>-1.9241486572738007</v>
      </c>
    </row>
    <row r="155" spans="1:8" x14ac:dyDescent="0.2">
      <c r="A155">
        <v>2009</v>
      </c>
      <c r="B155" t="s">
        <v>7</v>
      </c>
      <c r="C155" s="12">
        <v>0.17499999999999999</v>
      </c>
      <c r="D155" s="8">
        <v>0.215</v>
      </c>
      <c r="E155" s="8">
        <v>0.21100000000000002</v>
      </c>
      <c r="F155" s="8">
        <f t="shared" si="6"/>
        <v>0.98139534883720947</v>
      </c>
      <c r="G155">
        <f t="shared" si="7"/>
        <v>-1.6588969048704649</v>
      </c>
      <c r="H155" s="8">
        <f t="shared" si="8"/>
        <v>-1.5371172508544744</v>
      </c>
    </row>
    <row r="156" spans="1:8" x14ac:dyDescent="0.2">
      <c r="A156">
        <v>2009</v>
      </c>
      <c r="B156" t="s">
        <v>8</v>
      </c>
      <c r="C156" s="12">
        <v>0.17499999999999999</v>
      </c>
      <c r="D156" s="8">
        <v>0.52300000000000002</v>
      </c>
      <c r="E156" s="8">
        <v>0.52</v>
      </c>
      <c r="F156" s="8">
        <f t="shared" si="6"/>
        <v>0.99426386233269592</v>
      </c>
      <c r="G156">
        <f t="shared" si="7"/>
        <v>-1.7162866817949187</v>
      </c>
      <c r="H156" s="8">
        <f t="shared" si="8"/>
        <v>-0.64817381491721415</v>
      </c>
    </row>
    <row r="157" spans="1:8" x14ac:dyDescent="0.2">
      <c r="A157">
        <v>2010</v>
      </c>
      <c r="B157" t="s">
        <v>4</v>
      </c>
      <c r="C157" s="12">
        <v>0.182</v>
      </c>
      <c r="D157" s="8">
        <v>3.7999999999999999E-2</v>
      </c>
      <c r="E157" s="8">
        <v>0.05</v>
      </c>
      <c r="F157" s="8">
        <f t="shared" si="6"/>
        <v>1.3157894736842106</v>
      </c>
      <c r="G157" t="e">
        <f t="shared" si="7"/>
        <v>#NUM!</v>
      </c>
      <c r="H157" s="8">
        <f t="shared" si="8"/>
        <v>-3.2701691192557512</v>
      </c>
    </row>
    <row r="158" spans="1:8" x14ac:dyDescent="0.2">
      <c r="A158">
        <v>2010</v>
      </c>
      <c r="B158" t="s">
        <v>5</v>
      </c>
      <c r="C158" s="12">
        <v>0.182</v>
      </c>
      <c r="D158" s="8">
        <v>0.09</v>
      </c>
      <c r="E158" s="8">
        <v>8.900000000000001E-2</v>
      </c>
      <c r="F158" s="8">
        <f t="shared" si="6"/>
        <v>0.98888888888888904</v>
      </c>
      <c r="G158">
        <f t="shared" si="7"/>
        <v>-1.6550165723415611</v>
      </c>
      <c r="H158" s="8">
        <f t="shared" si="8"/>
        <v>-2.4079456086518722</v>
      </c>
    </row>
    <row r="159" spans="1:8" x14ac:dyDescent="0.2">
      <c r="A159">
        <v>2010</v>
      </c>
      <c r="B159" t="s">
        <v>6</v>
      </c>
      <c r="C159" s="12">
        <v>0.182</v>
      </c>
      <c r="D159" s="8">
        <v>0.14199999999999999</v>
      </c>
      <c r="E159" s="8">
        <v>0.13699999999999998</v>
      </c>
      <c r="F159" s="8">
        <f t="shared" si="6"/>
        <v>0.96478873239436613</v>
      </c>
      <c r="G159">
        <f t="shared" si="7"/>
        <v>-1.5568320994943055</v>
      </c>
      <c r="H159" s="8">
        <f t="shared" si="8"/>
        <v>-1.9519282213808764</v>
      </c>
    </row>
    <row r="160" spans="1:8" x14ac:dyDescent="0.2">
      <c r="A160">
        <v>2010</v>
      </c>
      <c r="B160" t="s">
        <v>7</v>
      </c>
      <c r="C160" s="12">
        <v>0.182</v>
      </c>
      <c r="D160" s="8">
        <v>0.20899999999999999</v>
      </c>
      <c r="E160" s="8">
        <v>0.20600000000000002</v>
      </c>
      <c r="F160" s="8">
        <f t="shared" si="6"/>
        <v>0.98564593301435421</v>
      </c>
      <c r="G160">
        <f t="shared" si="7"/>
        <v>-1.6412298282283067</v>
      </c>
      <c r="H160" s="8">
        <f t="shared" si="8"/>
        <v>-1.5654210270173261</v>
      </c>
    </row>
    <row r="161" spans="1:8" x14ac:dyDescent="0.2">
      <c r="A161">
        <v>2010</v>
      </c>
      <c r="B161" t="s">
        <v>8</v>
      </c>
      <c r="C161" s="12">
        <v>0.182</v>
      </c>
      <c r="D161" s="8">
        <v>0.53500000000000003</v>
      </c>
      <c r="E161" s="8">
        <v>0.53200000000000003</v>
      </c>
      <c r="F161" s="8">
        <f t="shared" si="6"/>
        <v>0.99439252336448603</v>
      </c>
      <c r="G161">
        <f t="shared" si="7"/>
        <v>-1.6788581115275765</v>
      </c>
      <c r="H161" s="8">
        <f t="shared" si="8"/>
        <v>-0.62548853208613042</v>
      </c>
    </row>
    <row r="162" spans="1:8" x14ac:dyDescent="0.2">
      <c r="A162">
        <v>2011</v>
      </c>
      <c r="B162" t="s">
        <v>4</v>
      </c>
      <c r="C162" s="12">
        <v>0.18</v>
      </c>
      <c r="D162" s="8">
        <v>3.9E-2</v>
      </c>
      <c r="E162" s="8">
        <v>5.0999999999999997E-2</v>
      </c>
      <c r="F162" s="8">
        <f t="shared" si="6"/>
        <v>1.3076923076923077</v>
      </c>
      <c r="G162" t="e">
        <f t="shared" si="7"/>
        <v>#NUM!</v>
      </c>
      <c r="H162" s="8">
        <f t="shared" si="8"/>
        <v>-3.2441936328524905</v>
      </c>
    </row>
    <row r="163" spans="1:8" x14ac:dyDescent="0.2">
      <c r="A163">
        <v>2011</v>
      </c>
      <c r="B163" t="s">
        <v>5</v>
      </c>
      <c r="C163" s="12">
        <v>0.18</v>
      </c>
      <c r="D163" s="8">
        <v>0.09</v>
      </c>
      <c r="E163" s="8">
        <v>8.900000000000001E-2</v>
      </c>
      <c r="F163" s="8">
        <f t="shared" si="6"/>
        <v>0.98888888888888904</v>
      </c>
      <c r="G163">
        <f t="shared" si="7"/>
        <v>-1.6654205471850381</v>
      </c>
      <c r="H163" s="8">
        <f t="shared" si="8"/>
        <v>-2.4079456086518722</v>
      </c>
    </row>
    <row r="164" spans="1:8" x14ac:dyDescent="0.2">
      <c r="A164">
        <v>2011</v>
      </c>
      <c r="B164" t="s">
        <v>6</v>
      </c>
      <c r="C164" s="12">
        <v>0.18</v>
      </c>
      <c r="D164" s="8">
        <v>0.14000000000000001</v>
      </c>
      <c r="E164" s="8">
        <v>0.13600000000000001</v>
      </c>
      <c r="F164" s="8">
        <f t="shared" si="6"/>
        <v>0.97142857142857142</v>
      </c>
      <c r="G164">
        <f t="shared" si="7"/>
        <v>-1.5924403360655295</v>
      </c>
      <c r="H164" s="8">
        <f t="shared" si="8"/>
        <v>-1.9661128563728327</v>
      </c>
    </row>
    <row r="165" spans="1:8" x14ac:dyDescent="0.2">
      <c r="A165">
        <v>2011</v>
      </c>
      <c r="B165" t="s">
        <v>7</v>
      </c>
      <c r="C165" s="12">
        <v>0.18</v>
      </c>
      <c r="D165" s="8">
        <v>0.20899999999999999</v>
      </c>
      <c r="E165" s="8">
        <v>0.20499999999999999</v>
      </c>
      <c r="F165" s="8">
        <f t="shared" si="6"/>
        <v>0.98086124401913877</v>
      </c>
      <c r="G165">
        <f t="shared" si="7"/>
        <v>-1.6312041889160553</v>
      </c>
      <c r="H165" s="8">
        <f t="shared" si="8"/>
        <v>-1.5654210270173261</v>
      </c>
    </row>
    <row r="166" spans="1:8" x14ac:dyDescent="0.2">
      <c r="A166">
        <v>2011</v>
      </c>
      <c r="B166" t="s">
        <v>8</v>
      </c>
      <c r="C166" s="12">
        <v>0.18</v>
      </c>
      <c r="D166" s="8">
        <v>0.53500000000000003</v>
      </c>
      <c r="E166" s="8">
        <v>0.53299999999999992</v>
      </c>
      <c r="F166" s="8">
        <f t="shared" si="6"/>
        <v>0.9962616822429905</v>
      </c>
      <c r="G166">
        <f t="shared" si="7"/>
        <v>-1.6979117006218349</v>
      </c>
      <c r="H166" s="8">
        <f t="shared" si="8"/>
        <v>-0.62548853208613042</v>
      </c>
    </row>
    <row r="167" spans="1:8" x14ac:dyDescent="0.2">
      <c r="A167">
        <v>2012</v>
      </c>
      <c r="B167" t="s">
        <v>4</v>
      </c>
      <c r="C167" s="12">
        <v>0.186</v>
      </c>
      <c r="D167" s="8">
        <v>3.6000000000000004E-2</v>
      </c>
      <c r="E167" s="8">
        <v>4.5999999999999999E-2</v>
      </c>
      <c r="F167" s="8">
        <f t="shared" si="6"/>
        <v>1.2777777777777777</v>
      </c>
      <c r="G167" t="e">
        <f t="shared" si="7"/>
        <v>#NUM!</v>
      </c>
      <c r="H167" s="8">
        <f t="shared" si="8"/>
        <v>-3.3242363405260269</v>
      </c>
    </row>
    <row r="168" spans="1:8" x14ac:dyDescent="0.2">
      <c r="A168">
        <v>2012</v>
      </c>
      <c r="B168" t="s">
        <v>5</v>
      </c>
      <c r="C168" s="12">
        <v>0.186</v>
      </c>
      <c r="D168" s="8">
        <v>8.4000000000000005E-2</v>
      </c>
      <c r="E168" s="8">
        <v>8.4000000000000005E-2</v>
      </c>
      <c r="F168" s="8">
        <f t="shared" si="6"/>
        <v>1</v>
      </c>
      <c r="G168">
        <f t="shared" si="7"/>
        <v>-1.682008605268936</v>
      </c>
      <c r="H168" s="8">
        <f t="shared" si="8"/>
        <v>-2.4769384801388235</v>
      </c>
    </row>
    <row r="169" spans="1:8" x14ac:dyDescent="0.2">
      <c r="A169">
        <v>2012</v>
      </c>
      <c r="B169" t="s">
        <v>6</v>
      </c>
      <c r="C169" s="12">
        <v>0.186</v>
      </c>
      <c r="D169" s="8">
        <v>0.13500000000000001</v>
      </c>
      <c r="E169" s="8">
        <v>0.13</v>
      </c>
      <c r="F169" s="8">
        <f t="shared" si="6"/>
        <v>0.96296296296296291</v>
      </c>
      <c r="G169">
        <f t="shared" si="7"/>
        <v>-1.5317912353437901</v>
      </c>
      <c r="H169" s="8">
        <f t="shared" si="8"/>
        <v>-2.0024805005437076</v>
      </c>
    </row>
    <row r="170" spans="1:8" x14ac:dyDescent="0.2">
      <c r="A170">
        <v>2012</v>
      </c>
      <c r="B170" t="s">
        <v>7</v>
      </c>
      <c r="C170" s="12">
        <v>0.186</v>
      </c>
      <c r="D170" s="8">
        <v>0.20100000000000001</v>
      </c>
      <c r="E170" s="8">
        <v>0.19800000000000001</v>
      </c>
      <c r="F170" s="8">
        <f t="shared" si="6"/>
        <v>0.9850746268656716</v>
      </c>
      <c r="G170">
        <f t="shared" si="7"/>
        <v>-1.6187347255332378</v>
      </c>
      <c r="H170" s="8">
        <f t="shared" si="8"/>
        <v>-1.6044503709230613</v>
      </c>
    </row>
    <row r="171" spans="1:8" x14ac:dyDescent="0.2">
      <c r="A171">
        <v>2012</v>
      </c>
      <c r="B171" t="s">
        <v>8</v>
      </c>
      <c r="C171" s="12">
        <v>0.186</v>
      </c>
      <c r="D171" s="8">
        <v>0.55600000000000005</v>
      </c>
      <c r="E171" s="8">
        <v>0.55399999999999994</v>
      </c>
      <c r="F171" s="8">
        <f t="shared" si="6"/>
        <v>0.99640287769784153</v>
      </c>
      <c r="G171">
        <f t="shared" si="7"/>
        <v>-1.6663889842499437</v>
      </c>
      <c r="H171" s="8">
        <f t="shared" si="8"/>
        <v>-0.58698698473155464</v>
      </c>
    </row>
    <row r="172" spans="1:8" x14ac:dyDescent="0.2">
      <c r="A172">
        <v>2013</v>
      </c>
      <c r="B172" t="s">
        <v>4</v>
      </c>
      <c r="C172" s="12">
        <v>0.20300000000000001</v>
      </c>
      <c r="D172" s="8">
        <v>3.7999999999999999E-2</v>
      </c>
      <c r="E172" s="8">
        <v>4.9000000000000002E-2</v>
      </c>
      <c r="F172" s="8">
        <f t="shared" si="6"/>
        <v>1.2894736842105263</v>
      </c>
      <c r="G172" t="e">
        <f t="shared" si="7"/>
        <v>#NUM!</v>
      </c>
      <c r="H172" s="8">
        <f t="shared" si="8"/>
        <v>-3.2701691192557512</v>
      </c>
    </row>
    <row r="173" spans="1:8" x14ac:dyDescent="0.2">
      <c r="A173">
        <v>2013</v>
      </c>
      <c r="B173" t="s">
        <v>5</v>
      </c>
      <c r="C173" s="12">
        <v>0.20300000000000001</v>
      </c>
      <c r="D173" s="8">
        <v>8.6999999999999994E-2</v>
      </c>
      <c r="E173" s="8">
        <v>8.5999999999999993E-2</v>
      </c>
      <c r="F173" s="8">
        <f t="shared" si="6"/>
        <v>0.9885057471264368</v>
      </c>
      <c r="G173">
        <f t="shared" si="7"/>
        <v>-1.5504102378111984</v>
      </c>
      <c r="H173" s="8">
        <f t="shared" si="8"/>
        <v>-2.4418471603275536</v>
      </c>
    </row>
    <row r="174" spans="1:8" x14ac:dyDescent="0.2">
      <c r="A174">
        <v>2013</v>
      </c>
      <c r="B174" t="s">
        <v>6</v>
      </c>
      <c r="C174" s="12">
        <v>0.20300000000000001</v>
      </c>
      <c r="D174" s="8">
        <v>0.13900000000000001</v>
      </c>
      <c r="E174" s="8">
        <v>0.13400000000000001</v>
      </c>
      <c r="F174" s="8">
        <f t="shared" si="6"/>
        <v>0.96402877697841727</v>
      </c>
      <c r="G174">
        <f t="shared" si="7"/>
        <v>-1.4624453707079448</v>
      </c>
      <c r="H174" s="8">
        <f t="shared" si="8"/>
        <v>-1.9732813458514451</v>
      </c>
    </row>
    <row r="175" spans="1:8" x14ac:dyDescent="0.2">
      <c r="A175">
        <v>2013</v>
      </c>
      <c r="B175" t="s">
        <v>7</v>
      </c>
      <c r="C175" s="12">
        <v>0.20300000000000001</v>
      </c>
      <c r="D175" s="8">
        <v>0.20699999999999999</v>
      </c>
      <c r="E175" s="8">
        <v>0.20399999999999999</v>
      </c>
      <c r="F175" s="8">
        <f t="shared" si="6"/>
        <v>0.98550724637681153</v>
      </c>
      <c r="G175">
        <f t="shared" si="7"/>
        <v>-1.5392090900733491</v>
      </c>
      <c r="H175" s="8">
        <f t="shared" si="8"/>
        <v>-1.575036485716768</v>
      </c>
    </row>
    <row r="176" spans="1:8" x14ac:dyDescent="0.2">
      <c r="A176">
        <v>2013</v>
      </c>
      <c r="B176" t="s">
        <v>8</v>
      </c>
      <c r="C176" s="12">
        <v>0.20300000000000001</v>
      </c>
      <c r="D176" s="8">
        <v>0.54200000000000004</v>
      </c>
      <c r="E176" s="8">
        <v>0.54</v>
      </c>
      <c r="F176" s="8">
        <f t="shared" si="6"/>
        <v>0.99630996309963105</v>
      </c>
      <c r="G176">
        <f t="shared" si="7"/>
        <v>-1.5801657560793585</v>
      </c>
      <c r="H176" s="8">
        <f t="shared" si="8"/>
        <v>-0.61248927754249083</v>
      </c>
    </row>
    <row r="177" spans="1:8" x14ac:dyDescent="0.2">
      <c r="A177">
        <v>2014</v>
      </c>
      <c r="B177" t="s">
        <v>4</v>
      </c>
      <c r="C177" s="12">
        <v>0.20799999999999999</v>
      </c>
      <c r="D177" s="8">
        <v>3.6000000000000004E-2</v>
      </c>
      <c r="E177" s="8">
        <v>4.7E-2</v>
      </c>
      <c r="F177" s="8">
        <f t="shared" si="6"/>
        <v>1.3055555555555554</v>
      </c>
      <c r="G177" t="e">
        <f t="shared" si="7"/>
        <v>#NUM!</v>
      </c>
      <c r="H177" s="8">
        <f t="shared" si="8"/>
        <v>-3.3242363405260269</v>
      </c>
    </row>
    <row r="178" spans="1:8" x14ac:dyDescent="0.2">
      <c r="A178">
        <v>2014</v>
      </c>
      <c r="B178" t="s">
        <v>5</v>
      </c>
      <c r="C178" s="12">
        <v>0.20799999999999999</v>
      </c>
      <c r="D178" s="8">
        <v>8.5000000000000006E-2</v>
      </c>
      <c r="E178" s="8">
        <v>8.5000000000000006E-2</v>
      </c>
      <c r="F178" s="8">
        <f t="shared" si="6"/>
        <v>1</v>
      </c>
      <c r="G178">
        <f t="shared" si="7"/>
        <v>-1.5702171992808192</v>
      </c>
      <c r="H178" s="8">
        <f t="shared" si="8"/>
        <v>-2.4651040224918206</v>
      </c>
    </row>
    <row r="179" spans="1:8" x14ac:dyDescent="0.2">
      <c r="A179">
        <v>2014</v>
      </c>
      <c r="B179" t="s">
        <v>6</v>
      </c>
      <c r="C179" s="12">
        <v>0.20799999999999999</v>
      </c>
      <c r="D179" s="8">
        <v>0.13500000000000001</v>
      </c>
      <c r="E179" s="8">
        <v>0.13</v>
      </c>
      <c r="F179" s="8">
        <f t="shared" si="6"/>
        <v>0.96296296296296291</v>
      </c>
      <c r="G179">
        <f t="shared" si="7"/>
        <v>-1.4382896562382712</v>
      </c>
      <c r="H179" s="8">
        <f t="shared" si="8"/>
        <v>-2.0024805005437076</v>
      </c>
    </row>
    <row r="180" spans="1:8" x14ac:dyDescent="0.2">
      <c r="A180">
        <v>2014</v>
      </c>
      <c r="B180" t="s">
        <v>7</v>
      </c>
      <c r="C180" s="12">
        <v>0.20799999999999999</v>
      </c>
      <c r="D180" s="8">
        <v>0.20300000000000001</v>
      </c>
      <c r="E180" s="8">
        <v>0.19899999999999998</v>
      </c>
      <c r="F180" s="8">
        <f t="shared" si="6"/>
        <v>0.98029556650246286</v>
      </c>
      <c r="G180">
        <f t="shared" si="7"/>
        <v>-1.4978701009752913</v>
      </c>
      <c r="H180" s="8">
        <f t="shared" si="8"/>
        <v>-1.5945492999403497</v>
      </c>
    </row>
    <row r="181" spans="1:8" x14ac:dyDescent="0.2">
      <c r="A181">
        <v>2014</v>
      </c>
      <c r="B181" t="s">
        <v>8</v>
      </c>
      <c r="C181" s="12">
        <v>0.20799999999999999</v>
      </c>
      <c r="D181" s="8">
        <v>0.55399999999999994</v>
      </c>
      <c r="E181" s="8">
        <v>0.55100000000000005</v>
      </c>
      <c r="F181" s="8">
        <f t="shared" si="6"/>
        <v>0.9945848375451265</v>
      </c>
      <c r="G181">
        <f t="shared" si="7"/>
        <v>-1.5498076263856193</v>
      </c>
      <c r="H181" s="8">
        <f t="shared" si="8"/>
        <v>-0.59059059223485333</v>
      </c>
    </row>
    <row r="182" spans="1:8" x14ac:dyDescent="0.2">
      <c r="A182">
        <v>2015</v>
      </c>
      <c r="B182" t="s">
        <v>4</v>
      </c>
      <c r="C182" s="12">
        <v>0.20799999999999999</v>
      </c>
      <c r="D182" s="8">
        <v>3.7000000000000005E-2</v>
      </c>
      <c r="E182" s="8">
        <v>4.9000000000000002E-2</v>
      </c>
      <c r="F182" s="8">
        <f t="shared" si="6"/>
        <v>1.3243243243243241</v>
      </c>
      <c r="G182" t="e">
        <f t="shared" si="7"/>
        <v>#NUM!</v>
      </c>
      <c r="H182" s="8">
        <f t="shared" si="8"/>
        <v>-3.2968373663379125</v>
      </c>
    </row>
    <row r="183" spans="1:8" x14ac:dyDescent="0.2">
      <c r="A183">
        <v>2015</v>
      </c>
      <c r="B183" t="s">
        <v>5</v>
      </c>
      <c r="C183" s="12">
        <v>0.20799999999999999</v>
      </c>
      <c r="D183" s="8">
        <v>8.5999999999999993E-2</v>
      </c>
      <c r="E183" s="8">
        <v>8.5999999999999993E-2</v>
      </c>
      <c r="F183" s="8">
        <f t="shared" si="6"/>
        <v>1</v>
      </c>
      <c r="G183">
        <f t="shared" si="7"/>
        <v>-1.5702171992808192</v>
      </c>
      <c r="H183" s="8">
        <f t="shared" si="8"/>
        <v>-2.4534079827286295</v>
      </c>
    </row>
    <row r="184" spans="1:8" x14ac:dyDescent="0.2">
      <c r="A184">
        <v>2015</v>
      </c>
      <c r="B184" t="s">
        <v>6</v>
      </c>
      <c r="C184" s="12">
        <v>0.20799999999999999</v>
      </c>
      <c r="D184" s="8">
        <v>0.13600000000000001</v>
      </c>
      <c r="E184" s="8">
        <v>0.13100000000000001</v>
      </c>
      <c r="F184" s="8">
        <f t="shared" si="6"/>
        <v>0.96323529411764708</v>
      </c>
      <c r="G184">
        <f t="shared" si="7"/>
        <v>-1.4391988599211878</v>
      </c>
      <c r="H184" s="8">
        <f t="shared" si="8"/>
        <v>-1.9951003932460849</v>
      </c>
    </row>
    <row r="185" spans="1:8" x14ac:dyDescent="0.2">
      <c r="A185">
        <v>2015</v>
      </c>
      <c r="B185" t="s">
        <v>7</v>
      </c>
      <c r="C185" s="12">
        <v>0.20799999999999999</v>
      </c>
      <c r="D185" s="8">
        <v>0.20300000000000001</v>
      </c>
      <c r="E185" s="8">
        <v>0.19800000000000001</v>
      </c>
      <c r="F185" s="8">
        <f t="shared" si="6"/>
        <v>0.97536945812807885</v>
      </c>
      <c r="G185">
        <f t="shared" si="7"/>
        <v>-1.4805725612831551</v>
      </c>
      <c r="H185" s="8">
        <f t="shared" si="8"/>
        <v>-1.5945492999403497</v>
      </c>
    </row>
    <row r="186" spans="1:8" x14ac:dyDescent="0.2">
      <c r="A186">
        <v>2015</v>
      </c>
      <c r="B186" t="s">
        <v>8</v>
      </c>
      <c r="C186" s="12">
        <v>0.20799999999999999</v>
      </c>
      <c r="D186" s="8">
        <v>0.55100000000000005</v>
      </c>
      <c r="E186" s="8">
        <v>0.54799999999999993</v>
      </c>
      <c r="F186" s="8">
        <f t="shared" si="6"/>
        <v>0.99455535390199612</v>
      </c>
      <c r="G186">
        <f t="shared" si="7"/>
        <v>-1.5496976358433359</v>
      </c>
      <c r="H186" s="8">
        <f t="shared" si="8"/>
        <v>-0.59602046982922252</v>
      </c>
    </row>
    <row r="187" spans="1:8" x14ac:dyDescent="0.2">
      <c r="A187">
        <v>2016</v>
      </c>
      <c r="B187" t="s">
        <v>4</v>
      </c>
      <c r="C187" s="12">
        <v>0.20599999999999999</v>
      </c>
      <c r="D187" s="8">
        <v>3.9E-2</v>
      </c>
      <c r="E187" s="8">
        <v>0.05</v>
      </c>
      <c r="F187" s="8">
        <f t="shared" si="6"/>
        <v>1.2820512820512822</v>
      </c>
      <c r="G187" t="e">
        <f t="shared" si="7"/>
        <v>#NUM!</v>
      </c>
      <c r="H187" s="8">
        <f t="shared" si="8"/>
        <v>-3.2441936328524905</v>
      </c>
    </row>
    <row r="188" spans="1:8" x14ac:dyDescent="0.2">
      <c r="A188">
        <v>2016</v>
      </c>
      <c r="B188" t="s">
        <v>5</v>
      </c>
      <c r="C188" s="12">
        <v>0.20599999999999999</v>
      </c>
      <c r="D188" s="8">
        <v>8.8000000000000009E-2</v>
      </c>
      <c r="E188" s="8">
        <v>8.8000000000000009E-2</v>
      </c>
      <c r="F188" s="8">
        <f t="shared" si="6"/>
        <v>1</v>
      </c>
      <c r="G188">
        <f t="shared" si="7"/>
        <v>-1.5798791101925562</v>
      </c>
      <c r="H188" s="8">
        <f t="shared" si="8"/>
        <v>-2.4304184645039304</v>
      </c>
    </row>
    <row r="189" spans="1:8" x14ac:dyDescent="0.2">
      <c r="A189">
        <v>2016</v>
      </c>
      <c r="B189" t="s">
        <v>6</v>
      </c>
      <c r="C189" s="12">
        <v>0.20599999999999999</v>
      </c>
      <c r="D189" s="8">
        <v>0.13699999999999998</v>
      </c>
      <c r="E189" s="8">
        <v>0.13200000000000001</v>
      </c>
      <c r="F189" s="8">
        <f t="shared" si="6"/>
        <v>0.96350364963503665</v>
      </c>
      <c r="G189">
        <f t="shared" si="7"/>
        <v>-1.4482629513508516</v>
      </c>
      <c r="H189" s="8">
        <f t="shared" si="8"/>
        <v>-1.9877743531540122</v>
      </c>
    </row>
    <row r="190" spans="1:8" x14ac:dyDescent="0.2">
      <c r="A190">
        <v>2016</v>
      </c>
      <c r="B190" t="s">
        <v>7</v>
      </c>
      <c r="C190" s="12">
        <v>0.20599999999999999</v>
      </c>
      <c r="D190" s="8">
        <v>0.20499999999999999</v>
      </c>
      <c r="E190" s="8">
        <v>0.2</v>
      </c>
      <c r="F190" s="8">
        <f t="shared" si="6"/>
        <v>0.97560975609756106</v>
      </c>
      <c r="G190">
        <f t="shared" si="7"/>
        <v>-1.4900301810507155</v>
      </c>
      <c r="H190" s="8">
        <f t="shared" si="8"/>
        <v>-1.584745299843729</v>
      </c>
    </row>
    <row r="191" spans="1:8" x14ac:dyDescent="0.2">
      <c r="A191">
        <v>2016</v>
      </c>
      <c r="B191" t="s">
        <v>8</v>
      </c>
      <c r="C191" s="12">
        <v>0.20599999999999999</v>
      </c>
      <c r="D191" s="8">
        <v>0.54500000000000004</v>
      </c>
      <c r="E191" s="8">
        <v>0.54100000000000004</v>
      </c>
      <c r="F191" s="8">
        <f t="shared" si="6"/>
        <v>0.9926605504587156</v>
      </c>
      <c r="G191">
        <f t="shared" si="7"/>
        <v>-1.55198290649631</v>
      </c>
      <c r="H191" s="8">
        <f t="shared" si="8"/>
        <v>-0.60696948431889286</v>
      </c>
    </row>
    <row r="192" spans="1:8" x14ac:dyDescent="0.2">
      <c r="A192">
        <v>2017</v>
      </c>
      <c r="B192" t="s">
        <v>4</v>
      </c>
      <c r="C192" s="12">
        <v>0.20399999999999999</v>
      </c>
      <c r="D192" s="8">
        <v>3.7000000000000005E-2</v>
      </c>
      <c r="E192" s="8">
        <v>4.8000000000000001E-2</v>
      </c>
      <c r="F192" s="8">
        <f t="shared" si="6"/>
        <v>1.2972972972972971</v>
      </c>
      <c r="G192" t="e">
        <f t="shared" si="7"/>
        <v>#NUM!</v>
      </c>
      <c r="H192" s="8">
        <f t="shared" si="8"/>
        <v>-3.2968373663379125</v>
      </c>
    </row>
    <row r="193" spans="1:8" x14ac:dyDescent="0.2">
      <c r="A193">
        <v>2017</v>
      </c>
      <c r="B193" t="s">
        <v>5</v>
      </c>
      <c r="C193" s="12">
        <v>0.20399999999999999</v>
      </c>
      <c r="D193" s="8">
        <v>8.5999999999999993E-2</v>
      </c>
      <c r="E193" s="8">
        <v>8.6999999999999994E-2</v>
      </c>
      <c r="F193" s="8">
        <f t="shared" si="6"/>
        <v>1.0116279069767442</v>
      </c>
      <c r="G193">
        <f t="shared" si="7"/>
        <v>-1.6360684480966112</v>
      </c>
      <c r="H193" s="8">
        <f t="shared" si="8"/>
        <v>-2.4534079827286295</v>
      </c>
    </row>
    <row r="194" spans="1:8" x14ac:dyDescent="0.2">
      <c r="A194">
        <v>2017</v>
      </c>
      <c r="B194" t="s">
        <v>6</v>
      </c>
      <c r="C194" s="12">
        <v>0.20399999999999999</v>
      </c>
      <c r="D194" s="8">
        <v>0.13500000000000001</v>
      </c>
      <c r="E194" s="8">
        <v>0.13100000000000001</v>
      </c>
      <c r="F194" s="8">
        <f t="shared" si="6"/>
        <v>0.97037037037037033</v>
      </c>
      <c r="G194">
        <f t="shared" si="7"/>
        <v>-1.4802306703019938</v>
      </c>
      <c r="H194" s="8">
        <f t="shared" si="8"/>
        <v>-2.0024805005437076</v>
      </c>
    </row>
    <row r="195" spans="1:8" x14ac:dyDescent="0.2">
      <c r="A195">
        <v>2017</v>
      </c>
      <c r="B195" t="s">
        <v>7</v>
      </c>
      <c r="C195" s="12">
        <v>0.20399999999999999</v>
      </c>
      <c r="D195" s="8">
        <v>0.20300000000000001</v>
      </c>
      <c r="E195" s="8">
        <v>0.19899999999999998</v>
      </c>
      <c r="F195" s="8">
        <f t="shared" ref="F195:F216" si="9">E195/D195</f>
        <v>0.98029556650246286</v>
      </c>
      <c r="G195">
        <f t="shared" ref="G195:G216" si="10">LN(1-(1-C195)*F195)</f>
        <v>-1.5155618101364616</v>
      </c>
      <c r="H195" s="8">
        <f t="shared" ref="H195:H215" si="11">LN(D195)</f>
        <v>-1.5945492999403497</v>
      </c>
    </row>
    <row r="196" spans="1:8" x14ac:dyDescent="0.2">
      <c r="A196">
        <v>2017</v>
      </c>
      <c r="B196" t="s">
        <v>8</v>
      </c>
      <c r="C196" s="12">
        <v>0.20399999999999999</v>
      </c>
      <c r="D196" s="8">
        <v>0.55200000000000005</v>
      </c>
      <c r="E196" s="8">
        <v>0.54899999999999993</v>
      </c>
      <c r="F196" s="8">
        <f t="shared" si="9"/>
        <v>0.9945652173913041</v>
      </c>
      <c r="G196">
        <f t="shared" si="10"/>
        <v>-1.5686507011274691</v>
      </c>
      <c r="H196" s="8">
        <f t="shared" si="11"/>
        <v>-0.59420723270504161</v>
      </c>
    </row>
    <row r="197" spans="1:8" x14ac:dyDescent="0.2">
      <c r="A197">
        <v>2018</v>
      </c>
      <c r="B197" t="s">
        <v>4</v>
      </c>
      <c r="C197" s="12">
        <v>0.191</v>
      </c>
      <c r="D197" s="8">
        <v>3.7999999999999999E-2</v>
      </c>
      <c r="E197" s="8">
        <v>4.9000000000000002E-2</v>
      </c>
      <c r="F197" s="8">
        <f t="shared" si="9"/>
        <v>1.2894736842105263</v>
      </c>
      <c r="G197" t="e">
        <f t="shared" si="10"/>
        <v>#NUM!</v>
      </c>
      <c r="H197" s="8">
        <f t="shared" si="11"/>
        <v>-3.2701691192557512</v>
      </c>
    </row>
    <row r="198" spans="1:8" x14ac:dyDescent="0.2">
      <c r="A198">
        <v>2018</v>
      </c>
      <c r="B198" t="s">
        <v>5</v>
      </c>
      <c r="C198" s="12">
        <v>0.191</v>
      </c>
      <c r="D198" s="8">
        <v>8.5000000000000006E-2</v>
      </c>
      <c r="E198" s="8">
        <v>8.5000000000000006E-2</v>
      </c>
      <c r="F198" s="8">
        <f t="shared" si="9"/>
        <v>1</v>
      </c>
      <c r="G198">
        <f t="shared" si="10"/>
        <v>-1.6554818509355069</v>
      </c>
      <c r="H198" s="8">
        <f t="shared" si="11"/>
        <v>-2.4651040224918206</v>
      </c>
    </row>
    <row r="199" spans="1:8" x14ac:dyDescent="0.2">
      <c r="A199">
        <v>2018</v>
      </c>
      <c r="B199" t="s">
        <v>6</v>
      </c>
      <c r="C199" s="12">
        <v>0.191</v>
      </c>
      <c r="D199" s="8">
        <v>0.13400000000000001</v>
      </c>
      <c r="E199" s="8">
        <v>0.13</v>
      </c>
      <c r="F199" s="8">
        <f t="shared" si="9"/>
        <v>0.97014925373134331</v>
      </c>
      <c r="G199">
        <f t="shared" si="10"/>
        <v>-1.5364232883006004</v>
      </c>
      <c r="H199" s="8">
        <f t="shared" si="11"/>
        <v>-2.0099154790312257</v>
      </c>
    </row>
    <row r="200" spans="1:8" x14ac:dyDescent="0.2">
      <c r="A200">
        <v>2018</v>
      </c>
      <c r="B200" t="s">
        <v>7</v>
      </c>
      <c r="C200" s="12">
        <v>0.191</v>
      </c>
      <c r="D200" s="8">
        <v>0.20300000000000001</v>
      </c>
      <c r="E200" s="8">
        <v>0.19800000000000001</v>
      </c>
      <c r="F200" s="8">
        <f t="shared" si="9"/>
        <v>0.97536945812807885</v>
      </c>
      <c r="G200">
        <f t="shared" si="10"/>
        <v>-1.5562474041172563</v>
      </c>
      <c r="H200" s="8">
        <f t="shared" si="11"/>
        <v>-1.5945492999403497</v>
      </c>
    </row>
    <row r="201" spans="1:8" x14ac:dyDescent="0.2">
      <c r="A201">
        <v>2018</v>
      </c>
      <c r="B201" t="s">
        <v>8</v>
      </c>
      <c r="C201" s="12">
        <v>0.191</v>
      </c>
      <c r="D201" s="8">
        <v>0.55299999999999994</v>
      </c>
      <c r="E201" s="8">
        <v>0.55100000000000005</v>
      </c>
      <c r="F201" s="8">
        <f t="shared" si="9"/>
        <v>0.99638336347197132</v>
      </c>
      <c r="G201">
        <f t="shared" si="10"/>
        <v>-1.6402793633192765</v>
      </c>
      <c r="H201" s="8">
        <f t="shared" si="11"/>
        <v>-0.59239727745980242</v>
      </c>
    </row>
    <row r="202" spans="1:8" x14ac:dyDescent="0.2">
      <c r="A202">
        <v>2019</v>
      </c>
      <c r="B202" t="s">
        <v>4</v>
      </c>
      <c r="C202" s="12">
        <v>0.191</v>
      </c>
      <c r="D202" s="8">
        <v>0.04</v>
      </c>
      <c r="E202" s="8">
        <v>5.0999999999999997E-2</v>
      </c>
      <c r="F202" s="8">
        <f t="shared" si="9"/>
        <v>1.2749999999999999</v>
      </c>
      <c r="G202" t="e">
        <f t="shared" si="10"/>
        <v>#NUM!</v>
      </c>
      <c r="H202" s="8">
        <f t="shared" si="11"/>
        <v>-3.2188758248682006</v>
      </c>
    </row>
    <row r="203" spans="1:8" x14ac:dyDescent="0.2">
      <c r="A203">
        <v>2019</v>
      </c>
      <c r="B203" t="s">
        <v>5</v>
      </c>
      <c r="C203" s="12">
        <v>0.191</v>
      </c>
      <c r="D203" s="8">
        <v>8.8000000000000009E-2</v>
      </c>
      <c r="E203" s="8">
        <v>8.900000000000001E-2</v>
      </c>
      <c r="F203" s="8">
        <f t="shared" si="9"/>
        <v>1.0113636363636365</v>
      </c>
      <c r="G203">
        <f t="shared" si="10"/>
        <v>-1.7048105941916314</v>
      </c>
      <c r="H203" s="8">
        <f t="shared" si="11"/>
        <v>-2.4304184645039304</v>
      </c>
    </row>
    <row r="204" spans="1:8" x14ac:dyDescent="0.2">
      <c r="A204">
        <v>2019</v>
      </c>
      <c r="B204" t="s">
        <v>6</v>
      </c>
      <c r="C204" s="12">
        <v>0.191</v>
      </c>
      <c r="D204" s="8">
        <v>0.13699999999999998</v>
      </c>
      <c r="E204" s="8">
        <v>0.13200000000000001</v>
      </c>
      <c r="F204" s="8">
        <f t="shared" si="9"/>
        <v>0.96350364963503665</v>
      </c>
      <c r="G204">
        <f t="shared" si="10"/>
        <v>-1.5117417293769235</v>
      </c>
      <c r="H204" s="8">
        <f t="shared" si="11"/>
        <v>-1.9877743531540122</v>
      </c>
    </row>
    <row r="205" spans="1:8" x14ac:dyDescent="0.2">
      <c r="A205">
        <v>2019</v>
      </c>
      <c r="B205" t="s">
        <v>7</v>
      </c>
      <c r="C205" s="12">
        <v>0.191</v>
      </c>
      <c r="D205" s="8">
        <v>0.20399999999999999</v>
      </c>
      <c r="E205" s="8">
        <v>0.19899999999999998</v>
      </c>
      <c r="F205" s="8">
        <f t="shared" si="9"/>
        <v>0.97549019607843135</v>
      </c>
      <c r="G205">
        <f t="shared" si="10"/>
        <v>-1.5567105977257478</v>
      </c>
      <c r="H205" s="8">
        <f t="shared" si="11"/>
        <v>-1.5896352851379207</v>
      </c>
    </row>
    <row r="206" spans="1:8" x14ac:dyDescent="0.2">
      <c r="A206">
        <v>2019</v>
      </c>
      <c r="B206" t="s">
        <v>8</v>
      </c>
      <c r="C206" s="12">
        <v>0.191</v>
      </c>
      <c r="D206" s="8">
        <v>0.54500000000000004</v>
      </c>
      <c r="E206" s="8">
        <v>0.54200000000000004</v>
      </c>
      <c r="F206" s="8">
        <f t="shared" si="9"/>
        <v>0.99449541284403664</v>
      </c>
      <c r="G206">
        <f t="shared" si="10"/>
        <v>-1.6324342580770272</v>
      </c>
      <c r="H206" s="8">
        <f t="shared" si="11"/>
        <v>-0.60696948431889286</v>
      </c>
    </row>
    <row r="207" spans="1:8" x14ac:dyDescent="0.2">
      <c r="A207">
        <v>2020</v>
      </c>
      <c r="B207" t="s">
        <v>4</v>
      </c>
      <c r="C207" s="12">
        <v>0.16600000000000001</v>
      </c>
      <c r="D207" s="8">
        <v>3.6000000000000004E-2</v>
      </c>
      <c r="E207" s="8">
        <v>4.9000000000000002E-2</v>
      </c>
      <c r="F207" s="8">
        <f t="shared" si="9"/>
        <v>1.3611111111111109</v>
      </c>
      <c r="G207" t="e">
        <f t="shared" si="10"/>
        <v>#NUM!</v>
      </c>
      <c r="H207" s="8">
        <f t="shared" si="11"/>
        <v>-3.3242363405260269</v>
      </c>
    </row>
    <row r="208" spans="1:8" x14ac:dyDescent="0.2">
      <c r="A208">
        <v>2020</v>
      </c>
      <c r="B208" t="s">
        <v>5</v>
      </c>
      <c r="C208" s="12">
        <v>0.16600000000000001</v>
      </c>
      <c r="D208" s="8">
        <v>8.5000000000000006E-2</v>
      </c>
      <c r="E208" s="8">
        <v>8.6999999999999994E-2</v>
      </c>
      <c r="F208" s="8">
        <f t="shared" si="9"/>
        <v>1.0235294117647058</v>
      </c>
      <c r="G208">
        <f t="shared" si="10"/>
        <v>-1.9215734103974875</v>
      </c>
      <c r="H208" s="8">
        <f t="shared" si="11"/>
        <v>-2.4651040224918206</v>
      </c>
    </row>
    <row r="209" spans="1:8" x14ac:dyDescent="0.2">
      <c r="A209">
        <v>2020</v>
      </c>
      <c r="B209" t="s">
        <v>6</v>
      </c>
      <c r="C209" s="12">
        <v>0.16600000000000001</v>
      </c>
      <c r="D209" s="8">
        <v>0.13500000000000001</v>
      </c>
      <c r="E209" s="8">
        <v>0.13200000000000001</v>
      </c>
      <c r="F209" s="8">
        <f t="shared" si="9"/>
        <v>0.97777777777777775</v>
      </c>
      <c r="G209">
        <f t="shared" si="10"/>
        <v>-1.6899251633467864</v>
      </c>
      <c r="H209" s="8">
        <f t="shared" si="11"/>
        <v>-2.0024805005437076</v>
      </c>
    </row>
    <row r="210" spans="1:8" x14ac:dyDescent="0.2">
      <c r="A210">
        <v>2020</v>
      </c>
      <c r="B210" t="s">
        <v>7</v>
      </c>
      <c r="C210" s="12">
        <v>0.16600000000000001</v>
      </c>
      <c r="D210" s="8">
        <v>0.20199999999999999</v>
      </c>
      <c r="E210" s="8">
        <v>0.19600000000000001</v>
      </c>
      <c r="F210" s="8">
        <f t="shared" si="9"/>
        <v>0.97029702970297038</v>
      </c>
      <c r="G210">
        <f t="shared" si="10"/>
        <v>-1.6566748280732855</v>
      </c>
      <c r="H210" s="8">
        <f t="shared" si="11"/>
        <v>-1.5994875815809324</v>
      </c>
    </row>
    <row r="211" spans="1:8" x14ac:dyDescent="0.2">
      <c r="A211">
        <v>2020</v>
      </c>
      <c r="B211" t="s">
        <v>8</v>
      </c>
      <c r="C211" s="12">
        <v>0.16600000000000001</v>
      </c>
      <c r="D211" s="8">
        <v>0.55700000000000005</v>
      </c>
      <c r="E211" s="8">
        <v>0.55100000000000005</v>
      </c>
      <c r="F211" s="8">
        <f t="shared" si="9"/>
        <v>0.98922800718132853</v>
      </c>
      <c r="G211">
        <f t="shared" si="10"/>
        <v>-1.7430616406884432</v>
      </c>
      <c r="H211" s="8">
        <f>LN(D211)</f>
        <v>-0.5851900390548529</v>
      </c>
    </row>
    <row r="212" spans="1:8" x14ac:dyDescent="0.2">
      <c r="A212">
        <v>2021</v>
      </c>
      <c r="B212" t="s">
        <v>4</v>
      </c>
      <c r="C212" s="12">
        <v>0.17299999999999999</v>
      </c>
      <c r="D212" s="8">
        <v>3.3000000000000002E-2</v>
      </c>
      <c r="E212" s="8">
        <v>4.8000000000000001E-2</v>
      </c>
      <c r="F212" s="8">
        <f t="shared" si="9"/>
        <v>1.4545454545454546</v>
      </c>
      <c r="G212" t="e">
        <f t="shared" si="10"/>
        <v>#NUM!</v>
      </c>
      <c r="H212" s="8">
        <f t="shared" si="11"/>
        <v>-3.4112477175156566</v>
      </c>
    </row>
    <row r="213" spans="1:8" x14ac:dyDescent="0.2">
      <c r="A213">
        <v>2021</v>
      </c>
      <c r="B213" t="s">
        <v>5</v>
      </c>
      <c r="C213" s="12">
        <v>0.17299999999999999</v>
      </c>
      <c r="D213" s="8">
        <v>7.8E-2</v>
      </c>
      <c r="E213" s="8">
        <v>7.9000000000000001E-2</v>
      </c>
      <c r="F213" s="8">
        <f t="shared" si="9"/>
        <v>1.0128205128205128</v>
      </c>
      <c r="G213">
        <f t="shared" si="10"/>
        <v>-1.817708640188096</v>
      </c>
      <c r="H213" s="8">
        <f t="shared" si="11"/>
        <v>-2.5510464522925451</v>
      </c>
    </row>
    <row r="214" spans="1:8" x14ac:dyDescent="0.2">
      <c r="A214">
        <v>2021</v>
      </c>
      <c r="B214" t="s">
        <v>6</v>
      </c>
      <c r="C214" s="12">
        <v>0.17299999999999999</v>
      </c>
      <c r="D214" s="8">
        <v>0.12300000000000001</v>
      </c>
      <c r="E214" s="8">
        <v>0.11900000000000001</v>
      </c>
      <c r="F214" s="8">
        <f t="shared" si="9"/>
        <v>0.9674796747967479</v>
      </c>
      <c r="G214">
        <f t="shared" si="10"/>
        <v>-1.6099665074003588</v>
      </c>
      <c r="H214" s="8">
        <f t="shared" si="11"/>
        <v>-2.0955709236097193</v>
      </c>
    </row>
    <row r="215" spans="1:8" x14ac:dyDescent="0.2">
      <c r="A215">
        <v>2021</v>
      </c>
      <c r="B215" t="s">
        <v>7</v>
      </c>
      <c r="C215" s="12">
        <v>0.17299999999999999</v>
      </c>
      <c r="D215" s="8">
        <v>0.187</v>
      </c>
      <c r="E215" s="8">
        <v>0.18</v>
      </c>
      <c r="F215" s="8">
        <f t="shared" si="9"/>
        <v>0.96256684491978606</v>
      </c>
      <c r="G215">
        <f t="shared" si="10"/>
        <v>-1.5898450166823135</v>
      </c>
      <c r="H215" s="8">
        <f t="shared" si="11"/>
        <v>-1.6766466621275504</v>
      </c>
    </row>
    <row r="216" spans="1:8" x14ac:dyDescent="0.2">
      <c r="A216">
        <v>2021</v>
      </c>
      <c r="B216" t="s">
        <v>8</v>
      </c>
      <c r="C216" s="12">
        <v>0.17299999999999999</v>
      </c>
      <c r="D216" s="8">
        <v>0.58799999999999997</v>
      </c>
      <c r="E216" s="8">
        <v>0.58299999999999996</v>
      </c>
      <c r="F216" s="8">
        <f t="shared" si="9"/>
        <v>0.99149659863945583</v>
      </c>
      <c r="G216">
        <f t="shared" si="10"/>
        <v>-1.7146189279520958</v>
      </c>
      <c r="H216" s="8">
        <f>LN(D216)</f>
        <v>-0.53102833108351022</v>
      </c>
    </row>
    <row r="217" spans="1:8" x14ac:dyDescent="0.2">
      <c r="C217" s="12"/>
    </row>
    <row r="218" spans="1:8" x14ac:dyDescent="0.2">
      <c r="C218" s="12"/>
    </row>
    <row r="219" spans="1:8" x14ac:dyDescent="0.2">
      <c r="C219" s="12"/>
    </row>
    <row r="220" spans="1:8" x14ac:dyDescent="0.2">
      <c r="C220" s="12"/>
    </row>
    <row r="221" spans="1:8" x14ac:dyDescent="0.2">
      <c r="C221" s="12"/>
    </row>
    <row r="222" spans="1:8" x14ac:dyDescent="0.2">
      <c r="C222" s="12"/>
    </row>
    <row r="223" spans="1:8" x14ac:dyDescent="0.2">
      <c r="C223" s="12"/>
    </row>
    <row r="224" spans="1:8" x14ac:dyDescent="0.2">
      <c r="C224" s="12"/>
    </row>
    <row r="225" spans="3:3" x14ac:dyDescent="0.2">
      <c r="C225" s="12"/>
    </row>
    <row r="226" spans="3:3" x14ac:dyDescent="0.2">
      <c r="C226" s="12"/>
    </row>
    <row r="227" spans="3:3" x14ac:dyDescent="0.2">
      <c r="C227" s="12"/>
    </row>
    <row r="228" spans="3:3" x14ac:dyDescent="0.2">
      <c r="C228" s="12"/>
    </row>
    <row r="229" spans="3:3" x14ac:dyDescent="0.2">
      <c r="C229" s="12"/>
    </row>
    <row r="230" spans="3:3" x14ac:dyDescent="0.2">
      <c r="C230" s="12"/>
    </row>
    <row r="231" spans="3:3" x14ac:dyDescent="0.2">
      <c r="C231" s="12"/>
    </row>
    <row r="232" spans="3:3" x14ac:dyDescent="0.2">
      <c r="C232" s="12"/>
    </row>
    <row r="233" spans="3:3" x14ac:dyDescent="0.2">
      <c r="C233" s="12"/>
    </row>
    <row r="234" spans="3:3" x14ac:dyDescent="0.2">
      <c r="C234" s="12"/>
    </row>
    <row r="235" spans="3:3" x14ac:dyDescent="0.2">
      <c r="C235" s="12"/>
    </row>
    <row r="236" spans="3:3" x14ac:dyDescent="0.2">
      <c r="C236" s="12"/>
    </row>
    <row r="237" spans="3:3" x14ac:dyDescent="0.2">
      <c r="C237" s="12"/>
    </row>
    <row r="238" spans="3:3" x14ac:dyDescent="0.2">
      <c r="C238" s="12"/>
    </row>
    <row r="239" spans="3:3" x14ac:dyDescent="0.2">
      <c r="C239" s="12"/>
    </row>
    <row r="240" spans="3:3" x14ac:dyDescent="0.2">
      <c r="C240" s="12"/>
    </row>
    <row r="241" spans="3:3" x14ac:dyDescent="0.2">
      <c r="C241" s="12"/>
    </row>
    <row r="242" spans="3:3" x14ac:dyDescent="0.2">
      <c r="C242" s="12"/>
    </row>
    <row r="243" spans="3:3" x14ac:dyDescent="0.2">
      <c r="C243" s="12"/>
    </row>
    <row r="244" spans="3:3" x14ac:dyDescent="0.2">
      <c r="C244" s="12"/>
    </row>
    <row r="245" spans="3:3" x14ac:dyDescent="0.2">
      <c r="C245" s="12"/>
    </row>
    <row r="246" spans="3:3" x14ac:dyDescent="0.2">
      <c r="C246" s="12"/>
    </row>
    <row r="247" spans="3:3" x14ac:dyDescent="0.2">
      <c r="C247" s="12"/>
    </row>
    <row r="248" spans="3:3" x14ac:dyDescent="0.2">
      <c r="C248" s="12"/>
    </row>
    <row r="249" spans="3:3" x14ac:dyDescent="0.2">
      <c r="C249" s="12"/>
    </row>
    <row r="250" spans="3:3" x14ac:dyDescent="0.2">
      <c r="C250" s="12"/>
    </row>
    <row r="251" spans="3:3" x14ac:dyDescent="0.2">
      <c r="C251" s="12"/>
    </row>
    <row r="252" spans="3:3" x14ac:dyDescent="0.2">
      <c r="C252" s="12"/>
    </row>
    <row r="253" spans="3:3" x14ac:dyDescent="0.2">
      <c r="C253" s="12"/>
    </row>
    <row r="254" spans="3:3" x14ac:dyDescent="0.2">
      <c r="C254" s="12"/>
    </row>
    <row r="255" spans="3:3" x14ac:dyDescent="0.2">
      <c r="C255" s="12"/>
    </row>
    <row r="256" spans="3:3" x14ac:dyDescent="0.2">
      <c r="C256" s="12"/>
    </row>
    <row r="257" spans="3:3" x14ac:dyDescent="0.2">
      <c r="C257" s="12"/>
    </row>
    <row r="258" spans="3:3" x14ac:dyDescent="0.2">
      <c r="C258" s="12"/>
    </row>
    <row r="259" spans="3:3" x14ac:dyDescent="0.2">
      <c r="C259" s="12"/>
    </row>
    <row r="260" spans="3:3" x14ac:dyDescent="0.2">
      <c r="C260" s="12"/>
    </row>
    <row r="261" spans="3:3" x14ac:dyDescent="0.2">
      <c r="C261" s="12"/>
    </row>
    <row r="262" spans="3:3" x14ac:dyDescent="0.2">
      <c r="C262" s="12"/>
    </row>
    <row r="263" spans="3:3" x14ac:dyDescent="0.2">
      <c r="C263" s="12"/>
    </row>
    <row r="264" spans="3:3" x14ac:dyDescent="0.2">
      <c r="C264" s="12"/>
    </row>
    <row r="265" spans="3:3" x14ac:dyDescent="0.2">
      <c r="C265" s="12"/>
    </row>
    <row r="266" spans="3:3" x14ac:dyDescent="0.2">
      <c r="C266" s="12"/>
    </row>
    <row r="267" spans="3:3" x14ac:dyDescent="0.2">
      <c r="C267" s="12"/>
    </row>
    <row r="268" spans="3:3" x14ac:dyDescent="0.2">
      <c r="C268" s="12"/>
    </row>
    <row r="269" spans="3:3" x14ac:dyDescent="0.2">
      <c r="C269" s="12"/>
    </row>
    <row r="270" spans="3:3" x14ac:dyDescent="0.2">
      <c r="C270" s="12"/>
    </row>
    <row r="271" spans="3:3" x14ac:dyDescent="0.2">
      <c r="C271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D5742-8D9A-CA45-A2C6-812C8049CD2A}">
  <dimension ref="A1:D271"/>
  <sheetViews>
    <sheetView workbookViewId="0">
      <selection activeCell="J46" sqref="J46"/>
    </sheetView>
  </sheetViews>
  <sheetFormatPr baseColWidth="10" defaultRowHeight="16" x14ac:dyDescent="0.2"/>
  <cols>
    <col min="2" max="2" width="31.83203125" customWidth="1"/>
    <col min="3" max="3" width="24" customWidth="1"/>
    <col min="4" max="4" width="27.1640625" customWidth="1"/>
  </cols>
  <sheetData>
    <row r="1" spans="1:4" x14ac:dyDescent="0.2">
      <c r="A1" t="s">
        <v>14</v>
      </c>
      <c r="B1" t="s">
        <v>17</v>
      </c>
      <c r="C1" t="s">
        <v>33</v>
      </c>
      <c r="D1" s="8" t="s">
        <v>34</v>
      </c>
    </row>
    <row r="2" spans="1:4" x14ac:dyDescent="0.2">
      <c r="A2">
        <v>1979</v>
      </c>
      <c r="B2" t="s">
        <v>4</v>
      </c>
      <c r="C2">
        <v>-2.0420686886150334</v>
      </c>
      <c r="D2" s="8">
        <v>-2.9957322735539909</v>
      </c>
    </row>
    <row r="3" spans="1:4" x14ac:dyDescent="0.2">
      <c r="A3">
        <v>1979</v>
      </c>
      <c r="B3" t="s">
        <v>5</v>
      </c>
      <c r="C3">
        <v>-1.4113557917152624</v>
      </c>
      <c r="D3" s="8">
        <v>-2.1892564076870427</v>
      </c>
    </row>
    <row r="4" spans="1:4" x14ac:dyDescent="0.2">
      <c r="A4">
        <v>1979</v>
      </c>
      <c r="B4" t="s">
        <v>6</v>
      </c>
      <c r="C4">
        <v>-1.5226010298343986</v>
      </c>
      <c r="D4" s="8">
        <v>-1.8325814637483102</v>
      </c>
    </row>
    <row r="5" spans="1:4" x14ac:dyDescent="0.2">
      <c r="A5">
        <v>1979</v>
      </c>
      <c r="B5" t="s">
        <v>7</v>
      </c>
      <c r="C5">
        <v>-1.5162606875799174</v>
      </c>
      <c r="D5" s="8">
        <v>-1.4961092271270973</v>
      </c>
    </row>
    <row r="6" spans="1:4" x14ac:dyDescent="0.2">
      <c r="A6">
        <v>1979</v>
      </c>
      <c r="B6" t="s">
        <v>8</v>
      </c>
      <c r="C6">
        <v>-1.4779192347515286</v>
      </c>
      <c r="D6" s="8">
        <v>-0.78526246946775091</v>
      </c>
    </row>
    <row r="7" spans="1:4" x14ac:dyDescent="0.2">
      <c r="A7">
        <v>1980</v>
      </c>
      <c r="B7" t="s">
        <v>4</v>
      </c>
      <c r="C7">
        <v>-2.0656594021652386</v>
      </c>
      <c r="D7" s="8">
        <v>-3.0159349808715104</v>
      </c>
    </row>
    <row r="8" spans="1:4" x14ac:dyDescent="0.2">
      <c r="A8">
        <v>1980</v>
      </c>
      <c r="B8" t="s">
        <v>5</v>
      </c>
      <c r="C8">
        <v>-1.4433073309918718</v>
      </c>
      <c r="D8" s="8">
        <v>-2.2072749131897207</v>
      </c>
    </row>
    <row r="9" spans="1:4" x14ac:dyDescent="0.2">
      <c r="A9">
        <v>1980</v>
      </c>
      <c r="B9" t="s">
        <v>6</v>
      </c>
      <c r="C9">
        <v>-1.4834111718996181</v>
      </c>
      <c r="D9" s="8">
        <v>-1.8325814637483102</v>
      </c>
    </row>
    <row r="10" spans="1:4" x14ac:dyDescent="0.2">
      <c r="A10">
        <v>1980</v>
      </c>
      <c r="B10" t="s">
        <v>7</v>
      </c>
      <c r="C10">
        <v>-1.5208466828785208</v>
      </c>
      <c r="D10" s="8">
        <v>-1.4961092271270973</v>
      </c>
    </row>
    <row r="11" spans="1:4" x14ac:dyDescent="0.2">
      <c r="A11">
        <v>1980</v>
      </c>
      <c r="B11" t="s">
        <v>8</v>
      </c>
      <c r="C11">
        <v>-1.4824797063785049</v>
      </c>
      <c r="D11" s="8">
        <v>-0.77652878949899629</v>
      </c>
    </row>
    <row r="12" spans="1:4" x14ac:dyDescent="0.2">
      <c r="A12">
        <v>1981</v>
      </c>
      <c r="B12" t="s">
        <v>4</v>
      </c>
      <c r="C12">
        <v>-2.0799523103978443</v>
      </c>
      <c r="D12" s="8">
        <v>-3.0576076772720784</v>
      </c>
    </row>
    <row r="13" spans="1:4" x14ac:dyDescent="0.2">
      <c r="A13">
        <v>1981</v>
      </c>
      <c r="B13" t="s">
        <v>5</v>
      </c>
      <c r="C13">
        <v>-1.4344828714569084</v>
      </c>
      <c r="D13" s="8">
        <v>-2.2164073967529934</v>
      </c>
    </row>
    <row r="14" spans="1:4" x14ac:dyDescent="0.2">
      <c r="A14">
        <v>1981</v>
      </c>
      <c r="B14" t="s">
        <v>6</v>
      </c>
      <c r="C14">
        <v>-1.4748201535973569</v>
      </c>
      <c r="D14" s="8">
        <v>-1.8263509139976741</v>
      </c>
    </row>
    <row r="15" spans="1:4" x14ac:dyDescent="0.2">
      <c r="A15">
        <v>1981</v>
      </c>
      <c r="B15" t="s">
        <v>7</v>
      </c>
      <c r="C15">
        <v>-1.5116258145336041</v>
      </c>
      <c r="D15" s="8">
        <v>-1.4916548767777169</v>
      </c>
    </row>
    <row r="16" spans="1:4" x14ac:dyDescent="0.2">
      <c r="A16">
        <v>1981</v>
      </c>
      <c r="B16" t="s">
        <v>8</v>
      </c>
      <c r="C16">
        <v>-1.4738631543579921</v>
      </c>
      <c r="D16" s="8">
        <v>-0.77219038790039818</v>
      </c>
    </row>
    <row r="17" spans="1:4" x14ac:dyDescent="0.2">
      <c r="A17">
        <v>1982</v>
      </c>
      <c r="B17" t="s">
        <v>4</v>
      </c>
      <c r="C17">
        <v>-2.3255746112187441</v>
      </c>
      <c r="D17" s="8">
        <v>-3.1235656450638758</v>
      </c>
    </row>
    <row r="18" spans="1:4" x14ac:dyDescent="0.2">
      <c r="A18">
        <v>1982</v>
      </c>
      <c r="B18" t="s">
        <v>5</v>
      </c>
      <c r="C18">
        <v>-1.4772625790293301</v>
      </c>
      <c r="D18" s="8">
        <v>-2.234926444520231</v>
      </c>
    </row>
    <row r="19" spans="1:4" x14ac:dyDescent="0.2">
      <c r="A19">
        <v>1982</v>
      </c>
      <c r="B19" t="s">
        <v>6</v>
      </c>
      <c r="C19">
        <v>-1.5559269530980668</v>
      </c>
      <c r="D19" s="8">
        <v>-1.8388510767619055</v>
      </c>
    </row>
    <row r="20" spans="1:4" x14ac:dyDescent="0.2">
      <c r="A20">
        <v>1982</v>
      </c>
      <c r="B20" t="s">
        <v>7</v>
      </c>
      <c r="C20">
        <v>-1.614740837006482</v>
      </c>
      <c r="D20" s="8">
        <v>-1.4916548767777169</v>
      </c>
    </row>
    <row r="21" spans="1:4" x14ac:dyDescent="0.2">
      <c r="A21">
        <v>1982</v>
      </c>
      <c r="B21" t="s">
        <v>8</v>
      </c>
      <c r="C21">
        <v>-1.5555745193261912</v>
      </c>
      <c r="D21" s="8">
        <v>-0.75502258427803282</v>
      </c>
    </row>
    <row r="22" spans="1:4" x14ac:dyDescent="0.2">
      <c r="A22">
        <v>1983</v>
      </c>
      <c r="B22" t="s">
        <v>4</v>
      </c>
      <c r="C22">
        <v>-2.2461586542996255</v>
      </c>
      <c r="D22" s="8">
        <v>-3.1941832122778293</v>
      </c>
    </row>
    <row r="23" spans="1:4" x14ac:dyDescent="0.2">
      <c r="A23">
        <v>1983</v>
      </c>
      <c r="B23" t="s">
        <v>5</v>
      </c>
      <c r="C23">
        <v>-1.4539145487948693</v>
      </c>
      <c r="D23" s="8">
        <v>-2.2633643798407643</v>
      </c>
    </row>
    <row r="24" spans="1:4" x14ac:dyDescent="0.2">
      <c r="A24">
        <v>1983</v>
      </c>
      <c r="B24" t="s">
        <v>6</v>
      </c>
      <c r="C24">
        <v>-1.5698497998522785</v>
      </c>
      <c r="D24" s="8">
        <v>-1.8515094736338289</v>
      </c>
    </row>
    <row r="25" spans="1:4" x14ac:dyDescent="0.2">
      <c r="A25">
        <v>1983</v>
      </c>
      <c r="B25" t="s">
        <v>7</v>
      </c>
      <c r="C25">
        <v>-1.6121527052628088</v>
      </c>
      <c r="D25" s="8">
        <v>-1.4916548767777169</v>
      </c>
    </row>
    <row r="26" spans="1:4" x14ac:dyDescent="0.2">
      <c r="A26">
        <v>1983</v>
      </c>
      <c r="B26" t="s">
        <v>8</v>
      </c>
      <c r="C26">
        <v>-1.5782892766889078</v>
      </c>
      <c r="D26" s="8">
        <v>-0.73605468157122189</v>
      </c>
    </row>
    <row r="27" spans="1:4" x14ac:dyDescent="0.2">
      <c r="A27">
        <v>1984</v>
      </c>
      <c r="B27" t="s">
        <v>4</v>
      </c>
      <c r="C27">
        <v>-2.1744168938242696</v>
      </c>
      <c r="D27" s="8">
        <v>-3.1465551632885749</v>
      </c>
    </row>
    <row r="28" spans="1:4" x14ac:dyDescent="0.2">
      <c r="A28">
        <v>1984</v>
      </c>
      <c r="B28" t="s">
        <v>5</v>
      </c>
      <c r="C28">
        <v>-1.4744532493956846</v>
      </c>
      <c r="D28" s="8">
        <v>-2.2633643798407643</v>
      </c>
    </row>
    <row r="29" spans="1:4" x14ac:dyDescent="0.2">
      <c r="A29">
        <v>1984</v>
      </c>
      <c r="B29" t="s">
        <v>6</v>
      </c>
      <c r="C29">
        <v>-1.5554719108612645</v>
      </c>
      <c r="D29" s="8">
        <v>-1.8578992717325999</v>
      </c>
    </row>
    <row r="30" spans="1:4" x14ac:dyDescent="0.2">
      <c r="A30">
        <v>1984</v>
      </c>
      <c r="B30" t="s">
        <v>7</v>
      </c>
      <c r="C30">
        <v>-1.5972358752938949</v>
      </c>
      <c r="D30" s="8">
        <v>-1.4961092271270973</v>
      </c>
    </row>
    <row r="31" spans="1:4" x14ac:dyDescent="0.2">
      <c r="A31">
        <v>1984</v>
      </c>
      <c r="B31" t="s">
        <v>8</v>
      </c>
      <c r="C31">
        <v>-1.5639138376396708</v>
      </c>
      <c r="D31" s="8">
        <v>-0.73605468157122189</v>
      </c>
    </row>
    <row r="32" spans="1:4" x14ac:dyDescent="0.2">
      <c r="A32">
        <v>1985</v>
      </c>
      <c r="B32" t="s">
        <v>4</v>
      </c>
      <c r="C32">
        <v>-2.2046176928485308</v>
      </c>
      <c r="D32" s="8">
        <v>-3.1941832122778293</v>
      </c>
    </row>
    <row r="33" spans="1:4" x14ac:dyDescent="0.2">
      <c r="A33">
        <v>1985</v>
      </c>
      <c r="B33" t="s">
        <v>5</v>
      </c>
      <c r="C33">
        <v>-1.4682703088473612</v>
      </c>
      <c r="D33" s="8">
        <v>-2.2827824656978661</v>
      </c>
    </row>
    <row r="34" spans="1:4" x14ac:dyDescent="0.2">
      <c r="A34">
        <v>1985</v>
      </c>
      <c r="B34" t="s">
        <v>6</v>
      </c>
      <c r="C34">
        <v>-1.5504647681475816</v>
      </c>
      <c r="D34" s="8">
        <v>-1.870802676568508</v>
      </c>
    </row>
    <row r="35" spans="1:4" x14ac:dyDescent="0.2">
      <c r="A35">
        <v>1985</v>
      </c>
      <c r="B35" t="s">
        <v>7</v>
      </c>
      <c r="C35">
        <v>-1.5925229567951176</v>
      </c>
      <c r="D35" s="8">
        <v>-1.5095925774643841</v>
      </c>
    </row>
    <row r="36" spans="1:4" x14ac:dyDescent="0.2">
      <c r="A36">
        <v>1985</v>
      </c>
      <c r="B36" t="s">
        <v>8</v>
      </c>
      <c r="C36">
        <v>-1.567200903092586</v>
      </c>
      <c r="D36" s="8">
        <v>-0.71949115589954715</v>
      </c>
    </row>
    <row r="37" spans="1:4" x14ac:dyDescent="0.2">
      <c r="A37">
        <v>1986</v>
      </c>
      <c r="B37" t="s">
        <v>4</v>
      </c>
      <c r="C37">
        <v>-2.0653869259742561</v>
      </c>
      <c r="D37" s="8">
        <v>-3.2441936328524905</v>
      </c>
    </row>
    <row r="38" spans="1:4" x14ac:dyDescent="0.2">
      <c r="A38">
        <v>1986</v>
      </c>
      <c r="B38" t="s">
        <v>5</v>
      </c>
      <c r="C38">
        <v>-1.4588872246915718</v>
      </c>
      <c r="D38" s="8">
        <v>-2.3330443004787544</v>
      </c>
    </row>
    <row r="39" spans="1:4" x14ac:dyDescent="0.2">
      <c r="A39">
        <v>1986</v>
      </c>
      <c r="B39" t="s">
        <v>6</v>
      </c>
      <c r="C39">
        <v>-1.5449832874331624</v>
      </c>
      <c r="D39" s="8">
        <v>-1.9038089730366781</v>
      </c>
    </row>
    <row r="40" spans="1:4" x14ac:dyDescent="0.2">
      <c r="A40">
        <v>1986</v>
      </c>
      <c r="B40" t="s">
        <v>7</v>
      </c>
      <c r="C40">
        <v>-1.5881703517135142</v>
      </c>
      <c r="D40" s="8">
        <v>-1.5417792639602856</v>
      </c>
    </row>
    <row r="41" spans="1:4" x14ac:dyDescent="0.2">
      <c r="A41">
        <v>1986</v>
      </c>
      <c r="B41" t="s">
        <v>8</v>
      </c>
      <c r="C41">
        <v>-1.5627350194932335</v>
      </c>
      <c r="D41" s="8">
        <v>-0.67924427539095389</v>
      </c>
    </row>
    <row r="42" spans="1:4" x14ac:dyDescent="0.2">
      <c r="A42">
        <v>1987</v>
      </c>
      <c r="B42" t="s">
        <v>4</v>
      </c>
      <c r="C42">
        <v>-2.0391818673941344</v>
      </c>
      <c r="D42" s="8">
        <v>-3.2968373663379125</v>
      </c>
    </row>
    <row r="43" spans="1:4" x14ac:dyDescent="0.2">
      <c r="A43">
        <v>1987</v>
      </c>
      <c r="B43" t="s">
        <v>5</v>
      </c>
      <c r="C43">
        <v>-1.466637113802429</v>
      </c>
      <c r="D43" s="8">
        <v>-2.3025850929940455</v>
      </c>
    </row>
    <row r="44" spans="1:4" x14ac:dyDescent="0.2">
      <c r="A44">
        <v>1987</v>
      </c>
      <c r="B44" t="s">
        <v>6</v>
      </c>
      <c r="C44">
        <v>-1.4913700170691961</v>
      </c>
      <c r="D44" s="8">
        <v>-1.8578992717325999</v>
      </c>
    </row>
    <row r="45" spans="1:4" x14ac:dyDescent="0.2">
      <c r="A45">
        <v>1987</v>
      </c>
      <c r="B45" t="s">
        <v>7</v>
      </c>
      <c r="C45">
        <v>-1.5535513884524501</v>
      </c>
      <c r="D45" s="8">
        <v>-1.4961092271270973</v>
      </c>
    </row>
    <row r="46" spans="1:4" x14ac:dyDescent="0.2">
      <c r="A46">
        <v>1987</v>
      </c>
      <c r="B46" t="s">
        <v>8</v>
      </c>
      <c r="C46">
        <v>-1.5223544063418315</v>
      </c>
      <c r="D46" s="8">
        <v>-0.71131115118761645</v>
      </c>
    </row>
    <row r="47" spans="1:4" x14ac:dyDescent="0.2">
      <c r="A47">
        <v>1988</v>
      </c>
      <c r="B47" t="s">
        <v>4</v>
      </c>
      <c r="C47">
        <v>-2.0222951399240432</v>
      </c>
      <c r="D47" s="8">
        <v>-3.2968373663379125</v>
      </c>
    </row>
    <row r="48" spans="1:4" x14ac:dyDescent="0.2">
      <c r="A48">
        <v>1988</v>
      </c>
      <c r="B48" t="s">
        <v>5</v>
      </c>
      <c r="C48">
        <v>-1.4568044179360915</v>
      </c>
      <c r="D48" s="8">
        <v>-2.322787800311565</v>
      </c>
    </row>
    <row r="49" spans="1:4" x14ac:dyDescent="0.2">
      <c r="A49">
        <v>1988</v>
      </c>
      <c r="B49" t="s">
        <v>6</v>
      </c>
      <c r="C49">
        <v>-1.5042429733972333</v>
      </c>
      <c r="D49" s="8">
        <v>-1.8904754421672127</v>
      </c>
    </row>
    <row r="50" spans="1:4" x14ac:dyDescent="0.2">
      <c r="A50">
        <v>1988</v>
      </c>
      <c r="B50" t="s">
        <v>7</v>
      </c>
      <c r="C50">
        <v>-1.5615218741944537</v>
      </c>
      <c r="D50" s="8">
        <v>-1.523260216193048</v>
      </c>
    </row>
    <row r="51" spans="1:4" x14ac:dyDescent="0.2">
      <c r="A51">
        <v>1988</v>
      </c>
      <c r="B51" t="s">
        <v>8</v>
      </c>
      <c r="C51">
        <v>-1.5136408381950979</v>
      </c>
      <c r="D51" s="8">
        <v>-0.68517901091076838</v>
      </c>
    </row>
    <row r="52" spans="1:4" x14ac:dyDescent="0.2">
      <c r="A52">
        <v>1989</v>
      </c>
      <c r="B52" t="s">
        <v>4</v>
      </c>
      <c r="C52">
        <v>-2.2020255573035774</v>
      </c>
      <c r="D52" s="8">
        <v>-3.2701691192557512</v>
      </c>
    </row>
    <row r="53" spans="1:4" x14ac:dyDescent="0.2">
      <c r="A53">
        <v>1989</v>
      </c>
      <c r="B53" t="s">
        <v>5</v>
      </c>
      <c r="C53">
        <v>-1.4362488392034183</v>
      </c>
      <c r="D53" s="8">
        <v>-2.312635428847547</v>
      </c>
    </row>
    <row r="54" spans="1:4" x14ac:dyDescent="0.2">
      <c r="A54">
        <v>1989</v>
      </c>
      <c r="B54" t="s">
        <v>6</v>
      </c>
      <c r="C54">
        <v>-1.5179027917913606</v>
      </c>
      <c r="D54" s="8">
        <v>-1.8838747581358606</v>
      </c>
    </row>
    <row r="55" spans="1:4" x14ac:dyDescent="0.2">
      <c r="A55">
        <v>1989</v>
      </c>
      <c r="B55" t="s">
        <v>7</v>
      </c>
      <c r="C55">
        <v>-1.5586927134288657</v>
      </c>
      <c r="D55" s="8">
        <v>-1.5186835491656363</v>
      </c>
    </row>
    <row r="56" spans="1:4" x14ac:dyDescent="0.2">
      <c r="A56">
        <v>1989</v>
      </c>
      <c r="B56" t="s">
        <v>8</v>
      </c>
      <c r="C56">
        <v>-1.527194551053084</v>
      </c>
      <c r="D56" s="8">
        <v>-0.69314718055994529</v>
      </c>
    </row>
    <row r="57" spans="1:4" x14ac:dyDescent="0.2">
      <c r="A57">
        <v>1990</v>
      </c>
      <c r="B57" t="s">
        <v>4</v>
      </c>
      <c r="C57">
        <v>-2.3743289978528859</v>
      </c>
      <c r="D57" s="8">
        <v>-3.2441936328524905</v>
      </c>
    </row>
    <row r="58" spans="1:4" x14ac:dyDescent="0.2">
      <c r="A58">
        <v>1990</v>
      </c>
      <c r="B58" t="s">
        <v>5</v>
      </c>
      <c r="C58">
        <v>-1.438234034245321</v>
      </c>
      <c r="D58" s="8">
        <v>-2.2926347621408776</v>
      </c>
    </row>
    <row r="59" spans="1:4" x14ac:dyDescent="0.2">
      <c r="A59">
        <v>1990</v>
      </c>
      <c r="B59" t="s">
        <v>6</v>
      </c>
      <c r="C59">
        <v>-1.5179027917913606</v>
      </c>
      <c r="D59" s="8">
        <v>-1.8838747581358606</v>
      </c>
    </row>
    <row r="60" spans="1:4" x14ac:dyDescent="0.2">
      <c r="A60">
        <v>1990</v>
      </c>
      <c r="B60" t="s">
        <v>7</v>
      </c>
      <c r="C60">
        <v>-1.5586151832904651</v>
      </c>
      <c r="D60" s="8">
        <v>-1.5141277326297755</v>
      </c>
    </row>
    <row r="61" spans="1:4" x14ac:dyDescent="0.2">
      <c r="A61">
        <v>1990</v>
      </c>
      <c r="B61" t="s">
        <v>8</v>
      </c>
      <c r="C61">
        <v>-1.5270777927795653</v>
      </c>
      <c r="D61" s="8">
        <v>-0.70117935225720962</v>
      </c>
    </row>
    <row r="62" spans="1:4" x14ac:dyDescent="0.2">
      <c r="A62">
        <v>1991</v>
      </c>
      <c r="B62" t="s">
        <v>4</v>
      </c>
      <c r="C62">
        <v>-2.5866072046143396</v>
      </c>
      <c r="D62" s="8">
        <v>-3.2188758248682006</v>
      </c>
    </row>
    <row r="63" spans="1:4" x14ac:dyDescent="0.2">
      <c r="A63">
        <v>1991</v>
      </c>
      <c r="B63" t="s">
        <v>5</v>
      </c>
      <c r="C63">
        <v>-1.4423305161684135</v>
      </c>
      <c r="D63" s="8">
        <v>-2.2926347621408776</v>
      </c>
    </row>
    <row r="64" spans="1:4" x14ac:dyDescent="0.2">
      <c r="A64">
        <v>1991</v>
      </c>
      <c r="B64" t="s">
        <v>6</v>
      </c>
      <c r="C64">
        <v>-1.477819405902461</v>
      </c>
      <c r="D64" s="8">
        <v>-1.8578992717325999</v>
      </c>
    </row>
    <row r="65" spans="1:4" x14ac:dyDescent="0.2">
      <c r="A65">
        <v>1991</v>
      </c>
      <c r="B65" t="s">
        <v>7</v>
      </c>
      <c r="C65">
        <v>-1.5633231619602825</v>
      </c>
      <c r="D65" s="8">
        <v>-1.5095925774643841</v>
      </c>
    </row>
    <row r="66" spans="1:4" x14ac:dyDescent="0.2">
      <c r="A66">
        <v>1991</v>
      </c>
      <c r="B66" t="s">
        <v>8</v>
      </c>
      <c r="C66">
        <v>-1.5241387948215923</v>
      </c>
      <c r="D66" s="8">
        <v>-0.71131115118761645</v>
      </c>
    </row>
    <row r="67" spans="1:4" x14ac:dyDescent="0.2">
      <c r="A67">
        <v>1992</v>
      </c>
      <c r="B67" t="s">
        <v>4</v>
      </c>
      <c r="C67">
        <v>-3.0509112236769576</v>
      </c>
      <c r="D67" s="8">
        <v>-3.2701691192557512</v>
      </c>
    </row>
    <row r="68" spans="1:4" x14ac:dyDescent="0.2">
      <c r="A68">
        <v>1992</v>
      </c>
      <c r="B68" t="s">
        <v>5</v>
      </c>
      <c r="C68">
        <v>-1.440334646725999</v>
      </c>
      <c r="D68" s="8">
        <v>-2.312635428847547</v>
      </c>
    </row>
    <row r="69" spans="1:4" x14ac:dyDescent="0.2">
      <c r="A69">
        <v>1992</v>
      </c>
      <c r="B69" t="s">
        <v>6</v>
      </c>
      <c r="C69">
        <v>-1.4765194527126164</v>
      </c>
      <c r="D69" s="8">
        <v>-1.8773173575897015</v>
      </c>
    </row>
    <row r="70" spans="1:4" x14ac:dyDescent="0.2">
      <c r="A70">
        <v>1992</v>
      </c>
      <c r="B70" t="s">
        <v>7</v>
      </c>
      <c r="C70">
        <v>-1.546463113272712</v>
      </c>
      <c r="D70" s="8">
        <v>-1.523260216193048</v>
      </c>
    </row>
    <row r="71" spans="1:4" x14ac:dyDescent="0.2">
      <c r="A71">
        <v>1992</v>
      </c>
      <c r="B71" t="s">
        <v>8</v>
      </c>
      <c r="C71">
        <v>-1.5245795501208852</v>
      </c>
      <c r="D71" s="8">
        <v>-0.69114917789727226</v>
      </c>
    </row>
    <row r="72" spans="1:4" x14ac:dyDescent="0.2">
      <c r="A72">
        <v>1993</v>
      </c>
      <c r="B72" t="s">
        <v>4</v>
      </c>
      <c r="C72">
        <v>-2.9305360739974504</v>
      </c>
      <c r="D72" s="8">
        <v>-3.2701691192557512</v>
      </c>
    </row>
    <row r="73" spans="1:4" x14ac:dyDescent="0.2">
      <c r="A73">
        <v>1993</v>
      </c>
      <c r="B73" t="s">
        <v>5</v>
      </c>
      <c r="C73">
        <v>-1.3891785162997539</v>
      </c>
      <c r="D73" s="8">
        <v>-2.3025850929940455</v>
      </c>
    </row>
    <row r="74" spans="1:4" x14ac:dyDescent="0.2">
      <c r="A74">
        <v>1993</v>
      </c>
      <c r="B74" t="s">
        <v>6</v>
      </c>
      <c r="C74">
        <v>-1.4552872326068418</v>
      </c>
      <c r="D74" s="8">
        <v>-1.8773173575897015</v>
      </c>
    </row>
    <row r="75" spans="1:4" x14ac:dyDescent="0.2">
      <c r="A75">
        <v>1993</v>
      </c>
      <c r="B75" t="s">
        <v>7</v>
      </c>
      <c r="C75">
        <v>-1.5397755542966605</v>
      </c>
      <c r="D75" s="8">
        <v>-1.5186835491656363</v>
      </c>
    </row>
    <row r="76" spans="1:4" x14ac:dyDescent="0.2">
      <c r="A76">
        <v>1993</v>
      </c>
      <c r="B76" t="s">
        <v>8</v>
      </c>
      <c r="C76">
        <v>-1.5019234056564306</v>
      </c>
      <c r="D76" s="8">
        <v>-0.69514918323061836</v>
      </c>
    </row>
    <row r="77" spans="1:4" x14ac:dyDescent="0.2">
      <c r="A77">
        <v>1994</v>
      </c>
      <c r="B77" t="s">
        <v>4</v>
      </c>
      <c r="C77">
        <v>-3.4573388247159169</v>
      </c>
      <c r="D77" s="8">
        <v>-3.2968373663379125</v>
      </c>
    </row>
    <row r="78" spans="1:4" x14ac:dyDescent="0.2">
      <c r="A78">
        <v>1994</v>
      </c>
      <c r="B78" t="s">
        <v>5</v>
      </c>
      <c r="C78">
        <v>-1.4090718088098788</v>
      </c>
      <c r="D78" s="8">
        <v>-2.3025850929940455</v>
      </c>
    </row>
    <row r="79" spans="1:4" x14ac:dyDescent="0.2">
      <c r="A79">
        <v>1994</v>
      </c>
      <c r="B79" t="s">
        <v>6</v>
      </c>
      <c r="C79">
        <v>-1.421988831249861</v>
      </c>
      <c r="D79" s="8">
        <v>-1.870802676568508</v>
      </c>
    </row>
    <row r="80" spans="1:4" x14ac:dyDescent="0.2">
      <c r="A80">
        <v>1994</v>
      </c>
      <c r="B80" t="s">
        <v>7</v>
      </c>
      <c r="C80">
        <v>-1.5095925774643844</v>
      </c>
      <c r="D80" s="8">
        <v>-1.5141277326297755</v>
      </c>
    </row>
    <row r="81" spans="1:4" x14ac:dyDescent="0.2">
      <c r="A81">
        <v>1994</v>
      </c>
      <c r="B81" t="s">
        <v>8</v>
      </c>
      <c r="C81">
        <v>-1.4885806245402695</v>
      </c>
      <c r="D81" s="8">
        <v>-0.69715520195748415</v>
      </c>
    </row>
    <row r="82" spans="1:4" x14ac:dyDescent="0.2">
      <c r="A82">
        <v>1995</v>
      </c>
      <c r="B82" t="s">
        <v>4</v>
      </c>
      <c r="C82">
        <v>-2.6765515340428396</v>
      </c>
      <c r="D82" s="8">
        <v>-3.2188758248682006</v>
      </c>
    </row>
    <row r="83" spans="1:4" x14ac:dyDescent="0.2">
      <c r="A83">
        <v>1995</v>
      </c>
      <c r="B83" t="s">
        <v>5</v>
      </c>
      <c r="C83">
        <v>-1.4284640647390134</v>
      </c>
      <c r="D83" s="8">
        <v>-2.312635428847547</v>
      </c>
    </row>
    <row r="84" spans="1:4" x14ac:dyDescent="0.2">
      <c r="A84">
        <v>1995</v>
      </c>
      <c r="B84" t="s">
        <v>6</v>
      </c>
      <c r="C84">
        <v>-1.4083097659292902</v>
      </c>
      <c r="D84" s="8">
        <v>-1.8904754421672127</v>
      </c>
    </row>
    <row r="85" spans="1:4" x14ac:dyDescent="0.2">
      <c r="A85">
        <v>1995</v>
      </c>
      <c r="B85" t="s">
        <v>7</v>
      </c>
      <c r="C85">
        <v>-1.4961092271270973</v>
      </c>
      <c r="D85" s="8">
        <v>-1.5324768712979719</v>
      </c>
    </row>
    <row r="86" spans="1:4" x14ac:dyDescent="0.2">
      <c r="A86">
        <v>1995</v>
      </c>
      <c r="B86" t="s">
        <v>8</v>
      </c>
      <c r="C86">
        <v>-1.4824016712972337</v>
      </c>
      <c r="D86" s="8">
        <v>-0.68915515929040783</v>
      </c>
    </row>
    <row r="87" spans="1:4" x14ac:dyDescent="0.2">
      <c r="A87">
        <v>1996</v>
      </c>
      <c r="B87" t="s">
        <v>4</v>
      </c>
      <c r="C87">
        <v>-2.7637854794731829</v>
      </c>
      <c r="D87" s="8">
        <v>-3.2701691192557512</v>
      </c>
    </row>
    <row r="88" spans="1:4" x14ac:dyDescent="0.2">
      <c r="A88">
        <v>1996</v>
      </c>
      <c r="B88" t="s">
        <v>5</v>
      </c>
      <c r="C88">
        <v>-1.3855446422293451</v>
      </c>
      <c r="D88" s="8">
        <v>-2.3434070875143007</v>
      </c>
    </row>
    <row r="89" spans="1:4" x14ac:dyDescent="0.2">
      <c r="A89">
        <v>1996</v>
      </c>
      <c r="B89" t="s">
        <v>6</v>
      </c>
      <c r="C89">
        <v>-1.39869525973057</v>
      </c>
      <c r="D89" s="8">
        <v>-1.9105430052180219</v>
      </c>
    </row>
    <row r="90" spans="1:4" x14ac:dyDescent="0.2">
      <c r="A90">
        <v>1996</v>
      </c>
      <c r="B90" t="s">
        <v>7</v>
      </c>
      <c r="C90">
        <v>-1.4711947602447846</v>
      </c>
      <c r="D90" s="8">
        <v>-1.5511690043101247</v>
      </c>
    </row>
    <row r="91" spans="1:4" x14ac:dyDescent="0.2">
      <c r="A91">
        <v>1996</v>
      </c>
      <c r="B91" t="s">
        <v>8</v>
      </c>
      <c r="C91">
        <v>-1.4739823022652565</v>
      </c>
      <c r="D91" s="8">
        <v>-0.66553201352697189</v>
      </c>
    </row>
    <row r="92" spans="1:4" x14ac:dyDescent="0.2">
      <c r="A92">
        <v>1997</v>
      </c>
      <c r="B92" t="s">
        <v>4</v>
      </c>
      <c r="C92">
        <v>-2.6818577757072584</v>
      </c>
      <c r="D92" s="8">
        <v>-3.2441936328524905</v>
      </c>
    </row>
    <row r="93" spans="1:4" x14ac:dyDescent="0.2">
      <c r="A93">
        <v>1997</v>
      </c>
      <c r="B93" t="s">
        <v>5</v>
      </c>
      <c r="C93">
        <v>-1.3785822406335511</v>
      </c>
      <c r="D93" s="8">
        <v>-2.375155785828881</v>
      </c>
    </row>
    <row r="94" spans="1:4" x14ac:dyDescent="0.2">
      <c r="A94">
        <v>1997</v>
      </c>
      <c r="B94" t="s">
        <v>6</v>
      </c>
      <c r="C94">
        <v>-1.3924242214954277</v>
      </c>
      <c r="D94" s="8">
        <v>-1.9379419794061363</v>
      </c>
    </row>
    <row r="95" spans="1:4" x14ac:dyDescent="0.2">
      <c r="A95">
        <v>1997</v>
      </c>
      <c r="B95" t="s">
        <v>7</v>
      </c>
      <c r="C95">
        <v>-1.4828052615007346</v>
      </c>
      <c r="D95" s="8">
        <v>-1.579879110192556</v>
      </c>
    </row>
    <row r="96" spans="1:4" x14ac:dyDescent="0.2">
      <c r="A96">
        <v>1997</v>
      </c>
      <c r="B96" t="s">
        <v>8</v>
      </c>
      <c r="C96">
        <v>-1.4699161645347953</v>
      </c>
      <c r="D96" s="8">
        <v>-0.64435701639051324</v>
      </c>
    </row>
    <row r="97" spans="1:4" x14ac:dyDescent="0.2">
      <c r="A97">
        <v>1998</v>
      </c>
      <c r="B97" t="s">
        <v>4</v>
      </c>
      <c r="C97">
        <v>-2.4281483159693922</v>
      </c>
      <c r="D97" s="8">
        <v>-3.2188758248682006</v>
      </c>
    </row>
    <row r="98" spans="1:4" x14ac:dyDescent="0.2">
      <c r="A98">
        <v>1998</v>
      </c>
      <c r="B98" t="s">
        <v>5</v>
      </c>
      <c r="C98">
        <v>-1.4234997151699575</v>
      </c>
      <c r="D98" s="8">
        <v>-2.3859667019330968</v>
      </c>
    </row>
    <row r="99" spans="1:4" x14ac:dyDescent="0.2">
      <c r="A99">
        <v>1998</v>
      </c>
      <c r="B99" t="s">
        <v>6</v>
      </c>
      <c r="C99">
        <v>-1.402996447950601</v>
      </c>
      <c r="D99" s="8">
        <v>-1.9519282213808764</v>
      </c>
    </row>
    <row r="100" spans="1:4" x14ac:dyDescent="0.2">
      <c r="A100">
        <v>1998</v>
      </c>
      <c r="B100" t="s">
        <v>7</v>
      </c>
      <c r="C100">
        <v>-1.4961092271270973</v>
      </c>
      <c r="D100" s="8">
        <v>-1.5945492999403497</v>
      </c>
    </row>
    <row r="101" spans="1:4" x14ac:dyDescent="0.2">
      <c r="A101">
        <v>1998</v>
      </c>
      <c r="B101" t="s">
        <v>8</v>
      </c>
      <c r="C101">
        <v>-1.4830967690549264</v>
      </c>
      <c r="D101" s="8">
        <v>-0.63676684712383758</v>
      </c>
    </row>
    <row r="102" spans="1:4" x14ac:dyDescent="0.2">
      <c r="A102">
        <v>1999</v>
      </c>
      <c r="B102" t="s">
        <v>4</v>
      </c>
      <c r="C102">
        <v>-2.388960308740792</v>
      </c>
      <c r="D102" s="8">
        <v>-3.2188758248682006</v>
      </c>
    </row>
    <row r="103" spans="1:4" x14ac:dyDescent="0.2">
      <c r="A103">
        <v>1999</v>
      </c>
      <c r="B103" t="s">
        <v>5</v>
      </c>
      <c r="C103">
        <v>-1.4098587215372926</v>
      </c>
      <c r="D103" s="8">
        <v>-2.4079456086518722</v>
      </c>
    </row>
    <row r="104" spans="1:4" x14ac:dyDescent="0.2">
      <c r="A104">
        <v>1999</v>
      </c>
      <c r="B104" t="s">
        <v>6</v>
      </c>
      <c r="C104">
        <v>-1.3899582076732131</v>
      </c>
      <c r="D104" s="8">
        <v>-1.9661128563728327</v>
      </c>
    </row>
    <row r="105" spans="1:4" x14ac:dyDescent="0.2">
      <c r="A105">
        <v>1999</v>
      </c>
      <c r="B105" t="s">
        <v>7</v>
      </c>
      <c r="C105">
        <v>-1.4659221548821095</v>
      </c>
      <c r="D105" s="8">
        <v>-1.6094379124341003</v>
      </c>
    </row>
    <row r="106" spans="1:4" x14ac:dyDescent="0.2">
      <c r="A106">
        <v>1999</v>
      </c>
      <c r="B106" t="s">
        <v>8</v>
      </c>
      <c r="C106">
        <v>-1.4702023817655361</v>
      </c>
      <c r="D106" s="8">
        <v>-0.62175718447327233</v>
      </c>
    </row>
    <row r="107" spans="1:4" x14ac:dyDescent="0.2">
      <c r="A107">
        <v>2000</v>
      </c>
      <c r="B107" t="s">
        <v>4</v>
      </c>
      <c r="C107">
        <v>-2.4421496864227361</v>
      </c>
      <c r="D107" s="8">
        <v>-3.2701691192557512</v>
      </c>
    </row>
    <row r="108" spans="1:4" x14ac:dyDescent="0.2">
      <c r="A108">
        <v>2000</v>
      </c>
      <c r="B108" t="s">
        <v>5</v>
      </c>
      <c r="C108">
        <v>-1.4360643154718251</v>
      </c>
      <c r="D108" s="8">
        <v>-2.4418471603275536</v>
      </c>
    </row>
    <row r="109" spans="1:4" x14ac:dyDescent="0.2">
      <c r="A109">
        <v>2000</v>
      </c>
      <c r="B109" t="s">
        <v>6</v>
      </c>
      <c r="C109">
        <v>-1.4023938534916891</v>
      </c>
      <c r="D109" s="8">
        <v>-1.9951003932460849</v>
      </c>
    </row>
    <row r="110" spans="1:4" x14ac:dyDescent="0.2">
      <c r="A110">
        <v>2000</v>
      </c>
      <c r="B110" t="s">
        <v>7</v>
      </c>
      <c r="C110">
        <v>-1.4570872563189676</v>
      </c>
      <c r="D110" s="8">
        <v>-1.6245515502441485</v>
      </c>
    </row>
    <row r="111" spans="1:4" x14ac:dyDescent="0.2">
      <c r="A111">
        <v>2000</v>
      </c>
      <c r="B111" t="s">
        <v>8</v>
      </c>
      <c r="C111">
        <v>-1.4618205197836687</v>
      </c>
      <c r="D111" s="8">
        <v>-0.60147999203412161</v>
      </c>
    </row>
    <row r="112" spans="1:4" x14ac:dyDescent="0.2">
      <c r="A112">
        <v>2001</v>
      </c>
      <c r="B112" t="s">
        <v>4</v>
      </c>
      <c r="C112">
        <v>-2.964929535339131</v>
      </c>
      <c r="D112" s="8">
        <v>-3.2441936328524905</v>
      </c>
    </row>
    <row r="113" spans="1:4" x14ac:dyDescent="0.2">
      <c r="A113">
        <v>2001</v>
      </c>
      <c r="B113" t="s">
        <v>5</v>
      </c>
      <c r="C113">
        <v>-1.5066631545507299</v>
      </c>
      <c r="D113" s="8">
        <v>-2.3968957724652871</v>
      </c>
    </row>
    <row r="114" spans="1:4" x14ac:dyDescent="0.2">
      <c r="A114">
        <v>2001</v>
      </c>
      <c r="B114" t="s">
        <v>6</v>
      </c>
      <c r="C114">
        <v>-1.4481102516557907</v>
      </c>
      <c r="D114" s="8">
        <v>-1.9449106487222296</v>
      </c>
    </row>
    <row r="115" spans="1:4" x14ac:dyDescent="0.2">
      <c r="A115">
        <v>2001</v>
      </c>
      <c r="B115" t="s">
        <v>7</v>
      </c>
      <c r="C115">
        <v>-1.5290216481678907</v>
      </c>
      <c r="D115" s="8">
        <v>-1.5606477482646683</v>
      </c>
    </row>
    <row r="116" spans="1:4" x14ac:dyDescent="0.2">
      <c r="A116">
        <v>2001</v>
      </c>
      <c r="B116" t="s">
        <v>8</v>
      </c>
      <c r="C116">
        <v>-1.5324592011119933</v>
      </c>
      <c r="D116" s="8">
        <v>-0.64626359466109484</v>
      </c>
    </row>
    <row r="117" spans="1:4" x14ac:dyDescent="0.2">
      <c r="A117">
        <v>2002</v>
      </c>
      <c r="B117" t="s">
        <v>4</v>
      </c>
      <c r="C117">
        <v>-3.6448625686971678</v>
      </c>
      <c r="D117" s="8">
        <v>-3.2188758248682006</v>
      </c>
    </row>
    <row r="118" spans="1:4" x14ac:dyDescent="0.2">
      <c r="A118">
        <v>2002</v>
      </c>
      <c r="B118" t="s">
        <v>5</v>
      </c>
      <c r="C118">
        <v>-1.5443177785511244</v>
      </c>
      <c r="D118" s="8">
        <v>-2.364460496712133</v>
      </c>
    </row>
    <row r="119" spans="1:4" x14ac:dyDescent="0.2">
      <c r="A119">
        <v>2002</v>
      </c>
      <c r="B119" t="s">
        <v>6</v>
      </c>
      <c r="C119">
        <v>-1.4837712701491819</v>
      </c>
      <c r="D119" s="8">
        <v>-1.9241486572738007</v>
      </c>
    </row>
    <row r="120" spans="1:4" x14ac:dyDescent="0.2">
      <c r="A120">
        <v>2002</v>
      </c>
      <c r="B120" t="s">
        <v>7</v>
      </c>
      <c r="C120">
        <v>-1.5667022571733751</v>
      </c>
      <c r="D120" s="8">
        <v>-1.546463113272712</v>
      </c>
    </row>
    <row r="121" spans="1:4" x14ac:dyDescent="0.2">
      <c r="A121">
        <v>2002</v>
      </c>
      <c r="B121" t="s">
        <v>8</v>
      </c>
      <c r="C121">
        <v>-1.5624061125139324</v>
      </c>
      <c r="D121" s="8">
        <v>-0.6635883783184009</v>
      </c>
    </row>
    <row r="122" spans="1:4" x14ac:dyDescent="0.2">
      <c r="A122">
        <v>2003</v>
      </c>
      <c r="B122" t="s">
        <v>4</v>
      </c>
      <c r="C122">
        <v>-4.4488241155973993</v>
      </c>
      <c r="D122" s="8">
        <v>-3.2441936328524905</v>
      </c>
    </row>
    <row r="123" spans="1:4" x14ac:dyDescent="0.2">
      <c r="A123">
        <v>2003</v>
      </c>
      <c r="B123" t="s">
        <v>5</v>
      </c>
      <c r="C123">
        <v>-1.6245515502441483</v>
      </c>
      <c r="D123" s="8">
        <v>-2.3859667019330968</v>
      </c>
    </row>
    <row r="124" spans="1:4" x14ac:dyDescent="0.2">
      <c r="A124">
        <v>2003</v>
      </c>
      <c r="B124" t="s">
        <v>6</v>
      </c>
      <c r="C124">
        <v>-1.5172892907485043</v>
      </c>
      <c r="D124" s="8">
        <v>-1.9379419794061363</v>
      </c>
    </row>
    <row r="125" spans="1:4" x14ac:dyDescent="0.2">
      <c r="A125">
        <v>2003</v>
      </c>
      <c r="B125" t="s">
        <v>7</v>
      </c>
      <c r="C125">
        <v>-1.5866428336199199</v>
      </c>
      <c r="D125" s="8">
        <v>-1.5558971455060704</v>
      </c>
    </row>
    <row r="126" spans="1:4" x14ac:dyDescent="0.2">
      <c r="A126">
        <v>2003</v>
      </c>
      <c r="B126" t="s">
        <v>8</v>
      </c>
      <c r="C126">
        <v>-1.6013956258454629</v>
      </c>
      <c r="D126" s="8">
        <v>-0.65008769109949827</v>
      </c>
    </row>
    <row r="127" spans="1:4" x14ac:dyDescent="0.2">
      <c r="A127">
        <v>2004</v>
      </c>
      <c r="B127" t="s">
        <v>4</v>
      </c>
      <c r="C127">
        <v>-4.4427828440949471</v>
      </c>
      <c r="D127" s="8">
        <v>-3.2701691192557512</v>
      </c>
    </row>
    <row r="128" spans="1:4" x14ac:dyDescent="0.2">
      <c r="A128">
        <v>2004</v>
      </c>
      <c r="B128" t="s">
        <v>5</v>
      </c>
      <c r="C128">
        <v>-1.6044503709230609</v>
      </c>
      <c r="D128" s="8">
        <v>-2.4191189092499972</v>
      </c>
    </row>
    <row r="129" spans="1:4" x14ac:dyDescent="0.2">
      <c r="A129">
        <v>2004</v>
      </c>
      <c r="B129" t="s">
        <v>6</v>
      </c>
      <c r="C129">
        <v>-1.4961413448062759</v>
      </c>
      <c r="D129" s="8">
        <v>-1.9732813458514451</v>
      </c>
    </row>
    <row r="130" spans="1:4" x14ac:dyDescent="0.2">
      <c r="A130">
        <v>2004</v>
      </c>
      <c r="B130" t="s">
        <v>7</v>
      </c>
      <c r="C130">
        <v>-1.5481738606020443</v>
      </c>
      <c r="D130" s="8">
        <v>-1.579879110192556</v>
      </c>
    </row>
    <row r="131" spans="1:4" x14ac:dyDescent="0.2">
      <c r="A131">
        <v>2004</v>
      </c>
      <c r="B131" t="s">
        <v>8</v>
      </c>
      <c r="C131">
        <v>-1.5896994249994911</v>
      </c>
      <c r="D131" s="8">
        <v>-0.62548853208613042</v>
      </c>
    </row>
    <row r="132" spans="1:4" x14ac:dyDescent="0.2">
      <c r="A132">
        <v>2005</v>
      </c>
      <c r="B132" t="s">
        <v>4</v>
      </c>
      <c r="C132">
        <v>-4.3532553373949279</v>
      </c>
      <c r="D132" s="8">
        <v>-3.2968373663379125</v>
      </c>
    </row>
    <row r="133" spans="1:4" x14ac:dyDescent="0.2">
      <c r="A133">
        <v>2005</v>
      </c>
      <c r="B133" t="s">
        <v>5</v>
      </c>
      <c r="C133">
        <v>-1.5798791101925562</v>
      </c>
      <c r="D133" s="8">
        <v>-2.4651040224918206</v>
      </c>
    </row>
    <row r="134" spans="1:4" x14ac:dyDescent="0.2">
      <c r="A134">
        <v>2005</v>
      </c>
      <c r="B134" t="s">
        <v>6</v>
      </c>
      <c r="C134">
        <v>-1.4717392888643295</v>
      </c>
      <c r="D134" s="8">
        <v>-2.0024805005437076</v>
      </c>
    </row>
    <row r="135" spans="1:4" x14ac:dyDescent="0.2">
      <c r="A135">
        <v>2005</v>
      </c>
      <c r="B135" t="s">
        <v>7</v>
      </c>
      <c r="C135">
        <v>-1.5418731959535916</v>
      </c>
      <c r="D135" s="8">
        <v>-1.6144504542576448</v>
      </c>
    </row>
    <row r="136" spans="1:4" x14ac:dyDescent="0.2">
      <c r="A136">
        <v>2005</v>
      </c>
      <c r="B136" t="s">
        <v>8</v>
      </c>
      <c r="C136">
        <v>-1.5591106016999432</v>
      </c>
      <c r="D136" s="8">
        <v>-0.59602046982922252</v>
      </c>
    </row>
    <row r="137" spans="1:4" x14ac:dyDescent="0.2">
      <c r="A137">
        <v>2006</v>
      </c>
      <c r="B137" t="s">
        <v>4</v>
      </c>
      <c r="C137">
        <v>-3.4809623501310174</v>
      </c>
      <c r="D137" s="8">
        <v>-3.3242363405260269</v>
      </c>
    </row>
    <row r="138" spans="1:4" x14ac:dyDescent="0.2">
      <c r="A138">
        <v>2006</v>
      </c>
      <c r="B138" t="s">
        <v>5</v>
      </c>
      <c r="C138">
        <v>-1.5750364857167682</v>
      </c>
      <c r="D138" s="8">
        <v>-2.4769384801388235</v>
      </c>
    </row>
    <row r="139" spans="1:4" x14ac:dyDescent="0.2">
      <c r="A139">
        <v>2006</v>
      </c>
      <c r="B139" t="s">
        <v>6</v>
      </c>
      <c r="C139">
        <v>-1.4921562555798971</v>
      </c>
      <c r="D139" s="8">
        <v>-2.0174061507603831</v>
      </c>
    </row>
    <row r="140" spans="1:4" x14ac:dyDescent="0.2">
      <c r="A140">
        <v>2006</v>
      </c>
      <c r="B140" t="s">
        <v>7</v>
      </c>
      <c r="C140">
        <v>-1.5556795465883713</v>
      </c>
      <c r="D140" s="8">
        <v>-1.6296406197516198</v>
      </c>
    </row>
    <row r="141" spans="1:4" x14ac:dyDescent="0.2">
      <c r="A141">
        <v>2006</v>
      </c>
      <c r="B141" t="s">
        <v>8</v>
      </c>
      <c r="C141">
        <v>-1.5546131590198546</v>
      </c>
      <c r="D141" s="8">
        <v>-0.5851900390548529</v>
      </c>
    </row>
    <row r="142" spans="1:4" x14ac:dyDescent="0.2">
      <c r="A142">
        <v>2007</v>
      </c>
      <c r="B142" t="s">
        <v>4</v>
      </c>
      <c r="C142">
        <v>-2.8341368472771546</v>
      </c>
      <c r="D142" s="8">
        <v>-3.2441936328524905</v>
      </c>
    </row>
    <row r="143" spans="1:4" x14ac:dyDescent="0.2">
      <c r="A143">
        <v>2007</v>
      </c>
      <c r="B143" t="s">
        <v>5</v>
      </c>
      <c r="C143">
        <v>-1.5540588584942296</v>
      </c>
      <c r="D143" s="8">
        <v>-2.4651040224918206</v>
      </c>
    </row>
    <row r="144" spans="1:4" x14ac:dyDescent="0.2">
      <c r="A144">
        <v>2007</v>
      </c>
      <c r="B144" t="s">
        <v>6</v>
      </c>
      <c r="C144">
        <v>-1.5141277326297757</v>
      </c>
      <c r="D144" s="8">
        <v>-2.0174061507603831</v>
      </c>
    </row>
    <row r="145" spans="1:4" x14ac:dyDescent="0.2">
      <c r="A145">
        <v>2007</v>
      </c>
      <c r="B145" t="s">
        <v>7</v>
      </c>
      <c r="C145">
        <v>-1.5593655703594533</v>
      </c>
      <c r="D145" s="8">
        <v>-1.6450650900772514</v>
      </c>
    </row>
    <row r="146" spans="1:4" x14ac:dyDescent="0.2">
      <c r="A146">
        <v>2007</v>
      </c>
      <c r="B146" t="s">
        <v>8</v>
      </c>
      <c r="C146">
        <v>-1.5785079749730151</v>
      </c>
      <c r="D146" s="8">
        <v>-0.58160580582703802</v>
      </c>
    </row>
    <row r="147" spans="1:4" hidden="1" x14ac:dyDescent="0.2">
      <c r="A147">
        <v>2008</v>
      </c>
      <c r="B147" t="s">
        <v>4</v>
      </c>
      <c r="C147" t="e">
        <v>#NUM!</v>
      </c>
      <c r="D147" s="8">
        <v>-3.2188758248682006</v>
      </c>
    </row>
    <row r="148" spans="1:4" x14ac:dyDescent="0.2">
      <c r="A148">
        <v>2008</v>
      </c>
      <c r="B148" t="s">
        <v>5</v>
      </c>
      <c r="C148">
        <v>-1.6493240154494502</v>
      </c>
      <c r="D148" s="8">
        <v>-2.4191189092499972</v>
      </c>
    </row>
    <row r="149" spans="1:4" x14ac:dyDescent="0.2">
      <c r="A149">
        <v>2008</v>
      </c>
      <c r="B149" t="s">
        <v>6</v>
      </c>
      <c r="C149">
        <v>-1.6062774443530266</v>
      </c>
      <c r="D149" s="8">
        <v>-1.9732813458514451</v>
      </c>
    </row>
    <row r="150" spans="1:4" x14ac:dyDescent="0.2">
      <c r="A150">
        <v>2008</v>
      </c>
      <c r="B150" t="s">
        <v>7</v>
      </c>
      <c r="C150">
        <v>-1.6346803084806454</v>
      </c>
      <c r="D150" s="8">
        <v>-1.5896352851379207</v>
      </c>
    </row>
    <row r="151" spans="1:4" x14ac:dyDescent="0.2">
      <c r="A151">
        <v>2008</v>
      </c>
      <c r="B151" t="s">
        <v>8</v>
      </c>
      <c r="C151">
        <v>-1.6737690476702067</v>
      </c>
      <c r="D151" s="8">
        <v>-0.61618613942381695</v>
      </c>
    </row>
    <row r="152" spans="1:4" hidden="1" x14ac:dyDescent="0.2">
      <c r="A152">
        <v>2009</v>
      </c>
      <c r="B152" t="s">
        <v>4</v>
      </c>
      <c r="C152" t="e">
        <v>#NUM!</v>
      </c>
      <c r="D152" s="8">
        <v>-3.2188758248682006</v>
      </c>
    </row>
    <row r="153" spans="1:4" x14ac:dyDescent="0.2">
      <c r="A153">
        <v>2009</v>
      </c>
      <c r="B153" t="s">
        <v>5</v>
      </c>
      <c r="C153">
        <v>-1.6935210296446408</v>
      </c>
      <c r="D153" s="8">
        <v>-2.375155785828881</v>
      </c>
    </row>
    <row r="154" spans="1:4" x14ac:dyDescent="0.2">
      <c r="A154">
        <v>2009</v>
      </c>
      <c r="B154" t="s">
        <v>6</v>
      </c>
      <c r="C154">
        <v>-1.6214966287542274</v>
      </c>
      <c r="D154" s="8">
        <v>-1.9241486572738007</v>
      </c>
    </row>
    <row r="155" spans="1:4" x14ac:dyDescent="0.2">
      <c r="A155">
        <v>2009</v>
      </c>
      <c r="B155" t="s">
        <v>7</v>
      </c>
      <c r="C155">
        <v>-1.6588969048704649</v>
      </c>
      <c r="D155" s="8">
        <v>-1.5371172508544744</v>
      </c>
    </row>
    <row r="156" spans="1:4" x14ac:dyDescent="0.2">
      <c r="A156">
        <v>2009</v>
      </c>
      <c r="B156" t="s">
        <v>8</v>
      </c>
      <c r="C156">
        <v>-1.7162866817949187</v>
      </c>
      <c r="D156" s="8">
        <v>-0.64817381491721415</v>
      </c>
    </row>
    <row r="157" spans="1:4" hidden="1" x14ac:dyDescent="0.2">
      <c r="A157">
        <v>2010</v>
      </c>
      <c r="B157" t="s">
        <v>4</v>
      </c>
      <c r="C157" t="e">
        <v>#NUM!</v>
      </c>
      <c r="D157" s="8">
        <v>-3.2701691192557512</v>
      </c>
    </row>
    <row r="158" spans="1:4" x14ac:dyDescent="0.2">
      <c r="A158">
        <v>2010</v>
      </c>
      <c r="B158" t="s">
        <v>5</v>
      </c>
      <c r="C158">
        <v>-1.6550165723415611</v>
      </c>
      <c r="D158" s="8">
        <v>-2.4079456086518722</v>
      </c>
    </row>
    <row r="159" spans="1:4" x14ac:dyDescent="0.2">
      <c r="A159">
        <v>2010</v>
      </c>
      <c r="B159" t="s">
        <v>6</v>
      </c>
      <c r="C159">
        <v>-1.5568320994943055</v>
      </c>
      <c r="D159" s="8">
        <v>-1.9519282213808764</v>
      </c>
    </row>
    <row r="160" spans="1:4" x14ac:dyDescent="0.2">
      <c r="A160">
        <v>2010</v>
      </c>
      <c r="B160" t="s">
        <v>7</v>
      </c>
      <c r="C160">
        <v>-1.6412298282283067</v>
      </c>
      <c r="D160" s="8">
        <v>-1.5654210270173261</v>
      </c>
    </row>
    <row r="161" spans="1:4" x14ac:dyDescent="0.2">
      <c r="A161">
        <v>2010</v>
      </c>
      <c r="B161" t="s">
        <v>8</v>
      </c>
      <c r="C161">
        <v>-1.6788581115275765</v>
      </c>
      <c r="D161" s="8">
        <v>-0.62548853208613042</v>
      </c>
    </row>
    <row r="162" spans="1:4" hidden="1" x14ac:dyDescent="0.2">
      <c r="A162">
        <v>2011</v>
      </c>
      <c r="B162" t="s">
        <v>4</v>
      </c>
      <c r="C162" t="e">
        <v>#NUM!</v>
      </c>
      <c r="D162" s="8">
        <v>-3.2441936328524905</v>
      </c>
    </row>
    <row r="163" spans="1:4" x14ac:dyDescent="0.2">
      <c r="A163">
        <v>2011</v>
      </c>
      <c r="B163" t="s">
        <v>5</v>
      </c>
      <c r="C163">
        <v>-1.6654205471850381</v>
      </c>
      <c r="D163" s="8">
        <v>-2.4079456086518722</v>
      </c>
    </row>
    <row r="164" spans="1:4" x14ac:dyDescent="0.2">
      <c r="A164">
        <v>2011</v>
      </c>
      <c r="B164" t="s">
        <v>6</v>
      </c>
      <c r="C164">
        <v>-1.5924403360655295</v>
      </c>
      <c r="D164" s="8">
        <v>-1.9661128563728327</v>
      </c>
    </row>
    <row r="165" spans="1:4" x14ac:dyDescent="0.2">
      <c r="A165">
        <v>2011</v>
      </c>
      <c r="B165" t="s">
        <v>7</v>
      </c>
      <c r="C165">
        <v>-1.6312041889160553</v>
      </c>
      <c r="D165" s="8">
        <v>-1.5654210270173261</v>
      </c>
    </row>
    <row r="166" spans="1:4" x14ac:dyDescent="0.2">
      <c r="A166">
        <v>2011</v>
      </c>
      <c r="B166" t="s">
        <v>8</v>
      </c>
      <c r="C166">
        <v>-1.6979117006218349</v>
      </c>
      <c r="D166" s="8">
        <v>-0.62548853208613042</v>
      </c>
    </row>
    <row r="167" spans="1:4" hidden="1" x14ac:dyDescent="0.2">
      <c r="A167">
        <v>2012</v>
      </c>
      <c r="B167" t="s">
        <v>4</v>
      </c>
      <c r="C167" t="e">
        <v>#NUM!</v>
      </c>
      <c r="D167" s="8">
        <v>-3.3242363405260269</v>
      </c>
    </row>
    <row r="168" spans="1:4" x14ac:dyDescent="0.2">
      <c r="A168">
        <v>2012</v>
      </c>
      <c r="B168" t="s">
        <v>5</v>
      </c>
      <c r="C168">
        <v>-1.682008605268936</v>
      </c>
      <c r="D168" s="8">
        <v>-2.4769384801388235</v>
      </c>
    </row>
    <row r="169" spans="1:4" x14ac:dyDescent="0.2">
      <c r="A169">
        <v>2012</v>
      </c>
      <c r="B169" t="s">
        <v>6</v>
      </c>
      <c r="C169">
        <v>-1.5317912353437901</v>
      </c>
      <c r="D169" s="8">
        <v>-2.0024805005437076</v>
      </c>
    </row>
    <row r="170" spans="1:4" x14ac:dyDescent="0.2">
      <c r="A170">
        <v>2012</v>
      </c>
      <c r="B170" t="s">
        <v>7</v>
      </c>
      <c r="C170">
        <v>-1.6187347255332378</v>
      </c>
      <c r="D170" s="8">
        <v>-1.6044503709230613</v>
      </c>
    </row>
    <row r="171" spans="1:4" x14ac:dyDescent="0.2">
      <c r="A171">
        <v>2012</v>
      </c>
      <c r="B171" t="s">
        <v>8</v>
      </c>
      <c r="C171">
        <v>-1.6663889842499437</v>
      </c>
      <c r="D171" s="8">
        <v>-0.58698698473155464</v>
      </c>
    </row>
    <row r="172" spans="1:4" hidden="1" x14ac:dyDescent="0.2">
      <c r="A172">
        <v>2013</v>
      </c>
      <c r="B172" t="s">
        <v>4</v>
      </c>
      <c r="C172" t="e">
        <v>#NUM!</v>
      </c>
      <c r="D172" s="8">
        <v>-3.2701691192557512</v>
      </c>
    </row>
    <row r="173" spans="1:4" x14ac:dyDescent="0.2">
      <c r="A173">
        <v>2013</v>
      </c>
      <c r="B173" t="s">
        <v>5</v>
      </c>
      <c r="C173">
        <v>-1.5504102378111984</v>
      </c>
      <c r="D173" s="8">
        <v>-2.4418471603275536</v>
      </c>
    </row>
    <row r="174" spans="1:4" x14ac:dyDescent="0.2">
      <c r="A174">
        <v>2013</v>
      </c>
      <c r="B174" t="s">
        <v>6</v>
      </c>
      <c r="C174">
        <v>-1.4624453707079448</v>
      </c>
      <c r="D174" s="8">
        <v>-1.9732813458514451</v>
      </c>
    </row>
    <row r="175" spans="1:4" x14ac:dyDescent="0.2">
      <c r="A175">
        <v>2013</v>
      </c>
      <c r="B175" t="s">
        <v>7</v>
      </c>
      <c r="C175">
        <v>-1.5392090900733491</v>
      </c>
      <c r="D175" s="8">
        <v>-1.575036485716768</v>
      </c>
    </row>
    <row r="176" spans="1:4" x14ac:dyDescent="0.2">
      <c r="A176">
        <v>2013</v>
      </c>
      <c r="B176" t="s">
        <v>8</v>
      </c>
      <c r="C176">
        <v>-1.5801657560793585</v>
      </c>
      <c r="D176" s="8">
        <v>-0.61248927754249083</v>
      </c>
    </row>
    <row r="177" spans="1:4" hidden="1" x14ac:dyDescent="0.2">
      <c r="A177">
        <v>2014</v>
      </c>
      <c r="B177" t="s">
        <v>4</v>
      </c>
      <c r="C177" t="e">
        <v>#NUM!</v>
      </c>
      <c r="D177" s="8">
        <v>-3.3242363405260269</v>
      </c>
    </row>
    <row r="178" spans="1:4" x14ac:dyDescent="0.2">
      <c r="A178">
        <v>2014</v>
      </c>
      <c r="B178" t="s">
        <v>5</v>
      </c>
      <c r="C178">
        <v>-1.5702171992808192</v>
      </c>
      <c r="D178" s="8">
        <v>-2.4651040224918206</v>
      </c>
    </row>
    <row r="179" spans="1:4" x14ac:dyDescent="0.2">
      <c r="A179">
        <v>2014</v>
      </c>
      <c r="B179" t="s">
        <v>6</v>
      </c>
      <c r="C179">
        <v>-1.4382896562382712</v>
      </c>
      <c r="D179" s="8">
        <v>-2.0024805005437076</v>
      </c>
    </row>
    <row r="180" spans="1:4" x14ac:dyDescent="0.2">
      <c r="A180">
        <v>2014</v>
      </c>
      <c r="B180" t="s">
        <v>7</v>
      </c>
      <c r="C180">
        <v>-1.4978701009752913</v>
      </c>
      <c r="D180" s="8">
        <v>-1.5945492999403497</v>
      </c>
    </row>
    <row r="181" spans="1:4" x14ac:dyDescent="0.2">
      <c r="A181">
        <v>2014</v>
      </c>
      <c r="B181" t="s">
        <v>8</v>
      </c>
      <c r="C181">
        <v>-1.5498076263856193</v>
      </c>
      <c r="D181" s="8">
        <v>-0.59059059223485333</v>
      </c>
    </row>
    <row r="182" spans="1:4" hidden="1" x14ac:dyDescent="0.2">
      <c r="A182">
        <v>2015</v>
      </c>
      <c r="B182" t="s">
        <v>4</v>
      </c>
      <c r="C182" t="e">
        <v>#NUM!</v>
      </c>
      <c r="D182" s="8">
        <v>-3.2968373663379125</v>
      </c>
    </row>
    <row r="183" spans="1:4" x14ac:dyDescent="0.2">
      <c r="A183">
        <v>2015</v>
      </c>
      <c r="B183" t="s">
        <v>5</v>
      </c>
      <c r="C183">
        <v>-1.5702171992808192</v>
      </c>
      <c r="D183" s="8">
        <v>-2.4534079827286295</v>
      </c>
    </row>
    <row r="184" spans="1:4" x14ac:dyDescent="0.2">
      <c r="A184">
        <v>2015</v>
      </c>
      <c r="B184" t="s">
        <v>6</v>
      </c>
      <c r="C184">
        <v>-1.4391988599211878</v>
      </c>
      <c r="D184" s="8">
        <v>-1.9951003932460849</v>
      </c>
    </row>
    <row r="185" spans="1:4" x14ac:dyDescent="0.2">
      <c r="A185">
        <v>2015</v>
      </c>
      <c r="B185" t="s">
        <v>7</v>
      </c>
      <c r="C185">
        <v>-1.4805725612831551</v>
      </c>
      <c r="D185" s="8">
        <v>-1.5945492999403497</v>
      </c>
    </row>
    <row r="186" spans="1:4" x14ac:dyDescent="0.2">
      <c r="A186">
        <v>2015</v>
      </c>
      <c r="B186" t="s">
        <v>8</v>
      </c>
      <c r="C186">
        <v>-1.5496976358433359</v>
      </c>
      <c r="D186" s="8">
        <v>-0.59602046982922252</v>
      </c>
    </row>
    <row r="187" spans="1:4" hidden="1" x14ac:dyDescent="0.2">
      <c r="A187">
        <v>2016</v>
      </c>
      <c r="B187" t="s">
        <v>4</v>
      </c>
      <c r="C187" t="e">
        <v>#NUM!</v>
      </c>
      <c r="D187" s="8">
        <v>-3.2441936328524905</v>
      </c>
    </row>
    <row r="188" spans="1:4" x14ac:dyDescent="0.2">
      <c r="A188">
        <v>2016</v>
      </c>
      <c r="B188" t="s">
        <v>5</v>
      </c>
      <c r="C188">
        <v>-1.5798791101925562</v>
      </c>
      <c r="D188" s="8">
        <v>-2.4304184645039304</v>
      </c>
    </row>
    <row r="189" spans="1:4" x14ac:dyDescent="0.2">
      <c r="A189">
        <v>2016</v>
      </c>
      <c r="B189" t="s">
        <v>6</v>
      </c>
      <c r="C189">
        <v>-1.4482629513508516</v>
      </c>
      <c r="D189" s="8">
        <v>-1.9877743531540122</v>
      </c>
    </row>
    <row r="190" spans="1:4" x14ac:dyDescent="0.2">
      <c r="A190">
        <v>2016</v>
      </c>
      <c r="B190" t="s">
        <v>7</v>
      </c>
      <c r="C190">
        <v>-1.4900301810507155</v>
      </c>
      <c r="D190" s="8">
        <v>-1.584745299843729</v>
      </c>
    </row>
    <row r="191" spans="1:4" x14ac:dyDescent="0.2">
      <c r="A191">
        <v>2016</v>
      </c>
      <c r="B191" t="s">
        <v>8</v>
      </c>
      <c r="C191">
        <v>-1.55198290649631</v>
      </c>
      <c r="D191" s="8">
        <v>-0.60696948431889286</v>
      </c>
    </row>
    <row r="192" spans="1:4" hidden="1" x14ac:dyDescent="0.2">
      <c r="A192">
        <v>2017</v>
      </c>
      <c r="B192" t="s">
        <v>4</v>
      </c>
      <c r="C192" t="e">
        <v>#NUM!</v>
      </c>
      <c r="D192" s="8">
        <v>-3.2968373663379125</v>
      </c>
    </row>
    <row r="193" spans="1:4" x14ac:dyDescent="0.2">
      <c r="A193">
        <v>2017</v>
      </c>
      <c r="B193" t="s">
        <v>5</v>
      </c>
      <c r="C193">
        <v>-1.6360684480966112</v>
      </c>
      <c r="D193" s="8">
        <v>-2.4534079827286295</v>
      </c>
    </row>
    <row r="194" spans="1:4" x14ac:dyDescent="0.2">
      <c r="A194">
        <v>2017</v>
      </c>
      <c r="B194" t="s">
        <v>6</v>
      </c>
      <c r="C194">
        <v>-1.4802306703019938</v>
      </c>
      <c r="D194" s="8">
        <v>-2.0024805005437076</v>
      </c>
    </row>
    <row r="195" spans="1:4" x14ac:dyDescent="0.2">
      <c r="A195">
        <v>2017</v>
      </c>
      <c r="B195" t="s">
        <v>7</v>
      </c>
      <c r="C195">
        <v>-1.5155618101364616</v>
      </c>
      <c r="D195" s="8">
        <v>-1.5945492999403497</v>
      </c>
    </row>
    <row r="196" spans="1:4" x14ac:dyDescent="0.2">
      <c r="A196">
        <v>2017</v>
      </c>
      <c r="B196" t="s">
        <v>8</v>
      </c>
      <c r="C196">
        <v>-1.5686507011274691</v>
      </c>
      <c r="D196" s="8">
        <v>-0.59420723270504161</v>
      </c>
    </row>
    <row r="197" spans="1:4" hidden="1" x14ac:dyDescent="0.2">
      <c r="A197">
        <v>2018</v>
      </c>
      <c r="B197" t="s">
        <v>4</v>
      </c>
      <c r="C197" t="e">
        <v>#NUM!</v>
      </c>
      <c r="D197" s="8">
        <v>-3.2701691192557512</v>
      </c>
    </row>
    <row r="198" spans="1:4" x14ac:dyDescent="0.2">
      <c r="A198">
        <v>2018</v>
      </c>
      <c r="B198" t="s">
        <v>5</v>
      </c>
      <c r="C198">
        <v>-1.6554818509355069</v>
      </c>
      <c r="D198" s="8">
        <v>-2.4651040224918206</v>
      </c>
    </row>
    <row r="199" spans="1:4" x14ac:dyDescent="0.2">
      <c r="A199">
        <v>2018</v>
      </c>
      <c r="B199" t="s">
        <v>6</v>
      </c>
      <c r="C199">
        <v>-1.5364232883006004</v>
      </c>
      <c r="D199" s="8">
        <v>-2.0099154790312257</v>
      </c>
    </row>
    <row r="200" spans="1:4" x14ac:dyDescent="0.2">
      <c r="A200">
        <v>2018</v>
      </c>
      <c r="B200" t="s">
        <v>7</v>
      </c>
      <c r="C200">
        <v>-1.5562474041172563</v>
      </c>
      <c r="D200" s="8">
        <v>-1.5945492999403497</v>
      </c>
    </row>
    <row r="201" spans="1:4" x14ac:dyDescent="0.2">
      <c r="A201">
        <v>2018</v>
      </c>
      <c r="B201" t="s">
        <v>8</v>
      </c>
      <c r="C201">
        <v>-1.6402793633192765</v>
      </c>
      <c r="D201" s="8">
        <v>-0.59239727745980242</v>
      </c>
    </row>
    <row r="202" spans="1:4" hidden="1" x14ac:dyDescent="0.2">
      <c r="A202">
        <v>2019</v>
      </c>
      <c r="B202" t="s">
        <v>4</v>
      </c>
      <c r="C202" t="e">
        <v>#NUM!</v>
      </c>
      <c r="D202" s="8">
        <v>-3.2188758248682006</v>
      </c>
    </row>
    <row r="203" spans="1:4" x14ac:dyDescent="0.2">
      <c r="A203">
        <v>2019</v>
      </c>
      <c r="B203" t="s">
        <v>5</v>
      </c>
      <c r="C203">
        <v>-1.7048105941916314</v>
      </c>
      <c r="D203" s="8">
        <v>-2.4304184645039304</v>
      </c>
    </row>
    <row r="204" spans="1:4" x14ac:dyDescent="0.2">
      <c r="A204">
        <v>2019</v>
      </c>
      <c r="B204" t="s">
        <v>6</v>
      </c>
      <c r="C204">
        <v>-1.5117417293769235</v>
      </c>
      <c r="D204" s="8">
        <v>-1.9877743531540122</v>
      </c>
    </row>
    <row r="205" spans="1:4" x14ac:dyDescent="0.2">
      <c r="A205">
        <v>2019</v>
      </c>
      <c r="B205" t="s">
        <v>7</v>
      </c>
      <c r="C205">
        <v>-1.5567105977257478</v>
      </c>
      <c r="D205" s="8">
        <v>-1.5896352851379207</v>
      </c>
    </row>
    <row r="206" spans="1:4" x14ac:dyDescent="0.2">
      <c r="A206">
        <v>2019</v>
      </c>
      <c r="B206" t="s">
        <v>8</v>
      </c>
      <c r="C206">
        <v>-1.6324342580770272</v>
      </c>
      <c r="D206" s="8">
        <v>-0.60696948431889286</v>
      </c>
    </row>
    <row r="207" spans="1:4" hidden="1" x14ac:dyDescent="0.2">
      <c r="A207">
        <v>2020</v>
      </c>
      <c r="B207" t="s">
        <v>4</v>
      </c>
      <c r="C207" t="e">
        <v>#NUM!</v>
      </c>
      <c r="D207" s="8">
        <v>-3.3242363405260269</v>
      </c>
    </row>
    <row r="208" spans="1:4" x14ac:dyDescent="0.2">
      <c r="A208">
        <v>2020</v>
      </c>
      <c r="B208" t="s">
        <v>5</v>
      </c>
      <c r="C208">
        <v>-1.9215734103974875</v>
      </c>
      <c r="D208" s="8">
        <v>-2.4651040224918206</v>
      </c>
    </row>
    <row r="209" spans="1:4" x14ac:dyDescent="0.2">
      <c r="A209">
        <v>2020</v>
      </c>
      <c r="B209" t="s">
        <v>6</v>
      </c>
      <c r="C209">
        <v>-1.6899251633467864</v>
      </c>
      <c r="D209" s="8">
        <v>-2.0024805005437076</v>
      </c>
    </row>
    <row r="210" spans="1:4" x14ac:dyDescent="0.2">
      <c r="A210">
        <v>2020</v>
      </c>
      <c r="B210" t="s">
        <v>7</v>
      </c>
      <c r="C210">
        <v>-1.6566748280732855</v>
      </c>
      <c r="D210" s="8">
        <v>-1.5994875815809324</v>
      </c>
    </row>
    <row r="211" spans="1:4" x14ac:dyDescent="0.2">
      <c r="A211">
        <v>2020</v>
      </c>
      <c r="B211" t="s">
        <v>8</v>
      </c>
      <c r="C211">
        <v>-1.7430616406884432</v>
      </c>
      <c r="D211" s="8">
        <v>-0.5851900390548529</v>
      </c>
    </row>
    <row r="212" spans="1:4" hidden="1" x14ac:dyDescent="0.2">
      <c r="A212">
        <v>2021</v>
      </c>
      <c r="B212" t="s">
        <v>4</v>
      </c>
      <c r="C212" t="e">
        <v>#NUM!</v>
      </c>
      <c r="D212" s="8">
        <v>-3.4112477175156566</v>
      </c>
    </row>
    <row r="213" spans="1:4" x14ac:dyDescent="0.2">
      <c r="A213">
        <v>2021</v>
      </c>
      <c r="B213" t="s">
        <v>5</v>
      </c>
      <c r="C213">
        <v>-1.817708640188096</v>
      </c>
      <c r="D213" s="8">
        <v>-2.5510464522925451</v>
      </c>
    </row>
    <row r="214" spans="1:4" x14ac:dyDescent="0.2">
      <c r="A214">
        <v>2021</v>
      </c>
      <c r="B214" t="s">
        <v>6</v>
      </c>
      <c r="C214">
        <v>-1.6099665074003588</v>
      </c>
      <c r="D214" s="8">
        <v>-2.0955709236097193</v>
      </c>
    </row>
    <row r="215" spans="1:4" x14ac:dyDescent="0.2">
      <c r="A215">
        <v>2021</v>
      </c>
      <c r="B215" t="s">
        <v>7</v>
      </c>
      <c r="C215">
        <v>-1.5898450166823135</v>
      </c>
      <c r="D215" s="8">
        <v>-1.6766466621275504</v>
      </c>
    </row>
    <row r="216" spans="1:4" x14ac:dyDescent="0.2">
      <c r="A216">
        <v>2021</v>
      </c>
      <c r="B216" t="s">
        <v>8</v>
      </c>
      <c r="C216">
        <v>-1.7146189279520958</v>
      </c>
      <c r="D216" s="8">
        <v>-0.53102833108351022</v>
      </c>
    </row>
    <row r="217" spans="1:4" x14ac:dyDescent="0.2">
      <c r="D217" s="8"/>
    </row>
    <row r="218" spans="1:4" x14ac:dyDescent="0.2">
      <c r="D218" s="8"/>
    </row>
    <row r="219" spans="1:4" x14ac:dyDescent="0.2">
      <c r="D219" s="8"/>
    </row>
    <row r="220" spans="1:4" x14ac:dyDescent="0.2">
      <c r="D220" s="8"/>
    </row>
    <row r="221" spans="1:4" x14ac:dyDescent="0.2">
      <c r="D221" s="8"/>
    </row>
    <row r="222" spans="1:4" x14ac:dyDescent="0.2">
      <c r="D222" s="8"/>
    </row>
    <row r="223" spans="1:4" x14ac:dyDescent="0.2">
      <c r="D223" s="8"/>
    </row>
    <row r="224" spans="1:4" x14ac:dyDescent="0.2">
      <c r="D224" s="8"/>
    </row>
    <row r="225" spans="4:4" x14ac:dyDescent="0.2">
      <c r="D225" s="8"/>
    </row>
    <row r="226" spans="4:4" x14ac:dyDescent="0.2">
      <c r="D226" s="8"/>
    </row>
    <row r="227" spans="4:4" x14ac:dyDescent="0.2">
      <c r="D227" s="8"/>
    </row>
    <row r="228" spans="4:4" x14ac:dyDescent="0.2">
      <c r="D228" s="8"/>
    </row>
    <row r="229" spans="4:4" x14ac:dyDescent="0.2">
      <c r="D229" s="8"/>
    </row>
    <row r="230" spans="4:4" x14ac:dyDescent="0.2">
      <c r="D230" s="8"/>
    </row>
    <row r="231" spans="4:4" x14ac:dyDescent="0.2">
      <c r="D231" s="8"/>
    </row>
    <row r="232" spans="4:4" x14ac:dyDescent="0.2">
      <c r="D232" s="8"/>
    </row>
    <row r="233" spans="4:4" x14ac:dyDescent="0.2">
      <c r="D233" s="8"/>
    </row>
    <row r="234" spans="4:4" x14ac:dyDescent="0.2">
      <c r="D234" s="8"/>
    </row>
    <row r="235" spans="4:4" x14ac:dyDescent="0.2">
      <c r="D235" s="8"/>
    </row>
    <row r="236" spans="4:4" x14ac:dyDescent="0.2">
      <c r="D236" s="8"/>
    </row>
    <row r="237" spans="4:4" x14ac:dyDescent="0.2">
      <c r="D237" s="8"/>
    </row>
    <row r="238" spans="4:4" x14ac:dyDescent="0.2">
      <c r="D238" s="8"/>
    </row>
    <row r="239" spans="4:4" x14ac:dyDescent="0.2">
      <c r="D239" s="8"/>
    </row>
    <row r="240" spans="4:4" x14ac:dyDescent="0.2">
      <c r="D240" s="8"/>
    </row>
    <row r="241" spans="4:4" x14ac:dyDescent="0.2">
      <c r="D241" s="8"/>
    </row>
    <row r="242" spans="4:4" x14ac:dyDescent="0.2">
      <c r="D242" s="8"/>
    </row>
    <row r="243" spans="4:4" x14ac:dyDescent="0.2">
      <c r="D243" s="8"/>
    </row>
    <row r="244" spans="4:4" x14ac:dyDescent="0.2">
      <c r="D244" s="8"/>
    </row>
    <row r="245" spans="4:4" x14ac:dyDescent="0.2">
      <c r="D245" s="8"/>
    </row>
    <row r="246" spans="4:4" x14ac:dyDescent="0.2">
      <c r="D246" s="8"/>
    </row>
    <row r="247" spans="4:4" x14ac:dyDescent="0.2">
      <c r="D247" s="8"/>
    </row>
    <row r="248" spans="4:4" x14ac:dyDescent="0.2">
      <c r="D248" s="8"/>
    </row>
    <row r="249" spans="4:4" x14ac:dyDescent="0.2">
      <c r="D249" s="8"/>
    </row>
    <row r="250" spans="4:4" x14ac:dyDescent="0.2">
      <c r="D250" s="8"/>
    </row>
    <row r="251" spans="4:4" x14ac:dyDescent="0.2">
      <c r="D251" s="8"/>
    </row>
    <row r="252" spans="4:4" x14ac:dyDescent="0.2">
      <c r="D252" s="8"/>
    </row>
    <row r="253" spans="4:4" x14ac:dyDescent="0.2">
      <c r="D253" s="8"/>
    </row>
    <row r="254" spans="4:4" x14ac:dyDescent="0.2">
      <c r="D254" s="8"/>
    </row>
    <row r="255" spans="4:4" x14ac:dyDescent="0.2">
      <c r="D255" s="8"/>
    </row>
    <row r="256" spans="4:4" x14ac:dyDescent="0.2">
      <c r="D256" s="8"/>
    </row>
    <row r="257" spans="4:4" x14ac:dyDescent="0.2">
      <c r="D257" s="8"/>
    </row>
    <row r="258" spans="4:4" x14ac:dyDescent="0.2">
      <c r="D258" s="8"/>
    </row>
    <row r="259" spans="4:4" x14ac:dyDescent="0.2">
      <c r="D259" s="8"/>
    </row>
    <row r="260" spans="4:4" x14ac:dyDescent="0.2">
      <c r="D260" s="8"/>
    </row>
    <row r="261" spans="4:4" x14ac:dyDescent="0.2">
      <c r="D261" s="8"/>
    </row>
    <row r="262" spans="4:4" x14ac:dyDescent="0.2">
      <c r="D262" s="8"/>
    </row>
    <row r="263" spans="4:4" x14ac:dyDescent="0.2">
      <c r="D263" s="8"/>
    </row>
    <row r="264" spans="4:4" x14ac:dyDescent="0.2">
      <c r="D264" s="8"/>
    </row>
    <row r="265" spans="4:4" x14ac:dyDescent="0.2">
      <c r="D265" s="8"/>
    </row>
    <row r="266" spans="4:4" x14ac:dyDescent="0.2">
      <c r="D266" s="8"/>
    </row>
    <row r="267" spans="4:4" x14ac:dyDescent="0.2">
      <c r="D267" s="8"/>
    </row>
    <row r="268" spans="4:4" x14ac:dyDescent="0.2">
      <c r="D268" s="8"/>
    </row>
    <row r="269" spans="4:4" x14ac:dyDescent="0.2">
      <c r="D269" s="8"/>
    </row>
    <row r="270" spans="4:4" x14ac:dyDescent="0.2">
      <c r="D270" s="8"/>
    </row>
    <row r="271" spans="4:4" x14ac:dyDescent="0.2">
      <c r="D271" s="8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29AC-8965-A44C-8E05-ADBF32958A1D}">
  <dimension ref="A1:D202"/>
  <sheetViews>
    <sheetView workbookViewId="0">
      <selection activeCell="L48" sqref="L48"/>
    </sheetView>
  </sheetViews>
  <sheetFormatPr baseColWidth="10" defaultRowHeight="16" x14ac:dyDescent="0.2"/>
  <cols>
    <col min="1" max="1" width="16.33203125" customWidth="1"/>
    <col min="2" max="2" width="28.83203125" bestFit="1" customWidth="1"/>
    <col min="3" max="3" width="21.1640625" bestFit="1" customWidth="1"/>
    <col min="4" max="4" width="24.1640625" bestFit="1" customWidth="1"/>
  </cols>
  <sheetData>
    <row r="1" spans="1:4" x14ac:dyDescent="0.2">
      <c r="A1" t="s">
        <v>14</v>
      </c>
      <c r="B1" t="s">
        <v>17</v>
      </c>
      <c r="C1" t="s">
        <v>62</v>
      </c>
      <c r="D1" s="8" t="s">
        <v>34</v>
      </c>
    </row>
    <row r="2" spans="1:4" x14ac:dyDescent="0.2">
      <c r="A2">
        <v>1979</v>
      </c>
      <c r="B2" t="s">
        <v>4</v>
      </c>
      <c r="C2">
        <v>-2.0420686886150334</v>
      </c>
      <c r="D2" s="8">
        <v>-2.9957322735539909</v>
      </c>
    </row>
    <row r="3" spans="1:4" x14ac:dyDescent="0.2">
      <c r="A3">
        <v>1979</v>
      </c>
      <c r="B3" t="s">
        <v>5</v>
      </c>
      <c r="C3">
        <v>-1.4113557917152624</v>
      </c>
      <c r="D3" s="8">
        <v>-2.1892564076870427</v>
      </c>
    </row>
    <row r="4" spans="1:4" x14ac:dyDescent="0.2">
      <c r="A4">
        <v>1979</v>
      </c>
      <c r="B4" t="s">
        <v>6</v>
      </c>
      <c r="C4">
        <v>-1.5226010298343986</v>
      </c>
      <c r="D4" s="8">
        <v>-1.8325814637483102</v>
      </c>
    </row>
    <row r="5" spans="1:4" x14ac:dyDescent="0.2">
      <c r="A5">
        <v>1979</v>
      </c>
      <c r="B5" t="s">
        <v>7</v>
      </c>
      <c r="C5">
        <v>-1.5162606875799174</v>
      </c>
      <c r="D5" s="8">
        <v>-1.4961092271270973</v>
      </c>
    </row>
    <row r="6" spans="1:4" x14ac:dyDescent="0.2">
      <c r="A6">
        <v>1979</v>
      </c>
      <c r="B6" t="s">
        <v>8</v>
      </c>
      <c r="C6">
        <v>-1.4779192347515286</v>
      </c>
      <c r="D6" s="8">
        <v>-0.78526246946775091</v>
      </c>
    </row>
    <row r="7" spans="1:4" x14ac:dyDescent="0.2">
      <c r="A7">
        <v>1980</v>
      </c>
      <c r="B7" t="s">
        <v>4</v>
      </c>
      <c r="C7">
        <v>-2.0656594021652386</v>
      </c>
      <c r="D7" s="8">
        <v>-3.0159349808715104</v>
      </c>
    </row>
    <row r="8" spans="1:4" x14ac:dyDescent="0.2">
      <c r="A8">
        <v>1980</v>
      </c>
      <c r="B8" t="s">
        <v>5</v>
      </c>
      <c r="C8">
        <v>-1.4433073309918718</v>
      </c>
      <c r="D8" s="8">
        <v>-2.2072749131897207</v>
      </c>
    </row>
    <row r="9" spans="1:4" x14ac:dyDescent="0.2">
      <c r="A9">
        <v>1980</v>
      </c>
      <c r="B9" t="s">
        <v>6</v>
      </c>
      <c r="C9">
        <v>-1.4834111718996181</v>
      </c>
      <c r="D9" s="8">
        <v>-1.8325814637483102</v>
      </c>
    </row>
    <row r="10" spans="1:4" x14ac:dyDescent="0.2">
      <c r="A10">
        <v>1980</v>
      </c>
      <c r="B10" t="s">
        <v>7</v>
      </c>
      <c r="C10">
        <v>-1.5208466828785208</v>
      </c>
      <c r="D10" s="8">
        <v>-1.4961092271270973</v>
      </c>
    </row>
    <row r="11" spans="1:4" x14ac:dyDescent="0.2">
      <c r="A11">
        <v>1980</v>
      </c>
      <c r="B11" t="s">
        <v>8</v>
      </c>
      <c r="C11">
        <v>-1.4824797063785049</v>
      </c>
      <c r="D11" s="8">
        <v>-0.77652878949899629</v>
      </c>
    </row>
    <row r="12" spans="1:4" x14ac:dyDescent="0.2">
      <c r="A12">
        <v>1981</v>
      </c>
      <c r="B12" t="s">
        <v>4</v>
      </c>
      <c r="C12">
        <v>-2.0799523103978443</v>
      </c>
      <c r="D12" s="8">
        <v>-3.0576076772720784</v>
      </c>
    </row>
    <row r="13" spans="1:4" x14ac:dyDescent="0.2">
      <c r="A13">
        <v>1981</v>
      </c>
      <c r="B13" t="s">
        <v>5</v>
      </c>
      <c r="C13">
        <v>-1.4344828714569084</v>
      </c>
      <c r="D13" s="8">
        <v>-2.2164073967529934</v>
      </c>
    </row>
    <row r="14" spans="1:4" x14ac:dyDescent="0.2">
      <c r="A14">
        <v>1981</v>
      </c>
      <c r="B14" t="s">
        <v>6</v>
      </c>
      <c r="C14">
        <v>-1.4748201535973569</v>
      </c>
      <c r="D14" s="8">
        <v>-1.8263509139976741</v>
      </c>
    </row>
    <row r="15" spans="1:4" x14ac:dyDescent="0.2">
      <c r="A15">
        <v>1981</v>
      </c>
      <c r="B15" t="s">
        <v>7</v>
      </c>
      <c r="C15">
        <v>-1.5116258145336041</v>
      </c>
      <c r="D15" s="8">
        <v>-1.4916548767777169</v>
      </c>
    </row>
    <row r="16" spans="1:4" x14ac:dyDescent="0.2">
      <c r="A16">
        <v>1981</v>
      </c>
      <c r="B16" t="s">
        <v>8</v>
      </c>
      <c r="C16">
        <v>-1.4738631543579921</v>
      </c>
      <c r="D16" s="8">
        <v>-0.77219038790039818</v>
      </c>
    </row>
    <row r="17" spans="1:4" x14ac:dyDescent="0.2">
      <c r="A17">
        <v>1982</v>
      </c>
      <c r="B17" t="s">
        <v>4</v>
      </c>
      <c r="C17">
        <v>-2.3255746112187441</v>
      </c>
      <c r="D17" s="8">
        <v>-3.1235656450638758</v>
      </c>
    </row>
    <row r="18" spans="1:4" x14ac:dyDescent="0.2">
      <c r="A18">
        <v>1982</v>
      </c>
      <c r="B18" t="s">
        <v>5</v>
      </c>
      <c r="C18">
        <v>-1.4772625790293301</v>
      </c>
      <c r="D18" s="8">
        <v>-2.234926444520231</v>
      </c>
    </row>
    <row r="19" spans="1:4" x14ac:dyDescent="0.2">
      <c r="A19">
        <v>1982</v>
      </c>
      <c r="B19" t="s">
        <v>6</v>
      </c>
      <c r="C19">
        <v>-1.5559269530980668</v>
      </c>
      <c r="D19" s="8">
        <v>-1.8388510767619055</v>
      </c>
    </row>
    <row r="20" spans="1:4" x14ac:dyDescent="0.2">
      <c r="A20">
        <v>1982</v>
      </c>
      <c r="B20" t="s">
        <v>7</v>
      </c>
      <c r="C20">
        <v>-1.614740837006482</v>
      </c>
      <c r="D20" s="8">
        <v>-1.4916548767777169</v>
      </c>
    </row>
    <row r="21" spans="1:4" x14ac:dyDescent="0.2">
      <c r="A21">
        <v>1982</v>
      </c>
      <c r="B21" t="s">
        <v>8</v>
      </c>
      <c r="C21">
        <v>-1.5555745193261912</v>
      </c>
      <c r="D21" s="8">
        <v>-0.75502258427803282</v>
      </c>
    </row>
    <row r="22" spans="1:4" x14ac:dyDescent="0.2">
      <c r="A22">
        <v>1983</v>
      </c>
      <c r="B22" t="s">
        <v>4</v>
      </c>
      <c r="C22">
        <v>-2.2461586542996255</v>
      </c>
      <c r="D22" s="8">
        <v>-3.1941832122778293</v>
      </c>
    </row>
    <row r="23" spans="1:4" x14ac:dyDescent="0.2">
      <c r="A23">
        <v>1983</v>
      </c>
      <c r="B23" t="s">
        <v>5</v>
      </c>
      <c r="C23">
        <v>-1.4539145487948693</v>
      </c>
      <c r="D23" s="8">
        <v>-2.2633643798407643</v>
      </c>
    </row>
    <row r="24" spans="1:4" x14ac:dyDescent="0.2">
      <c r="A24">
        <v>1983</v>
      </c>
      <c r="B24" t="s">
        <v>6</v>
      </c>
      <c r="C24">
        <v>-1.5698497998522785</v>
      </c>
      <c r="D24" s="8">
        <v>-1.8515094736338289</v>
      </c>
    </row>
    <row r="25" spans="1:4" x14ac:dyDescent="0.2">
      <c r="A25">
        <v>1983</v>
      </c>
      <c r="B25" t="s">
        <v>7</v>
      </c>
      <c r="C25">
        <v>-1.6121527052628088</v>
      </c>
      <c r="D25" s="8">
        <v>-1.4916548767777169</v>
      </c>
    </row>
    <row r="26" spans="1:4" x14ac:dyDescent="0.2">
      <c r="A26">
        <v>1983</v>
      </c>
      <c r="B26" t="s">
        <v>8</v>
      </c>
      <c r="C26">
        <v>-1.5782892766889078</v>
      </c>
      <c r="D26" s="8">
        <v>-0.73605468157122189</v>
      </c>
    </row>
    <row r="27" spans="1:4" x14ac:dyDescent="0.2">
      <c r="A27">
        <v>1984</v>
      </c>
      <c r="B27" t="s">
        <v>4</v>
      </c>
      <c r="C27">
        <v>-2.1744168938242696</v>
      </c>
      <c r="D27" s="8">
        <v>-3.1465551632885749</v>
      </c>
    </row>
    <row r="28" spans="1:4" x14ac:dyDescent="0.2">
      <c r="A28">
        <v>1984</v>
      </c>
      <c r="B28" t="s">
        <v>5</v>
      </c>
      <c r="C28">
        <v>-1.4744532493956846</v>
      </c>
      <c r="D28" s="8">
        <v>-2.2633643798407643</v>
      </c>
    </row>
    <row r="29" spans="1:4" x14ac:dyDescent="0.2">
      <c r="A29">
        <v>1984</v>
      </c>
      <c r="B29" t="s">
        <v>6</v>
      </c>
      <c r="C29">
        <v>-1.5554719108612645</v>
      </c>
      <c r="D29" s="8">
        <v>-1.8578992717325999</v>
      </c>
    </row>
    <row r="30" spans="1:4" x14ac:dyDescent="0.2">
      <c r="A30">
        <v>1984</v>
      </c>
      <c r="B30" t="s">
        <v>7</v>
      </c>
      <c r="C30">
        <v>-1.5972358752938949</v>
      </c>
      <c r="D30" s="8">
        <v>-1.4961092271270973</v>
      </c>
    </row>
    <row r="31" spans="1:4" x14ac:dyDescent="0.2">
      <c r="A31">
        <v>1984</v>
      </c>
      <c r="B31" t="s">
        <v>8</v>
      </c>
      <c r="C31">
        <v>-1.5639138376396708</v>
      </c>
      <c r="D31" s="8">
        <v>-0.73605468157122189</v>
      </c>
    </row>
    <row r="32" spans="1:4" x14ac:dyDescent="0.2">
      <c r="A32">
        <v>1985</v>
      </c>
      <c r="B32" t="s">
        <v>4</v>
      </c>
      <c r="C32">
        <v>-2.2046176928485308</v>
      </c>
      <c r="D32" s="8">
        <v>-3.1941832122778293</v>
      </c>
    </row>
    <row r="33" spans="1:4" x14ac:dyDescent="0.2">
      <c r="A33">
        <v>1985</v>
      </c>
      <c r="B33" t="s">
        <v>5</v>
      </c>
      <c r="C33">
        <v>-1.4682703088473612</v>
      </c>
      <c r="D33" s="8">
        <v>-2.2827824656978661</v>
      </c>
    </row>
    <row r="34" spans="1:4" x14ac:dyDescent="0.2">
      <c r="A34">
        <v>1985</v>
      </c>
      <c r="B34" t="s">
        <v>6</v>
      </c>
      <c r="C34">
        <v>-1.5504647681475816</v>
      </c>
      <c r="D34" s="8">
        <v>-1.870802676568508</v>
      </c>
    </row>
    <row r="35" spans="1:4" x14ac:dyDescent="0.2">
      <c r="A35">
        <v>1985</v>
      </c>
      <c r="B35" t="s">
        <v>7</v>
      </c>
      <c r="C35">
        <v>-1.5925229567951176</v>
      </c>
      <c r="D35" s="8">
        <v>-1.5095925774643841</v>
      </c>
    </row>
    <row r="36" spans="1:4" x14ac:dyDescent="0.2">
      <c r="A36">
        <v>1985</v>
      </c>
      <c r="B36" t="s">
        <v>8</v>
      </c>
      <c r="C36">
        <v>-1.567200903092586</v>
      </c>
      <c r="D36" s="8">
        <v>-0.71949115589954715</v>
      </c>
    </row>
    <row r="37" spans="1:4" x14ac:dyDescent="0.2">
      <c r="A37">
        <v>1986</v>
      </c>
      <c r="B37" t="s">
        <v>4</v>
      </c>
      <c r="C37">
        <v>-2.0653869259742561</v>
      </c>
      <c r="D37" s="8">
        <v>-3.2441936328524905</v>
      </c>
    </row>
    <row r="38" spans="1:4" x14ac:dyDescent="0.2">
      <c r="A38">
        <v>1986</v>
      </c>
      <c r="B38" t="s">
        <v>5</v>
      </c>
      <c r="C38">
        <v>-1.4588872246915718</v>
      </c>
      <c r="D38" s="8">
        <v>-2.3330443004787544</v>
      </c>
    </row>
    <row r="39" spans="1:4" x14ac:dyDescent="0.2">
      <c r="A39">
        <v>1986</v>
      </c>
      <c r="B39" t="s">
        <v>6</v>
      </c>
      <c r="C39">
        <v>-1.5449832874331624</v>
      </c>
      <c r="D39" s="8">
        <v>-1.9038089730366781</v>
      </c>
    </row>
    <row r="40" spans="1:4" x14ac:dyDescent="0.2">
      <c r="A40">
        <v>1986</v>
      </c>
      <c r="B40" t="s">
        <v>7</v>
      </c>
      <c r="C40">
        <v>-1.5881703517135142</v>
      </c>
      <c r="D40" s="8">
        <v>-1.5417792639602856</v>
      </c>
    </row>
    <row r="41" spans="1:4" x14ac:dyDescent="0.2">
      <c r="A41">
        <v>1986</v>
      </c>
      <c r="B41" t="s">
        <v>8</v>
      </c>
      <c r="C41">
        <v>-1.5627350194932335</v>
      </c>
      <c r="D41" s="8">
        <v>-0.67924427539095389</v>
      </c>
    </row>
    <row r="42" spans="1:4" x14ac:dyDescent="0.2">
      <c r="A42">
        <v>1987</v>
      </c>
      <c r="B42" t="s">
        <v>4</v>
      </c>
      <c r="C42">
        <v>-2.0391818673941344</v>
      </c>
      <c r="D42" s="8">
        <v>-3.2968373663379125</v>
      </c>
    </row>
    <row r="43" spans="1:4" x14ac:dyDescent="0.2">
      <c r="A43">
        <v>1987</v>
      </c>
      <c r="B43" t="s">
        <v>5</v>
      </c>
      <c r="C43">
        <v>-1.466637113802429</v>
      </c>
      <c r="D43" s="8">
        <v>-2.3025850929940455</v>
      </c>
    </row>
    <row r="44" spans="1:4" x14ac:dyDescent="0.2">
      <c r="A44">
        <v>1987</v>
      </c>
      <c r="B44" t="s">
        <v>6</v>
      </c>
      <c r="C44">
        <v>-1.4913700170691961</v>
      </c>
      <c r="D44" s="8">
        <v>-1.8578992717325999</v>
      </c>
    </row>
    <row r="45" spans="1:4" x14ac:dyDescent="0.2">
      <c r="A45">
        <v>1987</v>
      </c>
      <c r="B45" t="s">
        <v>7</v>
      </c>
      <c r="C45">
        <v>-1.5535513884524501</v>
      </c>
      <c r="D45" s="8">
        <v>-1.4961092271270973</v>
      </c>
    </row>
    <row r="46" spans="1:4" x14ac:dyDescent="0.2">
      <c r="A46">
        <v>1987</v>
      </c>
      <c r="B46" t="s">
        <v>8</v>
      </c>
      <c r="C46">
        <v>-1.5223544063418315</v>
      </c>
      <c r="D46" s="8">
        <v>-0.71131115118761645</v>
      </c>
    </row>
    <row r="47" spans="1:4" x14ac:dyDescent="0.2">
      <c r="A47">
        <v>1988</v>
      </c>
      <c r="B47" t="s">
        <v>4</v>
      </c>
      <c r="C47">
        <v>-2.0222951399240432</v>
      </c>
      <c r="D47" s="8">
        <v>-3.2968373663379125</v>
      </c>
    </row>
    <row r="48" spans="1:4" x14ac:dyDescent="0.2">
      <c r="A48">
        <v>1988</v>
      </c>
      <c r="B48" t="s">
        <v>5</v>
      </c>
      <c r="C48">
        <v>-1.4568044179360915</v>
      </c>
      <c r="D48" s="8">
        <v>-2.322787800311565</v>
      </c>
    </row>
    <row r="49" spans="1:4" x14ac:dyDescent="0.2">
      <c r="A49">
        <v>1988</v>
      </c>
      <c r="B49" t="s">
        <v>6</v>
      </c>
      <c r="C49">
        <v>-1.5042429733972333</v>
      </c>
      <c r="D49" s="8">
        <v>-1.8904754421672127</v>
      </c>
    </row>
    <row r="50" spans="1:4" x14ac:dyDescent="0.2">
      <c r="A50">
        <v>1988</v>
      </c>
      <c r="B50" t="s">
        <v>7</v>
      </c>
      <c r="C50">
        <v>-1.5615218741944537</v>
      </c>
      <c r="D50" s="8">
        <v>-1.523260216193048</v>
      </c>
    </row>
    <row r="51" spans="1:4" x14ac:dyDescent="0.2">
      <c r="A51">
        <v>1988</v>
      </c>
      <c r="B51" t="s">
        <v>8</v>
      </c>
      <c r="C51">
        <v>-1.5136408381950979</v>
      </c>
      <c r="D51" s="8">
        <v>-0.68517901091076838</v>
      </c>
    </row>
    <row r="52" spans="1:4" x14ac:dyDescent="0.2">
      <c r="A52">
        <v>1989</v>
      </c>
      <c r="B52" t="s">
        <v>4</v>
      </c>
      <c r="C52">
        <v>-2.2020255573035774</v>
      </c>
      <c r="D52" s="8">
        <v>-3.2701691192557512</v>
      </c>
    </row>
    <row r="53" spans="1:4" x14ac:dyDescent="0.2">
      <c r="A53">
        <v>1989</v>
      </c>
      <c r="B53" t="s">
        <v>5</v>
      </c>
      <c r="C53">
        <v>-1.4362488392034183</v>
      </c>
      <c r="D53" s="8">
        <v>-2.312635428847547</v>
      </c>
    </row>
    <row r="54" spans="1:4" x14ac:dyDescent="0.2">
      <c r="A54">
        <v>1989</v>
      </c>
      <c r="B54" t="s">
        <v>6</v>
      </c>
      <c r="C54">
        <v>-1.5179027917913606</v>
      </c>
      <c r="D54" s="8">
        <v>-1.8838747581358606</v>
      </c>
    </row>
    <row r="55" spans="1:4" x14ac:dyDescent="0.2">
      <c r="A55">
        <v>1989</v>
      </c>
      <c r="B55" t="s">
        <v>7</v>
      </c>
      <c r="C55">
        <v>-1.5586927134288657</v>
      </c>
      <c r="D55" s="8">
        <v>-1.5186835491656363</v>
      </c>
    </row>
    <row r="56" spans="1:4" x14ac:dyDescent="0.2">
      <c r="A56">
        <v>1989</v>
      </c>
      <c r="B56" t="s">
        <v>8</v>
      </c>
      <c r="C56">
        <v>-1.527194551053084</v>
      </c>
      <c r="D56" s="8">
        <v>-0.69314718055994529</v>
      </c>
    </row>
    <row r="57" spans="1:4" x14ac:dyDescent="0.2">
      <c r="A57">
        <v>1990</v>
      </c>
      <c r="B57" t="s">
        <v>4</v>
      </c>
      <c r="C57">
        <v>-2.3743289978528859</v>
      </c>
      <c r="D57" s="8">
        <v>-3.2441936328524905</v>
      </c>
    </row>
    <row r="58" spans="1:4" x14ac:dyDescent="0.2">
      <c r="A58">
        <v>1990</v>
      </c>
      <c r="B58" t="s">
        <v>5</v>
      </c>
      <c r="C58">
        <v>-1.438234034245321</v>
      </c>
      <c r="D58" s="8">
        <v>-2.2926347621408776</v>
      </c>
    </row>
    <row r="59" spans="1:4" x14ac:dyDescent="0.2">
      <c r="A59">
        <v>1990</v>
      </c>
      <c r="B59" t="s">
        <v>6</v>
      </c>
      <c r="C59">
        <v>-1.5179027917913606</v>
      </c>
      <c r="D59" s="8">
        <v>-1.8838747581358606</v>
      </c>
    </row>
    <row r="60" spans="1:4" x14ac:dyDescent="0.2">
      <c r="A60">
        <v>1990</v>
      </c>
      <c r="B60" t="s">
        <v>7</v>
      </c>
      <c r="C60">
        <v>-1.5586151832904651</v>
      </c>
      <c r="D60" s="8">
        <v>-1.5141277326297755</v>
      </c>
    </row>
    <row r="61" spans="1:4" x14ac:dyDescent="0.2">
      <c r="A61">
        <v>1990</v>
      </c>
      <c r="B61" t="s">
        <v>8</v>
      </c>
      <c r="C61">
        <v>-1.5270777927795653</v>
      </c>
      <c r="D61" s="8">
        <v>-0.70117935225720962</v>
      </c>
    </row>
    <row r="62" spans="1:4" x14ac:dyDescent="0.2">
      <c r="A62">
        <v>1991</v>
      </c>
      <c r="B62" t="s">
        <v>4</v>
      </c>
      <c r="C62">
        <v>-2.5866072046143396</v>
      </c>
      <c r="D62" s="8">
        <v>-3.2188758248682006</v>
      </c>
    </row>
    <row r="63" spans="1:4" x14ac:dyDescent="0.2">
      <c r="A63">
        <v>1991</v>
      </c>
      <c r="B63" t="s">
        <v>5</v>
      </c>
      <c r="C63">
        <v>-1.4423305161684135</v>
      </c>
      <c r="D63" s="8">
        <v>-2.2926347621408776</v>
      </c>
    </row>
    <row r="64" spans="1:4" x14ac:dyDescent="0.2">
      <c r="A64">
        <v>1991</v>
      </c>
      <c r="B64" t="s">
        <v>6</v>
      </c>
      <c r="C64">
        <v>-1.477819405902461</v>
      </c>
      <c r="D64" s="8">
        <v>-1.8578992717325999</v>
      </c>
    </row>
    <row r="65" spans="1:4" x14ac:dyDescent="0.2">
      <c r="A65">
        <v>1991</v>
      </c>
      <c r="B65" t="s">
        <v>7</v>
      </c>
      <c r="C65">
        <v>-1.5633231619602825</v>
      </c>
      <c r="D65" s="8">
        <v>-1.5095925774643841</v>
      </c>
    </row>
    <row r="66" spans="1:4" x14ac:dyDescent="0.2">
      <c r="A66">
        <v>1991</v>
      </c>
      <c r="B66" t="s">
        <v>8</v>
      </c>
      <c r="C66">
        <v>-1.5241387948215923</v>
      </c>
      <c r="D66" s="8">
        <v>-0.71131115118761645</v>
      </c>
    </row>
    <row r="67" spans="1:4" x14ac:dyDescent="0.2">
      <c r="A67">
        <v>1992</v>
      </c>
      <c r="B67" t="s">
        <v>4</v>
      </c>
      <c r="C67">
        <v>-3.0509112236769576</v>
      </c>
      <c r="D67" s="8">
        <v>-3.2701691192557512</v>
      </c>
    </row>
    <row r="68" spans="1:4" x14ac:dyDescent="0.2">
      <c r="A68">
        <v>1992</v>
      </c>
      <c r="B68" t="s">
        <v>5</v>
      </c>
      <c r="C68">
        <v>-1.440334646725999</v>
      </c>
      <c r="D68" s="8">
        <v>-2.312635428847547</v>
      </c>
    </row>
    <row r="69" spans="1:4" x14ac:dyDescent="0.2">
      <c r="A69">
        <v>1992</v>
      </c>
      <c r="B69" t="s">
        <v>6</v>
      </c>
      <c r="C69">
        <v>-1.4765194527126164</v>
      </c>
      <c r="D69" s="8">
        <v>-1.8773173575897015</v>
      </c>
    </row>
    <row r="70" spans="1:4" x14ac:dyDescent="0.2">
      <c r="A70">
        <v>1992</v>
      </c>
      <c r="B70" t="s">
        <v>7</v>
      </c>
      <c r="C70">
        <v>-1.546463113272712</v>
      </c>
      <c r="D70" s="8">
        <v>-1.523260216193048</v>
      </c>
    </row>
    <row r="71" spans="1:4" x14ac:dyDescent="0.2">
      <c r="A71">
        <v>1992</v>
      </c>
      <c r="B71" t="s">
        <v>8</v>
      </c>
      <c r="C71">
        <v>-1.5245795501208852</v>
      </c>
      <c r="D71" s="8">
        <v>-0.69114917789727226</v>
      </c>
    </row>
    <row r="72" spans="1:4" x14ac:dyDescent="0.2">
      <c r="A72">
        <v>1993</v>
      </c>
      <c r="B72" t="s">
        <v>4</v>
      </c>
      <c r="C72">
        <v>-2.9305360739974504</v>
      </c>
      <c r="D72" s="8">
        <v>-3.2701691192557512</v>
      </c>
    </row>
    <row r="73" spans="1:4" x14ac:dyDescent="0.2">
      <c r="A73">
        <v>1993</v>
      </c>
      <c r="B73" t="s">
        <v>5</v>
      </c>
      <c r="C73">
        <v>-1.3891785162997539</v>
      </c>
      <c r="D73" s="8">
        <v>-2.3025850929940455</v>
      </c>
    </row>
    <row r="74" spans="1:4" x14ac:dyDescent="0.2">
      <c r="A74">
        <v>1993</v>
      </c>
      <c r="B74" t="s">
        <v>6</v>
      </c>
      <c r="C74">
        <v>-1.4552872326068418</v>
      </c>
      <c r="D74" s="8">
        <v>-1.8773173575897015</v>
      </c>
    </row>
    <row r="75" spans="1:4" x14ac:dyDescent="0.2">
      <c r="A75">
        <v>1993</v>
      </c>
      <c r="B75" t="s">
        <v>7</v>
      </c>
      <c r="C75">
        <v>-1.5397755542966605</v>
      </c>
      <c r="D75" s="8">
        <v>-1.5186835491656363</v>
      </c>
    </row>
    <row r="76" spans="1:4" x14ac:dyDescent="0.2">
      <c r="A76">
        <v>1993</v>
      </c>
      <c r="B76" t="s">
        <v>8</v>
      </c>
      <c r="C76">
        <v>-1.5019234056564306</v>
      </c>
      <c r="D76" s="8">
        <v>-0.69514918323061836</v>
      </c>
    </row>
    <row r="77" spans="1:4" x14ac:dyDescent="0.2">
      <c r="A77">
        <v>1994</v>
      </c>
      <c r="B77" t="s">
        <v>4</v>
      </c>
      <c r="C77">
        <v>-3.4573388247159169</v>
      </c>
      <c r="D77" s="8">
        <v>-3.2968373663379125</v>
      </c>
    </row>
    <row r="78" spans="1:4" x14ac:dyDescent="0.2">
      <c r="A78">
        <v>1994</v>
      </c>
      <c r="B78" t="s">
        <v>5</v>
      </c>
      <c r="C78">
        <v>-1.4090718088098788</v>
      </c>
      <c r="D78" s="8">
        <v>-2.3025850929940455</v>
      </c>
    </row>
    <row r="79" spans="1:4" x14ac:dyDescent="0.2">
      <c r="A79">
        <v>1994</v>
      </c>
      <c r="B79" t="s">
        <v>6</v>
      </c>
      <c r="C79">
        <v>-1.421988831249861</v>
      </c>
      <c r="D79" s="8">
        <v>-1.870802676568508</v>
      </c>
    </row>
    <row r="80" spans="1:4" x14ac:dyDescent="0.2">
      <c r="A80">
        <v>1994</v>
      </c>
      <c r="B80" t="s">
        <v>7</v>
      </c>
      <c r="C80">
        <v>-1.5095925774643844</v>
      </c>
      <c r="D80" s="8">
        <v>-1.5141277326297755</v>
      </c>
    </row>
    <row r="81" spans="1:4" x14ac:dyDescent="0.2">
      <c r="A81">
        <v>1994</v>
      </c>
      <c r="B81" t="s">
        <v>8</v>
      </c>
      <c r="C81">
        <v>-1.4885806245402695</v>
      </c>
      <c r="D81" s="8">
        <v>-0.69715520195748415</v>
      </c>
    </row>
    <row r="82" spans="1:4" x14ac:dyDescent="0.2">
      <c r="A82">
        <v>1995</v>
      </c>
      <c r="B82" t="s">
        <v>4</v>
      </c>
      <c r="C82">
        <v>-2.6765515340428396</v>
      </c>
      <c r="D82" s="8">
        <v>-3.2188758248682006</v>
      </c>
    </row>
    <row r="83" spans="1:4" x14ac:dyDescent="0.2">
      <c r="A83">
        <v>1995</v>
      </c>
      <c r="B83" t="s">
        <v>5</v>
      </c>
      <c r="C83">
        <v>-1.4284640647390134</v>
      </c>
      <c r="D83" s="8">
        <v>-2.312635428847547</v>
      </c>
    </row>
    <row r="84" spans="1:4" x14ac:dyDescent="0.2">
      <c r="A84">
        <v>1995</v>
      </c>
      <c r="B84" t="s">
        <v>6</v>
      </c>
      <c r="C84">
        <v>-1.4083097659292902</v>
      </c>
      <c r="D84" s="8">
        <v>-1.8904754421672127</v>
      </c>
    </row>
    <row r="85" spans="1:4" x14ac:dyDescent="0.2">
      <c r="A85">
        <v>1995</v>
      </c>
      <c r="B85" t="s">
        <v>7</v>
      </c>
      <c r="C85">
        <v>-1.4961092271270973</v>
      </c>
      <c r="D85" s="8">
        <v>-1.5324768712979719</v>
      </c>
    </row>
    <row r="86" spans="1:4" x14ac:dyDescent="0.2">
      <c r="A86">
        <v>1995</v>
      </c>
      <c r="B86" t="s">
        <v>8</v>
      </c>
      <c r="C86">
        <v>-1.4824016712972337</v>
      </c>
      <c r="D86" s="8">
        <v>-0.68915515929040783</v>
      </c>
    </row>
    <row r="87" spans="1:4" x14ac:dyDescent="0.2">
      <c r="A87">
        <v>1996</v>
      </c>
      <c r="B87" t="s">
        <v>4</v>
      </c>
      <c r="C87">
        <v>-2.7637854794731829</v>
      </c>
      <c r="D87" s="8">
        <v>-3.2701691192557512</v>
      </c>
    </row>
    <row r="88" spans="1:4" x14ac:dyDescent="0.2">
      <c r="A88">
        <v>1996</v>
      </c>
      <c r="B88" t="s">
        <v>5</v>
      </c>
      <c r="C88">
        <v>-1.3855446422293451</v>
      </c>
      <c r="D88" s="8">
        <v>-2.3434070875143007</v>
      </c>
    </row>
    <row r="89" spans="1:4" x14ac:dyDescent="0.2">
      <c r="A89">
        <v>1996</v>
      </c>
      <c r="B89" t="s">
        <v>6</v>
      </c>
      <c r="C89">
        <v>-1.39869525973057</v>
      </c>
      <c r="D89" s="8">
        <v>-1.9105430052180219</v>
      </c>
    </row>
    <row r="90" spans="1:4" x14ac:dyDescent="0.2">
      <c r="A90">
        <v>1996</v>
      </c>
      <c r="B90" t="s">
        <v>7</v>
      </c>
      <c r="C90">
        <v>-1.4711947602447846</v>
      </c>
      <c r="D90" s="8">
        <v>-1.5511690043101247</v>
      </c>
    </row>
    <row r="91" spans="1:4" x14ac:dyDescent="0.2">
      <c r="A91">
        <v>1996</v>
      </c>
      <c r="B91" t="s">
        <v>8</v>
      </c>
      <c r="C91">
        <v>-1.4739823022652565</v>
      </c>
      <c r="D91" s="8">
        <v>-0.66553201352697189</v>
      </c>
    </row>
    <row r="92" spans="1:4" x14ac:dyDescent="0.2">
      <c r="A92">
        <v>1997</v>
      </c>
      <c r="B92" t="s">
        <v>4</v>
      </c>
      <c r="C92">
        <v>-2.6818577757072584</v>
      </c>
      <c r="D92" s="8">
        <v>-3.2441936328524905</v>
      </c>
    </row>
    <row r="93" spans="1:4" x14ac:dyDescent="0.2">
      <c r="A93">
        <v>1997</v>
      </c>
      <c r="B93" t="s">
        <v>5</v>
      </c>
      <c r="C93">
        <v>-1.3785822406335511</v>
      </c>
      <c r="D93" s="8">
        <v>-2.375155785828881</v>
      </c>
    </row>
    <row r="94" spans="1:4" x14ac:dyDescent="0.2">
      <c r="A94">
        <v>1997</v>
      </c>
      <c r="B94" t="s">
        <v>6</v>
      </c>
      <c r="C94">
        <v>-1.3924242214954277</v>
      </c>
      <c r="D94" s="8">
        <v>-1.9379419794061363</v>
      </c>
    </row>
    <row r="95" spans="1:4" x14ac:dyDescent="0.2">
      <c r="A95">
        <v>1997</v>
      </c>
      <c r="B95" t="s">
        <v>7</v>
      </c>
      <c r="C95">
        <v>-1.4828052615007346</v>
      </c>
      <c r="D95" s="8">
        <v>-1.579879110192556</v>
      </c>
    </row>
    <row r="96" spans="1:4" x14ac:dyDescent="0.2">
      <c r="A96">
        <v>1997</v>
      </c>
      <c r="B96" t="s">
        <v>8</v>
      </c>
      <c r="C96">
        <v>-1.4699161645347953</v>
      </c>
      <c r="D96" s="8">
        <v>-0.64435701639051324</v>
      </c>
    </row>
    <row r="97" spans="1:4" x14ac:dyDescent="0.2">
      <c r="A97">
        <v>1998</v>
      </c>
      <c r="B97" t="s">
        <v>4</v>
      </c>
      <c r="C97">
        <v>-2.4281483159693922</v>
      </c>
      <c r="D97" s="8">
        <v>-3.2188758248682006</v>
      </c>
    </row>
    <row r="98" spans="1:4" x14ac:dyDescent="0.2">
      <c r="A98">
        <v>1998</v>
      </c>
      <c r="B98" t="s">
        <v>5</v>
      </c>
      <c r="C98">
        <v>-1.4234997151699575</v>
      </c>
      <c r="D98" s="8">
        <v>-2.3859667019330968</v>
      </c>
    </row>
    <row r="99" spans="1:4" x14ac:dyDescent="0.2">
      <c r="A99">
        <v>1998</v>
      </c>
      <c r="B99" t="s">
        <v>6</v>
      </c>
      <c r="C99">
        <v>-1.402996447950601</v>
      </c>
      <c r="D99" s="8">
        <v>-1.9519282213808764</v>
      </c>
    </row>
    <row r="100" spans="1:4" x14ac:dyDescent="0.2">
      <c r="A100">
        <v>1998</v>
      </c>
      <c r="B100" t="s">
        <v>7</v>
      </c>
      <c r="C100">
        <v>-1.4961092271270973</v>
      </c>
      <c r="D100" s="8">
        <v>-1.5945492999403497</v>
      </c>
    </row>
    <row r="101" spans="1:4" x14ac:dyDescent="0.2">
      <c r="A101">
        <v>1998</v>
      </c>
      <c r="B101" t="s">
        <v>8</v>
      </c>
      <c r="C101">
        <v>-1.4830967690549264</v>
      </c>
      <c r="D101" s="8">
        <v>-0.63676684712383758</v>
      </c>
    </row>
    <row r="102" spans="1:4" x14ac:dyDescent="0.2">
      <c r="A102">
        <v>1999</v>
      </c>
      <c r="B102" t="s">
        <v>4</v>
      </c>
      <c r="C102">
        <v>-2.388960308740792</v>
      </c>
      <c r="D102" s="8">
        <v>-3.2188758248682006</v>
      </c>
    </row>
    <row r="103" spans="1:4" x14ac:dyDescent="0.2">
      <c r="A103">
        <v>1999</v>
      </c>
      <c r="B103" t="s">
        <v>5</v>
      </c>
      <c r="C103">
        <v>-1.4098587215372926</v>
      </c>
      <c r="D103" s="8">
        <v>-2.4079456086518722</v>
      </c>
    </row>
    <row r="104" spans="1:4" x14ac:dyDescent="0.2">
      <c r="A104">
        <v>1999</v>
      </c>
      <c r="B104" t="s">
        <v>6</v>
      </c>
      <c r="C104">
        <v>-1.3899582076732131</v>
      </c>
      <c r="D104" s="8">
        <v>-1.9661128563728327</v>
      </c>
    </row>
    <row r="105" spans="1:4" x14ac:dyDescent="0.2">
      <c r="A105">
        <v>1999</v>
      </c>
      <c r="B105" t="s">
        <v>7</v>
      </c>
      <c r="C105">
        <v>-1.4659221548821095</v>
      </c>
      <c r="D105" s="8">
        <v>-1.6094379124341003</v>
      </c>
    </row>
    <row r="106" spans="1:4" s="16" customFormat="1" ht="17" customHeight="1" x14ac:dyDescent="0.2">
      <c r="A106" s="16">
        <v>1999</v>
      </c>
      <c r="B106" s="16" t="s">
        <v>8</v>
      </c>
      <c r="C106" s="16">
        <v>-1.4702023817655361</v>
      </c>
      <c r="D106" s="18">
        <v>-0.62175718447327233</v>
      </c>
    </row>
    <row r="107" spans="1:4" x14ac:dyDescent="0.2">
      <c r="A107">
        <v>2000</v>
      </c>
      <c r="B107" t="s">
        <v>4</v>
      </c>
      <c r="C107">
        <v>-2.4421496864227361</v>
      </c>
      <c r="D107" s="8">
        <v>-3.2701691192557512</v>
      </c>
    </row>
    <row r="108" spans="1:4" x14ac:dyDescent="0.2">
      <c r="A108">
        <v>2000</v>
      </c>
      <c r="B108" t="s">
        <v>5</v>
      </c>
      <c r="C108">
        <v>-1.4360643154718251</v>
      </c>
      <c r="D108" s="8">
        <v>-2.4418471603275536</v>
      </c>
    </row>
    <row r="109" spans="1:4" x14ac:dyDescent="0.2">
      <c r="A109">
        <v>2000</v>
      </c>
      <c r="B109" t="s">
        <v>6</v>
      </c>
      <c r="C109">
        <v>-1.4023938534916891</v>
      </c>
      <c r="D109" s="8">
        <v>-1.9951003932460849</v>
      </c>
    </row>
    <row r="110" spans="1:4" x14ac:dyDescent="0.2">
      <c r="A110">
        <v>2000</v>
      </c>
      <c r="B110" t="s">
        <v>7</v>
      </c>
      <c r="C110">
        <v>-1.4570872563189676</v>
      </c>
      <c r="D110" s="8">
        <v>-1.6245515502441485</v>
      </c>
    </row>
    <row r="111" spans="1:4" x14ac:dyDescent="0.2">
      <c r="A111">
        <v>2000</v>
      </c>
      <c r="B111" t="s">
        <v>8</v>
      </c>
      <c r="C111">
        <v>-1.4618205197836687</v>
      </c>
      <c r="D111" s="8">
        <v>-0.60147999203412161</v>
      </c>
    </row>
    <row r="112" spans="1:4" x14ac:dyDescent="0.2">
      <c r="A112">
        <v>2001</v>
      </c>
      <c r="B112" t="s">
        <v>4</v>
      </c>
      <c r="C112">
        <v>-2.964929535339131</v>
      </c>
      <c r="D112" s="8">
        <v>-3.2441936328524905</v>
      </c>
    </row>
    <row r="113" spans="1:4" x14ac:dyDescent="0.2">
      <c r="A113">
        <v>2001</v>
      </c>
      <c r="B113" t="s">
        <v>5</v>
      </c>
      <c r="C113">
        <v>-1.5066631545507299</v>
      </c>
      <c r="D113" s="8">
        <v>-2.3968957724652871</v>
      </c>
    </row>
    <row r="114" spans="1:4" x14ac:dyDescent="0.2">
      <c r="A114">
        <v>2001</v>
      </c>
      <c r="B114" t="s">
        <v>6</v>
      </c>
      <c r="C114">
        <v>-1.4481102516557907</v>
      </c>
      <c r="D114" s="8">
        <v>-1.9449106487222296</v>
      </c>
    </row>
    <row r="115" spans="1:4" x14ac:dyDescent="0.2">
      <c r="A115">
        <v>2001</v>
      </c>
      <c r="B115" t="s">
        <v>7</v>
      </c>
      <c r="C115">
        <v>-1.5290216481678907</v>
      </c>
      <c r="D115" s="8">
        <v>-1.5606477482646683</v>
      </c>
    </row>
    <row r="116" spans="1:4" x14ac:dyDescent="0.2">
      <c r="A116">
        <v>2001</v>
      </c>
      <c r="B116" t="s">
        <v>8</v>
      </c>
      <c r="C116">
        <v>-1.5324592011119933</v>
      </c>
      <c r="D116" s="8">
        <v>-0.64626359466109484</v>
      </c>
    </row>
    <row r="117" spans="1:4" x14ac:dyDescent="0.2">
      <c r="A117">
        <v>2002</v>
      </c>
      <c r="B117" t="s">
        <v>4</v>
      </c>
      <c r="C117">
        <v>-3.6448625686971678</v>
      </c>
      <c r="D117" s="8">
        <v>-3.2188758248682006</v>
      </c>
    </row>
    <row r="118" spans="1:4" x14ac:dyDescent="0.2">
      <c r="A118">
        <v>2002</v>
      </c>
      <c r="B118" t="s">
        <v>5</v>
      </c>
      <c r="C118">
        <v>-1.5443177785511244</v>
      </c>
      <c r="D118" s="8">
        <v>-2.364460496712133</v>
      </c>
    </row>
    <row r="119" spans="1:4" x14ac:dyDescent="0.2">
      <c r="A119">
        <v>2002</v>
      </c>
      <c r="B119" t="s">
        <v>6</v>
      </c>
      <c r="C119">
        <v>-1.4837712701491819</v>
      </c>
      <c r="D119" s="8">
        <v>-1.9241486572738007</v>
      </c>
    </row>
    <row r="120" spans="1:4" x14ac:dyDescent="0.2">
      <c r="A120">
        <v>2002</v>
      </c>
      <c r="B120" t="s">
        <v>7</v>
      </c>
      <c r="C120">
        <v>-1.5667022571733751</v>
      </c>
      <c r="D120" s="8">
        <v>-1.546463113272712</v>
      </c>
    </row>
    <row r="121" spans="1:4" x14ac:dyDescent="0.2">
      <c r="A121">
        <v>2002</v>
      </c>
      <c r="B121" t="s">
        <v>8</v>
      </c>
      <c r="C121">
        <v>-1.5624061125139324</v>
      </c>
      <c r="D121" s="8">
        <v>-0.6635883783184009</v>
      </c>
    </row>
    <row r="122" spans="1:4" x14ac:dyDescent="0.2">
      <c r="A122">
        <v>2003</v>
      </c>
      <c r="B122" t="s">
        <v>4</v>
      </c>
      <c r="C122">
        <v>-4.4488241155973993</v>
      </c>
      <c r="D122" s="8">
        <v>-3.2441936328524905</v>
      </c>
    </row>
    <row r="123" spans="1:4" x14ac:dyDescent="0.2">
      <c r="A123">
        <v>2003</v>
      </c>
      <c r="B123" t="s">
        <v>5</v>
      </c>
      <c r="C123">
        <v>-1.6245515502441483</v>
      </c>
      <c r="D123" s="8">
        <v>-2.3859667019330968</v>
      </c>
    </row>
    <row r="124" spans="1:4" x14ac:dyDescent="0.2">
      <c r="A124">
        <v>2003</v>
      </c>
      <c r="B124" t="s">
        <v>6</v>
      </c>
      <c r="C124">
        <v>-1.5172892907485043</v>
      </c>
      <c r="D124" s="8">
        <v>-1.9379419794061363</v>
      </c>
    </row>
    <row r="125" spans="1:4" x14ac:dyDescent="0.2">
      <c r="A125">
        <v>2003</v>
      </c>
      <c r="B125" t="s">
        <v>7</v>
      </c>
      <c r="C125">
        <v>-1.5866428336199199</v>
      </c>
      <c r="D125" s="8">
        <v>-1.5558971455060704</v>
      </c>
    </row>
    <row r="126" spans="1:4" x14ac:dyDescent="0.2">
      <c r="A126">
        <v>2003</v>
      </c>
      <c r="B126" t="s">
        <v>8</v>
      </c>
      <c r="C126">
        <v>-1.6013956258454629</v>
      </c>
      <c r="D126" s="8">
        <v>-0.65008769109949827</v>
      </c>
    </row>
    <row r="127" spans="1:4" x14ac:dyDescent="0.2">
      <c r="A127">
        <v>2004</v>
      </c>
      <c r="B127" t="s">
        <v>4</v>
      </c>
      <c r="C127">
        <v>-4.4427828440949471</v>
      </c>
      <c r="D127" s="8">
        <v>-3.2701691192557512</v>
      </c>
    </row>
    <row r="128" spans="1:4" x14ac:dyDescent="0.2">
      <c r="A128">
        <v>2004</v>
      </c>
      <c r="B128" t="s">
        <v>5</v>
      </c>
      <c r="C128">
        <v>-1.6044503709230609</v>
      </c>
      <c r="D128" s="8">
        <v>-2.4191189092499972</v>
      </c>
    </row>
    <row r="129" spans="1:4" x14ac:dyDescent="0.2">
      <c r="A129">
        <v>2004</v>
      </c>
      <c r="B129" t="s">
        <v>6</v>
      </c>
      <c r="C129">
        <v>-1.4961413448062759</v>
      </c>
      <c r="D129" s="8">
        <v>-1.9732813458514451</v>
      </c>
    </row>
    <row r="130" spans="1:4" x14ac:dyDescent="0.2">
      <c r="A130">
        <v>2004</v>
      </c>
      <c r="B130" t="s">
        <v>7</v>
      </c>
      <c r="C130">
        <v>-1.5481738606020443</v>
      </c>
      <c r="D130" s="8">
        <v>-1.579879110192556</v>
      </c>
    </row>
    <row r="131" spans="1:4" x14ac:dyDescent="0.2">
      <c r="A131">
        <v>2004</v>
      </c>
      <c r="B131" t="s">
        <v>8</v>
      </c>
      <c r="C131">
        <v>-1.5896994249994911</v>
      </c>
      <c r="D131" s="8">
        <v>-0.62548853208613042</v>
      </c>
    </row>
    <row r="132" spans="1:4" x14ac:dyDescent="0.2">
      <c r="A132">
        <v>2005</v>
      </c>
      <c r="B132" t="s">
        <v>4</v>
      </c>
      <c r="C132">
        <v>-4.3532553373949279</v>
      </c>
      <c r="D132" s="8">
        <v>-3.2968373663379125</v>
      </c>
    </row>
    <row r="133" spans="1:4" x14ac:dyDescent="0.2">
      <c r="A133">
        <v>2005</v>
      </c>
      <c r="B133" t="s">
        <v>5</v>
      </c>
      <c r="C133">
        <v>-1.5798791101925562</v>
      </c>
      <c r="D133" s="8">
        <v>-2.4651040224918206</v>
      </c>
    </row>
    <row r="134" spans="1:4" x14ac:dyDescent="0.2">
      <c r="A134">
        <v>2005</v>
      </c>
      <c r="B134" t="s">
        <v>6</v>
      </c>
      <c r="C134">
        <v>-1.4717392888643295</v>
      </c>
      <c r="D134" s="8">
        <v>-2.0024805005437076</v>
      </c>
    </row>
    <row r="135" spans="1:4" x14ac:dyDescent="0.2">
      <c r="A135">
        <v>2005</v>
      </c>
      <c r="B135" t="s">
        <v>7</v>
      </c>
      <c r="C135">
        <v>-1.5418731959535916</v>
      </c>
      <c r="D135" s="8">
        <v>-1.6144504542576448</v>
      </c>
    </row>
    <row r="136" spans="1:4" x14ac:dyDescent="0.2">
      <c r="A136">
        <v>2005</v>
      </c>
      <c r="B136" t="s">
        <v>8</v>
      </c>
      <c r="C136">
        <v>-1.5591106016999432</v>
      </c>
      <c r="D136" s="8">
        <v>-0.59602046982922252</v>
      </c>
    </row>
    <row r="137" spans="1:4" x14ac:dyDescent="0.2">
      <c r="A137">
        <v>2006</v>
      </c>
      <c r="B137" t="s">
        <v>4</v>
      </c>
      <c r="C137">
        <v>-3.4809623501310174</v>
      </c>
      <c r="D137" s="8">
        <v>-3.3242363405260269</v>
      </c>
    </row>
    <row r="138" spans="1:4" x14ac:dyDescent="0.2">
      <c r="A138">
        <v>2006</v>
      </c>
      <c r="B138" t="s">
        <v>5</v>
      </c>
      <c r="C138">
        <v>-1.5750364857167682</v>
      </c>
      <c r="D138" s="8">
        <v>-2.4769384801388235</v>
      </c>
    </row>
    <row r="139" spans="1:4" x14ac:dyDescent="0.2">
      <c r="A139">
        <v>2006</v>
      </c>
      <c r="B139" t="s">
        <v>6</v>
      </c>
      <c r="C139">
        <v>-1.4921562555798971</v>
      </c>
      <c r="D139" s="8">
        <v>-2.0174061507603831</v>
      </c>
    </row>
    <row r="140" spans="1:4" x14ac:dyDescent="0.2">
      <c r="A140">
        <v>2006</v>
      </c>
      <c r="B140" t="s">
        <v>7</v>
      </c>
      <c r="C140">
        <v>-1.5556795465883713</v>
      </c>
      <c r="D140" s="8">
        <v>-1.6296406197516198</v>
      </c>
    </row>
    <row r="141" spans="1:4" x14ac:dyDescent="0.2">
      <c r="A141">
        <v>2006</v>
      </c>
      <c r="B141" t="s">
        <v>8</v>
      </c>
      <c r="C141">
        <v>-1.5546131590198546</v>
      </c>
      <c r="D141" s="8">
        <v>-0.5851900390548529</v>
      </c>
    </row>
    <row r="142" spans="1:4" x14ac:dyDescent="0.2">
      <c r="A142">
        <v>2007</v>
      </c>
      <c r="B142" t="s">
        <v>4</v>
      </c>
      <c r="C142">
        <v>-2.8341368472771546</v>
      </c>
      <c r="D142" s="8">
        <v>-3.2441936328524905</v>
      </c>
    </row>
    <row r="143" spans="1:4" x14ac:dyDescent="0.2">
      <c r="A143">
        <v>2007</v>
      </c>
      <c r="B143" t="s">
        <v>5</v>
      </c>
      <c r="C143">
        <v>-1.5540588584942296</v>
      </c>
      <c r="D143" s="8">
        <v>-2.4651040224918206</v>
      </c>
    </row>
    <row r="144" spans="1:4" x14ac:dyDescent="0.2">
      <c r="A144">
        <v>2007</v>
      </c>
      <c r="B144" t="s">
        <v>6</v>
      </c>
      <c r="C144">
        <v>-1.5141277326297757</v>
      </c>
      <c r="D144" s="8">
        <v>-2.0174061507603831</v>
      </c>
    </row>
    <row r="145" spans="1:4" x14ac:dyDescent="0.2">
      <c r="A145">
        <v>2007</v>
      </c>
      <c r="B145" t="s">
        <v>7</v>
      </c>
      <c r="C145">
        <v>-1.5593655703594533</v>
      </c>
      <c r="D145" s="8">
        <v>-1.6450650900772514</v>
      </c>
    </row>
    <row r="146" spans="1:4" x14ac:dyDescent="0.2">
      <c r="A146">
        <v>2007</v>
      </c>
      <c r="B146" t="s">
        <v>8</v>
      </c>
      <c r="C146">
        <v>-1.5785079749730151</v>
      </c>
      <c r="D146" s="8">
        <v>-0.58160580582703802</v>
      </c>
    </row>
    <row r="147" spans="1:4" x14ac:dyDescent="0.2">
      <c r="A147">
        <v>2008</v>
      </c>
      <c r="B147" t="s">
        <v>5</v>
      </c>
      <c r="C147">
        <v>-1.6493240154494502</v>
      </c>
      <c r="D147" s="8">
        <v>-2.4191189092499972</v>
      </c>
    </row>
    <row r="148" spans="1:4" x14ac:dyDescent="0.2">
      <c r="A148">
        <v>2008</v>
      </c>
      <c r="B148" t="s">
        <v>6</v>
      </c>
      <c r="C148">
        <v>-1.6062774443530266</v>
      </c>
      <c r="D148" s="8">
        <v>-1.9732813458514451</v>
      </c>
    </row>
    <row r="149" spans="1:4" x14ac:dyDescent="0.2">
      <c r="A149">
        <v>2008</v>
      </c>
      <c r="B149" t="s">
        <v>7</v>
      </c>
      <c r="C149">
        <v>-1.6346803084806454</v>
      </c>
      <c r="D149" s="8">
        <v>-1.5896352851379207</v>
      </c>
    </row>
    <row r="150" spans="1:4" x14ac:dyDescent="0.2">
      <c r="A150">
        <v>2008</v>
      </c>
      <c r="B150" t="s">
        <v>8</v>
      </c>
      <c r="C150">
        <v>-1.6737690476702067</v>
      </c>
      <c r="D150" s="8">
        <v>-0.61618613942381695</v>
      </c>
    </row>
    <row r="151" spans="1:4" x14ac:dyDescent="0.2">
      <c r="A151">
        <v>2009</v>
      </c>
      <c r="B151" t="s">
        <v>5</v>
      </c>
      <c r="C151">
        <v>-1.6935210296446408</v>
      </c>
      <c r="D151" s="8">
        <v>-2.375155785828881</v>
      </c>
    </row>
    <row r="152" spans="1:4" x14ac:dyDescent="0.2">
      <c r="A152">
        <v>2009</v>
      </c>
      <c r="B152" t="s">
        <v>6</v>
      </c>
      <c r="C152">
        <v>-1.6214966287542274</v>
      </c>
      <c r="D152" s="8">
        <v>-1.9241486572738007</v>
      </c>
    </row>
    <row r="153" spans="1:4" x14ac:dyDescent="0.2">
      <c r="A153">
        <v>2009</v>
      </c>
      <c r="B153" t="s">
        <v>7</v>
      </c>
      <c r="C153">
        <v>-1.6588969048704649</v>
      </c>
      <c r="D153" s="8">
        <v>-1.5371172508544744</v>
      </c>
    </row>
    <row r="154" spans="1:4" x14ac:dyDescent="0.2">
      <c r="A154">
        <v>2009</v>
      </c>
      <c r="B154" t="s">
        <v>8</v>
      </c>
      <c r="C154">
        <v>-1.7162866817949187</v>
      </c>
      <c r="D154" s="8">
        <v>-0.64817381491721415</v>
      </c>
    </row>
    <row r="155" spans="1:4" x14ac:dyDescent="0.2">
      <c r="A155">
        <v>2010</v>
      </c>
      <c r="B155" t="s">
        <v>5</v>
      </c>
      <c r="C155">
        <v>-1.6550165723415611</v>
      </c>
      <c r="D155" s="8">
        <v>-2.4079456086518722</v>
      </c>
    </row>
    <row r="156" spans="1:4" x14ac:dyDescent="0.2">
      <c r="A156">
        <v>2010</v>
      </c>
      <c r="B156" t="s">
        <v>6</v>
      </c>
      <c r="C156">
        <v>-1.5568320994943055</v>
      </c>
      <c r="D156" s="8">
        <v>-1.9519282213808764</v>
      </c>
    </row>
    <row r="157" spans="1:4" x14ac:dyDescent="0.2">
      <c r="A157">
        <v>2010</v>
      </c>
      <c r="B157" t="s">
        <v>7</v>
      </c>
      <c r="C157">
        <v>-1.6412298282283067</v>
      </c>
      <c r="D157" s="8">
        <v>-1.5654210270173261</v>
      </c>
    </row>
    <row r="158" spans="1:4" x14ac:dyDescent="0.2">
      <c r="A158">
        <v>2010</v>
      </c>
      <c r="B158" t="s">
        <v>8</v>
      </c>
      <c r="C158">
        <v>-1.6788581115275765</v>
      </c>
      <c r="D158" s="8">
        <v>-0.62548853208613042</v>
      </c>
    </row>
    <row r="159" spans="1:4" x14ac:dyDescent="0.2">
      <c r="A159">
        <v>2011</v>
      </c>
      <c r="B159" t="s">
        <v>5</v>
      </c>
      <c r="C159">
        <v>-1.6654205471850381</v>
      </c>
      <c r="D159" s="8">
        <v>-2.4079456086518722</v>
      </c>
    </row>
    <row r="160" spans="1:4" x14ac:dyDescent="0.2">
      <c r="A160">
        <v>2011</v>
      </c>
      <c r="B160" t="s">
        <v>6</v>
      </c>
      <c r="C160">
        <v>-1.5924403360655295</v>
      </c>
      <c r="D160" s="8">
        <v>-1.9661128563728327</v>
      </c>
    </row>
    <row r="161" spans="1:4" x14ac:dyDescent="0.2">
      <c r="A161">
        <v>2011</v>
      </c>
      <c r="B161" t="s">
        <v>7</v>
      </c>
      <c r="C161">
        <v>-1.6312041889160553</v>
      </c>
      <c r="D161" s="8">
        <v>-1.5654210270173261</v>
      </c>
    </row>
    <row r="162" spans="1:4" x14ac:dyDescent="0.2">
      <c r="A162">
        <v>2011</v>
      </c>
      <c r="B162" t="s">
        <v>8</v>
      </c>
      <c r="C162">
        <v>-1.6979117006218349</v>
      </c>
      <c r="D162" s="8">
        <v>-0.62548853208613042</v>
      </c>
    </row>
    <row r="163" spans="1:4" x14ac:dyDescent="0.2">
      <c r="A163">
        <v>2012</v>
      </c>
      <c r="B163" t="s">
        <v>5</v>
      </c>
      <c r="C163">
        <v>-1.682008605268936</v>
      </c>
      <c r="D163" s="8">
        <v>-2.4769384801388235</v>
      </c>
    </row>
    <row r="164" spans="1:4" x14ac:dyDescent="0.2">
      <c r="A164">
        <v>2012</v>
      </c>
      <c r="B164" t="s">
        <v>6</v>
      </c>
      <c r="C164">
        <v>-1.5317912353437901</v>
      </c>
      <c r="D164" s="8">
        <v>-2.0024805005437076</v>
      </c>
    </row>
    <row r="165" spans="1:4" x14ac:dyDescent="0.2">
      <c r="A165">
        <v>2012</v>
      </c>
      <c r="B165" t="s">
        <v>7</v>
      </c>
      <c r="C165">
        <v>-1.6187347255332378</v>
      </c>
      <c r="D165" s="8">
        <v>-1.6044503709230613</v>
      </c>
    </row>
    <row r="166" spans="1:4" x14ac:dyDescent="0.2">
      <c r="A166">
        <v>2012</v>
      </c>
      <c r="B166" t="s">
        <v>8</v>
      </c>
      <c r="C166">
        <v>-1.6663889842499437</v>
      </c>
      <c r="D166" s="8">
        <v>-0.58698698473155464</v>
      </c>
    </row>
    <row r="167" spans="1:4" x14ac:dyDescent="0.2">
      <c r="A167">
        <v>2013</v>
      </c>
      <c r="B167" t="s">
        <v>5</v>
      </c>
      <c r="C167">
        <v>-1.5504102378111984</v>
      </c>
      <c r="D167" s="8">
        <v>-2.4418471603275536</v>
      </c>
    </row>
    <row r="168" spans="1:4" x14ac:dyDescent="0.2">
      <c r="A168">
        <v>2013</v>
      </c>
      <c r="B168" t="s">
        <v>6</v>
      </c>
      <c r="C168">
        <v>-1.4624453707079448</v>
      </c>
      <c r="D168" s="8">
        <v>-1.9732813458514451</v>
      </c>
    </row>
    <row r="169" spans="1:4" x14ac:dyDescent="0.2">
      <c r="A169">
        <v>2013</v>
      </c>
      <c r="B169" t="s">
        <v>7</v>
      </c>
      <c r="C169">
        <v>-1.5392090900733491</v>
      </c>
      <c r="D169" s="8">
        <v>-1.575036485716768</v>
      </c>
    </row>
    <row r="170" spans="1:4" x14ac:dyDescent="0.2">
      <c r="A170">
        <v>2013</v>
      </c>
      <c r="B170" t="s">
        <v>8</v>
      </c>
      <c r="C170">
        <v>-1.5801657560793585</v>
      </c>
      <c r="D170" s="8">
        <v>-0.61248927754249083</v>
      </c>
    </row>
    <row r="171" spans="1:4" x14ac:dyDescent="0.2">
      <c r="A171">
        <v>2014</v>
      </c>
      <c r="B171" t="s">
        <v>5</v>
      </c>
      <c r="C171">
        <v>-1.5702171992808192</v>
      </c>
      <c r="D171" s="8">
        <v>-2.4651040224918206</v>
      </c>
    </row>
    <row r="172" spans="1:4" x14ac:dyDescent="0.2">
      <c r="A172">
        <v>2014</v>
      </c>
      <c r="B172" t="s">
        <v>6</v>
      </c>
      <c r="C172">
        <v>-1.4382896562382712</v>
      </c>
      <c r="D172" s="8">
        <v>-2.0024805005437076</v>
      </c>
    </row>
    <row r="173" spans="1:4" x14ac:dyDescent="0.2">
      <c r="A173">
        <v>2014</v>
      </c>
      <c r="B173" t="s">
        <v>7</v>
      </c>
      <c r="C173">
        <v>-1.4978701009752913</v>
      </c>
      <c r="D173" s="8">
        <v>-1.5945492999403497</v>
      </c>
    </row>
    <row r="174" spans="1:4" x14ac:dyDescent="0.2">
      <c r="A174">
        <v>2014</v>
      </c>
      <c r="B174" t="s">
        <v>8</v>
      </c>
      <c r="C174">
        <v>-1.5498076263856193</v>
      </c>
      <c r="D174" s="8">
        <v>-0.59059059223485333</v>
      </c>
    </row>
    <row r="175" spans="1:4" x14ac:dyDescent="0.2">
      <c r="A175">
        <v>2015</v>
      </c>
      <c r="B175" t="s">
        <v>5</v>
      </c>
      <c r="C175">
        <v>-1.5702171992808192</v>
      </c>
      <c r="D175" s="8">
        <v>-2.4534079827286295</v>
      </c>
    </row>
    <row r="176" spans="1:4" x14ac:dyDescent="0.2">
      <c r="A176">
        <v>2015</v>
      </c>
      <c r="B176" t="s">
        <v>6</v>
      </c>
      <c r="C176">
        <v>-1.4391988599211878</v>
      </c>
      <c r="D176" s="8">
        <v>-1.9951003932460849</v>
      </c>
    </row>
    <row r="177" spans="1:4" x14ac:dyDescent="0.2">
      <c r="A177">
        <v>2015</v>
      </c>
      <c r="B177" t="s">
        <v>7</v>
      </c>
      <c r="C177">
        <v>-1.4805725612831551</v>
      </c>
      <c r="D177" s="8">
        <v>-1.5945492999403497</v>
      </c>
    </row>
    <row r="178" spans="1:4" x14ac:dyDescent="0.2">
      <c r="A178">
        <v>2015</v>
      </c>
      <c r="B178" t="s">
        <v>8</v>
      </c>
      <c r="C178">
        <v>-1.5496976358433359</v>
      </c>
      <c r="D178" s="8">
        <v>-0.59602046982922252</v>
      </c>
    </row>
    <row r="179" spans="1:4" x14ac:dyDescent="0.2">
      <c r="A179">
        <v>2016</v>
      </c>
      <c r="B179" t="s">
        <v>5</v>
      </c>
      <c r="C179">
        <v>-1.5798791101925562</v>
      </c>
      <c r="D179" s="8">
        <v>-2.4304184645039304</v>
      </c>
    </row>
    <row r="180" spans="1:4" x14ac:dyDescent="0.2">
      <c r="A180">
        <v>2016</v>
      </c>
      <c r="B180" t="s">
        <v>6</v>
      </c>
      <c r="C180">
        <v>-1.4482629513508516</v>
      </c>
      <c r="D180" s="8">
        <v>-1.9877743531540122</v>
      </c>
    </row>
    <row r="181" spans="1:4" x14ac:dyDescent="0.2">
      <c r="A181">
        <v>2016</v>
      </c>
      <c r="B181" t="s">
        <v>7</v>
      </c>
      <c r="C181">
        <v>-1.4900301810507155</v>
      </c>
      <c r="D181" s="8">
        <v>-1.584745299843729</v>
      </c>
    </row>
    <row r="182" spans="1:4" x14ac:dyDescent="0.2">
      <c r="A182">
        <v>2016</v>
      </c>
      <c r="B182" t="s">
        <v>8</v>
      </c>
      <c r="C182">
        <v>-1.55198290649631</v>
      </c>
      <c r="D182" s="8">
        <v>-0.60696948431889286</v>
      </c>
    </row>
    <row r="183" spans="1:4" x14ac:dyDescent="0.2">
      <c r="A183">
        <v>2017</v>
      </c>
      <c r="B183" t="s">
        <v>5</v>
      </c>
      <c r="C183">
        <v>-1.6360684480966112</v>
      </c>
      <c r="D183" s="8">
        <v>-2.4534079827286295</v>
      </c>
    </row>
    <row r="184" spans="1:4" x14ac:dyDescent="0.2">
      <c r="A184">
        <v>2017</v>
      </c>
      <c r="B184" t="s">
        <v>6</v>
      </c>
      <c r="C184">
        <v>-1.4802306703019938</v>
      </c>
      <c r="D184" s="8">
        <v>-2.0024805005437076</v>
      </c>
    </row>
    <row r="185" spans="1:4" x14ac:dyDescent="0.2">
      <c r="A185">
        <v>2017</v>
      </c>
      <c r="B185" t="s">
        <v>7</v>
      </c>
      <c r="C185">
        <v>-1.5155618101364616</v>
      </c>
      <c r="D185" s="8">
        <v>-1.5945492999403497</v>
      </c>
    </row>
    <row r="186" spans="1:4" x14ac:dyDescent="0.2">
      <c r="A186">
        <v>2017</v>
      </c>
      <c r="B186" t="s">
        <v>8</v>
      </c>
      <c r="C186">
        <v>-1.5686507011274691</v>
      </c>
      <c r="D186" s="8">
        <v>-0.59420723270504161</v>
      </c>
    </row>
    <row r="187" spans="1:4" x14ac:dyDescent="0.2">
      <c r="A187">
        <v>2018</v>
      </c>
      <c r="B187" t="s">
        <v>5</v>
      </c>
      <c r="C187">
        <v>-1.6554818509355069</v>
      </c>
      <c r="D187" s="8">
        <v>-2.4651040224918206</v>
      </c>
    </row>
    <row r="188" spans="1:4" x14ac:dyDescent="0.2">
      <c r="A188">
        <v>2018</v>
      </c>
      <c r="B188" t="s">
        <v>6</v>
      </c>
      <c r="C188">
        <v>-1.5364232883006004</v>
      </c>
      <c r="D188" s="8">
        <v>-2.0099154790312257</v>
      </c>
    </row>
    <row r="189" spans="1:4" x14ac:dyDescent="0.2">
      <c r="A189">
        <v>2018</v>
      </c>
      <c r="B189" t="s">
        <v>7</v>
      </c>
      <c r="C189">
        <v>-1.5562474041172563</v>
      </c>
      <c r="D189" s="8">
        <v>-1.5945492999403497</v>
      </c>
    </row>
    <row r="190" spans="1:4" x14ac:dyDescent="0.2">
      <c r="A190">
        <v>2018</v>
      </c>
      <c r="B190" t="s">
        <v>8</v>
      </c>
      <c r="C190">
        <v>-1.6402793633192765</v>
      </c>
      <c r="D190" s="8">
        <v>-0.59239727745980242</v>
      </c>
    </row>
    <row r="191" spans="1:4" x14ac:dyDescent="0.2">
      <c r="A191">
        <v>2019</v>
      </c>
      <c r="B191" t="s">
        <v>5</v>
      </c>
      <c r="C191">
        <v>-1.7048105941916314</v>
      </c>
      <c r="D191" s="8">
        <v>-2.4304184645039304</v>
      </c>
    </row>
    <row r="192" spans="1:4" x14ac:dyDescent="0.2">
      <c r="A192">
        <v>2019</v>
      </c>
      <c r="B192" t="s">
        <v>6</v>
      </c>
      <c r="C192">
        <v>-1.5117417293769235</v>
      </c>
      <c r="D192" s="8">
        <v>-1.9877743531540122</v>
      </c>
    </row>
    <row r="193" spans="1:4" x14ac:dyDescent="0.2">
      <c r="A193">
        <v>2019</v>
      </c>
      <c r="B193" t="s">
        <v>7</v>
      </c>
      <c r="C193">
        <v>-1.5567105977257478</v>
      </c>
      <c r="D193" s="8">
        <v>-1.5896352851379207</v>
      </c>
    </row>
    <row r="194" spans="1:4" x14ac:dyDescent="0.2">
      <c r="A194">
        <v>2019</v>
      </c>
      <c r="B194" t="s">
        <v>8</v>
      </c>
      <c r="C194">
        <v>-1.6324342580770272</v>
      </c>
      <c r="D194" s="8">
        <v>-0.60696948431889286</v>
      </c>
    </row>
    <row r="195" spans="1:4" x14ac:dyDescent="0.2">
      <c r="A195">
        <v>2020</v>
      </c>
      <c r="B195" t="s">
        <v>5</v>
      </c>
      <c r="C195">
        <v>-1.9215734103974875</v>
      </c>
      <c r="D195" s="8">
        <v>-2.4651040224918206</v>
      </c>
    </row>
    <row r="196" spans="1:4" x14ac:dyDescent="0.2">
      <c r="A196">
        <v>2020</v>
      </c>
      <c r="B196" t="s">
        <v>6</v>
      </c>
      <c r="C196">
        <v>-1.6899251633467864</v>
      </c>
      <c r="D196" s="8">
        <v>-2.0024805005437076</v>
      </c>
    </row>
    <row r="197" spans="1:4" x14ac:dyDescent="0.2">
      <c r="A197">
        <v>2020</v>
      </c>
      <c r="B197" t="s">
        <v>7</v>
      </c>
      <c r="C197">
        <v>-1.6566748280732855</v>
      </c>
      <c r="D197" s="8">
        <v>-1.5994875815809324</v>
      </c>
    </row>
    <row r="198" spans="1:4" x14ac:dyDescent="0.2">
      <c r="A198">
        <v>2020</v>
      </c>
      <c r="B198" t="s">
        <v>8</v>
      </c>
      <c r="C198">
        <v>-1.7430616406884432</v>
      </c>
      <c r="D198" s="8">
        <v>-0.5851900390548529</v>
      </c>
    </row>
    <row r="199" spans="1:4" x14ac:dyDescent="0.2">
      <c r="A199">
        <v>2021</v>
      </c>
      <c r="B199" t="s">
        <v>5</v>
      </c>
      <c r="C199">
        <v>-1.817708640188096</v>
      </c>
      <c r="D199" s="8">
        <v>-2.5510464522925451</v>
      </c>
    </row>
    <row r="200" spans="1:4" x14ac:dyDescent="0.2">
      <c r="A200">
        <v>2021</v>
      </c>
      <c r="B200" t="s">
        <v>6</v>
      </c>
      <c r="C200">
        <v>-1.6099665074003588</v>
      </c>
      <c r="D200" s="8">
        <v>-2.0955709236097193</v>
      </c>
    </row>
    <row r="201" spans="1:4" x14ac:dyDescent="0.2">
      <c r="A201">
        <v>2021</v>
      </c>
      <c r="B201" t="s">
        <v>7</v>
      </c>
      <c r="C201">
        <v>-1.5898450166823135</v>
      </c>
      <c r="D201" s="8">
        <v>-1.6766466621275504</v>
      </c>
    </row>
    <row r="202" spans="1:4" x14ac:dyDescent="0.2">
      <c r="A202">
        <v>2021</v>
      </c>
      <c r="B202" t="s">
        <v>8</v>
      </c>
      <c r="C202">
        <v>-1.7146189279520958</v>
      </c>
      <c r="D202" s="8">
        <v>-0.53102833108351022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C520-1536-F043-99CC-FE5F96CE362E}">
  <dimension ref="A1:I18"/>
  <sheetViews>
    <sheetView workbookViewId="0">
      <selection activeCell="D29" sqref="D29"/>
    </sheetView>
  </sheetViews>
  <sheetFormatPr baseColWidth="10" defaultRowHeight="16" x14ac:dyDescent="0.2"/>
  <cols>
    <col min="1" max="1" width="24.1640625" bestFit="1" customWidth="1"/>
    <col min="2" max="2" width="12.83203125" bestFit="1" customWidth="1"/>
    <col min="3" max="3" width="13.33203125" bestFit="1" customWidth="1"/>
  </cols>
  <sheetData>
    <row r="1" spans="1:9" x14ac:dyDescent="0.2">
      <c r="A1" t="s">
        <v>35</v>
      </c>
    </row>
    <row r="2" spans="1:9" ht="17" thickBot="1" x14ac:dyDescent="0.25"/>
    <row r="3" spans="1:9" x14ac:dyDescent="0.2">
      <c r="A3" s="15" t="s">
        <v>36</v>
      </c>
      <c r="B3" s="15"/>
    </row>
    <row r="4" spans="1:9" x14ac:dyDescent="0.2">
      <c r="A4" t="s">
        <v>37</v>
      </c>
      <c r="B4">
        <v>0.561396727554616</v>
      </c>
    </row>
    <row r="5" spans="1:9" x14ac:dyDescent="0.2">
      <c r="A5" t="s">
        <v>38</v>
      </c>
      <c r="B5">
        <v>0.31516628570903177</v>
      </c>
    </row>
    <row r="6" spans="1:9" x14ac:dyDescent="0.2">
      <c r="A6" t="s">
        <v>39</v>
      </c>
      <c r="B6">
        <v>0.31172491026033344</v>
      </c>
    </row>
    <row r="7" spans="1:9" x14ac:dyDescent="0.2">
      <c r="A7" t="s">
        <v>40</v>
      </c>
      <c r="B7">
        <v>0.42404649008081452</v>
      </c>
    </row>
    <row r="8" spans="1:9" ht="17" thickBot="1" x14ac:dyDescent="0.25">
      <c r="A8" s="13" t="s">
        <v>41</v>
      </c>
      <c r="B8" s="13">
        <v>201</v>
      </c>
    </row>
    <row r="10" spans="1:9" ht="17" thickBot="1" x14ac:dyDescent="0.25">
      <c r="A10" t="s">
        <v>42</v>
      </c>
    </row>
    <row r="11" spans="1:9" x14ac:dyDescent="0.2">
      <c r="A11" s="14"/>
      <c r="B11" s="14" t="s">
        <v>47</v>
      </c>
      <c r="C11" s="14" t="s">
        <v>48</v>
      </c>
      <c r="D11" s="14" t="s">
        <v>49</v>
      </c>
      <c r="E11" s="14" t="s">
        <v>50</v>
      </c>
      <c r="F11" s="14" t="s">
        <v>51</v>
      </c>
    </row>
    <row r="12" spans="1:9" x14ac:dyDescent="0.2">
      <c r="A12" t="s">
        <v>43</v>
      </c>
      <c r="B12">
        <v>1</v>
      </c>
      <c r="C12">
        <v>16.467764326094262</v>
      </c>
      <c r="D12">
        <v>16.467764326094262</v>
      </c>
      <c r="E12">
        <v>91.581488392450879</v>
      </c>
      <c r="F12" s="16">
        <v>4.3535451013319023E-18</v>
      </c>
    </row>
    <row r="13" spans="1:9" x14ac:dyDescent="0.2">
      <c r="A13" t="s">
        <v>44</v>
      </c>
      <c r="B13">
        <v>199</v>
      </c>
      <c r="C13">
        <v>35.783269724221803</v>
      </c>
      <c r="D13">
        <v>0.17981542574985832</v>
      </c>
    </row>
    <row r="14" spans="1:9" ht="17" thickBot="1" x14ac:dyDescent="0.25">
      <c r="A14" s="13" t="s">
        <v>45</v>
      </c>
      <c r="B14" s="13">
        <v>200</v>
      </c>
      <c r="C14" s="13">
        <v>52.251034050316065</v>
      </c>
      <c r="D14" s="13"/>
      <c r="E14" s="13"/>
      <c r="F14" s="13"/>
    </row>
    <row r="15" spans="1:9" ht="17" thickBot="1" x14ac:dyDescent="0.25"/>
    <row r="16" spans="1:9" x14ac:dyDescent="0.2">
      <c r="A16" s="14"/>
      <c r="B16" s="14" t="s">
        <v>52</v>
      </c>
      <c r="C16" s="14" t="s">
        <v>40</v>
      </c>
      <c r="D16" s="14" t="s">
        <v>53</v>
      </c>
      <c r="E16" s="14" t="s">
        <v>54</v>
      </c>
      <c r="F16" s="14" t="s">
        <v>55</v>
      </c>
      <c r="G16" s="14" t="s">
        <v>56</v>
      </c>
      <c r="H16" s="14" t="s">
        <v>57</v>
      </c>
      <c r="I16" s="14" t="s">
        <v>58</v>
      </c>
    </row>
    <row r="17" spans="1:9" x14ac:dyDescent="0.2">
      <c r="A17" t="s">
        <v>46</v>
      </c>
      <c r="B17">
        <v>-1.0545170732594957</v>
      </c>
      <c r="C17">
        <v>7.4749969109172226E-2</v>
      </c>
      <c r="D17">
        <v>-14.107257646078422</v>
      </c>
      <c r="E17" s="16">
        <v>8.8360419017989082E-32</v>
      </c>
      <c r="F17">
        <v>-1.2019207640269445</v>
      </c>
      <c r="G17">
        <v>-0.90711338249204698</v>
      </c>
      <c r="H17">
        <v>-1.2019207640269445</v>
      </c>
      <c r="I17">
        <v>-0.90711338249204698</v>
      </c>
    </row>
    <row r="18" spans="1:9" ht="17" thickBot="1" x14ac:dyDescent="0.25">
      <c r="A18" s="13" t="s">
        <v>34</v>
      </c>
      <c r="B18" s="13">
        <v>0.35262699430298278</v>
      </c>
      <c r="C18" s="13">
        <v>3.6847812152461412E-2</v>
      </c>
      <c r="D18" s="13">
        <v>9.5698217534314995</v>
      </c>
      <c r="E18" s="17">
        <v>4.3535451013321211E-18</v>
      </c>
      <c r="F18" s="13">
        <v>0.27996470998757716</v>
      </c>
      <c r="G18" s="13">
        <v>0.42528927861838839</v>
      </c>
      <c r="H18" s="13">
        <v>0.27996470998757716</v>
      </c>
      <c r="I18" s="13">
        <v>0.42528927861838839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1813-1ED8-5247-AEC9-8AC2848B06C3}">
  <dimension ref="A1:I18"/>
  <sheetViews>
    <sheetView workbookViewId="0">
      <selection activeCell="L43" sqref="L43"/>
    </sheetView>
  </sheetViews>
  <sheetFormatPr baseColWidth="10" defaultRowHeight="16" x14ac:dyDescent="0.2"/>
  <cols>
    <col min="1" max="1" width="24.1640625" bestFit="1" customWidth="1"/>
    <col min="2" max="2" width="12.83203125" bestFit="1" customWidth="1"/>
    <col min="3" max="3" width="13.33203125" bestFit="1" customWidth="1"/>
    <col min="6" max="6" width="13" bestFit="1" customWidth="1"/>
  </cols>
  <sheetData>
    <row r="1" spans="1:9" x14ac:dyDescent="0.2">
      <c r="A1" t="s">
        <v>35</v>
      </c>
    </row>
    <row r="2" spans="1:9" ht="17" thickBot="1" x14ac:dyDescent="0.25"/>
    <row r="3" spans="1:9" x14ac:dyDescent="0.2">
      <c r="A3" s="15" t="s">
        <v>36</v>
      </c>
      <c r="B3" s="15"/>
    </row>
    <row r="4" spans="1:9" x14ac:dyDescent="0.2">
      <c r="A4" t="s">
        <v>37</v>
      </c>
      <c r="B4">
        <v>0.66633820341588534</v>
      </c>
    </row>
    <row r="5" spans="1:9" x14ac:dyDescent="0.2">
      <c r="A5" t="s">
        <v>38</v>
      </c>
      <c r="B5">
        <v>0.44400660133150982</v>
      </c>
    </row>
    <row r="6" spans="1:9" x14ac:dyDescent="0.2">
      <c r="A6" t="s">
        <v>39</v>
      </c>
      <c r="B6">
        <v>0.43860860716967981</v>
      </c>
    </row>
    <row r="7" spans="1:9" x14ac:dyDescent="0.2">
      <c r="A7" t="s">
        <v>40</v>
      </c>
      <c r="B7">
        <v>0.3094842172051025</v>
      </c>
    </row>
    <row r="8" spans="1:9" ht="17" thickBot="1" x14ac:dyDescent="0.25">
      <c r="A8" s="13" t="s">
        <v>41</v>
      </c>
      <c r="B8" s="13">
        <v>105</v>
      </c>
    </row>
    <row r="10" spans="1:9" ht="17" thickBot="1" x14ac:dyDescent="0.25">
      <c r="A10" t="s">
        <v>42</v>
      </c>
    </row>
    <row r="11" spans="1:9" x14ac:dyDescent="0.2">
      <c r="A11" s="14"/>
      <c r="B11" s="14" t="s">
        <v>47</v>
      </c>
      <c r="C11" s="14" t="s">
        <v>48</v>
      </c>
      <c r="D11" s="14" t="s">
        <v>49</v>
      </c>
      <c r="E11" s="14" t="s">
        <v>50</v>
      </c>
      <c r="F11" s="14" t="s">
        <v>51</v>
      </c>
    </row>
    <row r="12" spans="1:9" x14ac:dyDescent="0.2">
      <c r="A12" t="s">
        <v>43</v>
      </c>
      <c r="B12">
        <v>1</v>
      </c>
      <c r="C12">
        <v>7.8783274738978903</v>
      </c>
      <c r="D12">
        <v>7.8783274738978903</v>
      </c>
      <c r="E12">
        <v>82.253998063048087</v>
      </c>
      <c r="F12" s="16">
        <v>8.6461459417897923E-15</v>
      </c>
    </row>
    <row r="13" spans="1:9" x14ac:dyDescent="0.2">
      <c r="A13" t="s">
        <v>44</v>
      </c>
      <c r="B13">
        <v>103</v>
      </c>
      <c r="C13">
        <v>9.8653895120026718</v>
      </c>
      <c r="D13">
        <v>9.5780480699055065E-2</v>
      </c>
    </row>
    <row r="14" spans="1:9" ht="17" thickBot="1" x14ac:dyDescent="0.25">
      <c r="A14" s="13" t="s">
        <v>45</v>
      </c>
      <c r="B14" s="13">
        <v>104</v>
      </c>
      <c r="C14" s="13">
        <v>17.743716985900562</v>
      </c>
      <c r="D14" s="13"/>
      <c r="E14" s="13"/>
      <c r="F14" s="13"/>
    </row>
    <row r="15" spans="1:9" ht="17" thickBot="1" x14ac:dyDescent="0.25"/>
    <row r="16" spans="1:9" x14ac:dyDescent="0.2">
      <c r="A16" s="14"/>
      <c r="B16" s="14" t="s">
        <v>52</v>
      </c>
      <c r="C16" s="14" t="s">
        <v>40</v>
      </c>
      <c r="D16" s="14" t="s">
        <v>53</v>
      </c>
      <c r="E16" s="14" t="s">
        <v>54</v>
      </c>
      <c r="F16" s="14" t="s">
        <v>55</v>
      </c>
      <c r="G16" s="14" t="s">
        <v>56</v>
      </c>
      <c r="H16" s="14" t="s">
        <v>57</v>
      </c>
      <c r="I16" s="14" t="s">
        <v>58</v>
      </c>
    </row>
    <row r="17" spans="1:9" x14ac:dyDescent="0.2">
      <c r="A17" t="s">
        <v>46</v>
      </c>
      <c r="B17">
        <v>-1.0434455890671297</v>
      </c>
      <c r="C17">
        <v>7.6191919394882984E-2</v>
      </c>
      <c r="D17" s="16">
        <v>-13.694963945706913</v>
      </c>
      <c r="E17" s="16">
        <v>6.1995504306360372E-25</v>
      </c>
      <c r="F17">
        <v>-1.1945542909244706</v>
      </c>
      <c r="G17">
        <v>-0.89233688720978865</v>
      </c>
      <c r="H17">
        <v>-1.1945542909244706</v>
      </c>
      <c r="I17">
        <v>-0.89233688720978865</v>
      </c>
    </row>
    <row r="18" spans="1:9" ht="17" thickBot="1" x14ac:dyDescent="0.25">
      <c r="A18" s="13" t="s">
        <v>34</v>
      </c>
      <c r="B18" s="13">
        <v>0.33003053256515774</v>
      </c>
      <c r="C18" s="13">
        <v>3.6389460082463965E-2</v>
      </c>
      <c r="D18" s="17">
        <v>9.069398991280968</v>
      </c>
      <c r="E18" s="17">
        <v>8.6461459417894468E-15</v>
      </c>
      <c r="F18" s="13">
        <v>0.25786062113594188</v>
      </c>
      <c r="G18" s="13">
        <v>0.4022004439943736</v>
      </c>
      <c r="H18" s="13">
        <v>0.25786062113594188</v>
      </c>
      <c r="I18" s="13">
        <v>0.4022004439943736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37217-8F99-974D-A706-C6F68031929F}">
  <dimension ref="A1:I18"/>
  <sheetViews>
    <sheetView workbookViewId="0">
      <selection activeCell="H36" sqref="H36"/>
    </sheetView>
  </sheetViews>
  <sheetFormatPr baseColWidth="10" defaultRowHeight="16" x14ac:dyDescent="0.2"/>
  <cols>
    <col min="1" max="1" width="24.1640625" bestFit="1" customWidth="1"/>
    <col min="2" max="2" width="12.1640625" bestFit="1" customWidth="1"/>
    <col min="3" max="3" width="13.33203125" bestFit="1" customWidth="1"/>
    <col min="4" max="4" width="12.83203125" bestFit="1" customWidth="1"/>
    <col min="5" max="5" width="12.1640625" bestFit="1" customWidth="1"/>
    <col min="6" max="6" width="13" bestFit="1" customWidth="1"/>
  </cols>
  <sheetData>
    <row r="1" spans="1:9" x14ac:dyDescent="0.2">
      <c r="A1" t="s">
        <v>35</v>
      </c>
    </row>
    <row r="2" spans="1:9" ht="17" thickBot="1" x14ac:dyDescent="0.25"/>
    <row r="3" spans="1:9" x14ac:dyDescent="0.2">
      <c r="A3" s="15" t="s">
        <v>36</v>
      </c>
      <c r="B3" s="15"/>
    </row>
    <row r="4" spans="1:9" x14ac:dyDescent="0.2">
      <c r="A4" t="s">
        <v>37</v>
      </c>
      <c r="B4">
        <v>0.51657991046454588</v>
      </c>
    </row>
    <row r="5" spans="1:9" x14ac:dyDescent="0.2">
      <c r="A5" t="s">
        <v>38</v>
      </c>
      <c r="B5">
        <v>0.26685480389555821</v>
      </c>
    </row>
    <row r="6" spans="1:9" x14ac:dyDescent="0.2">
      <c r="A6" t="s">
        <v>39</v>
      </c>
      <c r="B6">
        <v>0.25905538691572372</v>
      </c>
    </row>
    <row r="7" spans="1:9" x14ac:dyDescent="0.2">
      <c r="A7" t="s">
        <v>40</v>
      </c>
      <c r="B7">
        <v>0.51706266627187203</v>
      </c>
    </row>
    <row r="8" spans="1:9" ht="17" thickBot="1" x14ac:dyDescent="0.25">
      <c r="A8" s="13" t="s">
        <v>41</v>
      </c>
      <c r="B8" s="13">
        <v>96</v>
      </c>
    </row>
    <row r="10" spans="1:9" ht="17" thickBot="1" x14ac:dyDescent="0.25">
      <c r="A10" t="s">
        <v>42</v>
      </c>
    </row>
    <row r="11" spans="1:9" x14ac:dyDescent="0.2">
      <c r="A11" s="14"/>
      <c r="B11" s="14" t="s">
        <v>47</v>
      </c>
      <c r="C11" s="14" t="s">
        <v>48</v>
      </c>
      <c r="D11" s="14" t="s">
        <v>49</v>
      </c>
      <c r="E11" s="14" t="s">
        <v>50</v>
      </c>
      <c r="F11" s="14" t="s">
        <v>51</v>
      </c>
    </row>
    <row r="12" spans="1:9" x14ac:dyDescent="0.2">
      <c r="A12" t="s">
        <v>43</v>
      </c>
      <c r="B12">
        <v>1</v>
      </c>
      <c r="C12">
        <v>9.1474332352793262</v>
      </c>
      <c r="D12">
        <v>9.1474332352793262</v>
      </c>
      <c r="E12">
        <v>34.214711764419754</v>
      </c>
      <c r="F12" s="16">
        <v>7.1343286567871532E-8</v>
      </c>
    </row>
    <row r="13" spans="1:9" x14ac:dyDescent="0.2">
      <c r="A13" t="s">
        <v>44</v>
      </c>
      <c r="B13">
        <v>94</v>
      </c>
      <c r="C13">
        <v>25.131257280104666</v>
      </c>
      <c r="D13">
        <v>0.2673538008521773</v>
      </c>
    </row>
    <row r="14" spans="1:9" ht="17" thickBot="1" x14ac:dyDescent="0.25">
      <c r="A14" s="13" t="s">
        <v>45</v>
      </c>
      <c r="B14" s="13">
        <v>95</v>
      </c>
      <c r="C14" s="13">
        <v>34.278690515383992</v>
      </c>
      <c r="D14" s="13"/>
      <c r="E14" s="13"/>
      <c r="F14" s="13"/>
    </row>
    <row r="15" spans="1:9" ht="17" thickBot="1" x14ac:dyDescent="0.25"/>
    <row r="16" spans="1:9" x14ac:dyDescent="0.2">
      <c r="A16" s="14"/>
      <c r="B16" s="14" t="s">
        <v>52</v>
      </c>
      <c r="C16" s="14" t="s">
        <v>40</v>
      </c>
      <c r="D16" s="14" t="s">
        <v>53</v>
      </c>
      <c r="E16" s="14" t="s">
        <v>54</v>
      </c>
      <c r="F16" s="14" t="s">
        <v>55</v>
      </c>
      <c r="G16" s="14" t="s">
        <v>56</v>
      </c>
      <c r="H16" s="14" t="s">
        <v>57</v>
      </c>
      <c r="I16" s="14" t="s">
        <v>58</v>
      </c>
    </row>
    <row r="17" spans="1:9" x14ac:dyDescent="0.2">
      <c r="A17" t="s">
        <v>46</v>
      </c>
      <c r="B17">
        <v>-1.0418738900022642</v>
      </c>
      <c r="C17">
        <v>0.1313380917982907</v>
      </c>
      <c r="D17" s="16">
        <v>-7.9327625042883687</v>
      </c>
      <c r="E17" s="16">
        <v>4.4169686618514859E-12</v>
      </c>
      <c r="F17">
        <v>-1.3026487500777986</v>
      </c>
      <c r="G17">
        <v>-0.78109902992672975</v>
      </c>
      <c r="H17">
        <v>-1.3026487500777986</v>
      </c>
      <c r="I17">
        <v>-0.78109902992672975</v>
      </c>
    </row>
    <row r="18" spans="1:9" ht="17" thickBot="1" x14ac:dyDescent="0.25">
      <c r="A18" s="13" t="s">
        <v>34</v>
      </c>
      <c r="B18" s="13">
        <v>0.39299419498784549</v>
      </c>
      <c r="C18" s="13">
        <v>6.7186140296881261E-2</v>
      </c>
      <c r="D18" s="17">
        <v>5.8493343009627843</v>
      </c>
      <c r="E18" s="17">
        <v>7.1343286567871122E-8</v>
      </c>
      <c r="F18" s="13">
        <v>0.25959453845984914</v>
      </c>
      <c r="G18" s="13">
        <v>0.52639385151584184</v>
      </c>
      <c r="H18" s="13">
        <v>0.25959453845984914</v>
      </c>
      <c r="I18" s="13">
        <v>0.52639385151584184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B90C-6B1D-8D44-BFBC-464730329FA6}">
  <dimension ref="A2:AS11"/>
  <sheetViews>
    <sheetView workbookViewId="0">
      <selection activeCell="AR24" sqref="AR24"/>
    </sheetView>
  </sheetViews>
  <sheetFormatPr baseColWidth="10" defaultRowHeight="16" x14ac:dyDescent="0.2"/>
  <cols>
    <col min="1" max="1" width="48.1640625" bestFit="1" customWidth="1"/>
    <col min="2" max="2" width="14.1640625" bestFit="1" customWidth="1"/>
  </cols>
  <sheetData>
    <row r="2" spans="1:45" x14ac:dyDescent="0.2">
      <c r="A2" t="s">
        <v>60</v>
      </c>
    </row>
    <row r="3" spans="1:45" x14ac:dyDescent="0.2">
      <c r="A3" t="s">
        <v>1</v>
      </c>
    </row>
    <row r="4" spans="1:45" x14ac:dyDescent="0.2">
      <c r="A4" t="s">
        <v>61</v>
      </c>
    </row>
    <row r="5" spans="1:45" x14ac:dyDescent="0.2">
      <c r="C5">
        <v>1979</v>
      </c>
      <c r="D5">
        <v>1980</v>
      </c>
      <c r="E5">
        <v>1981</v>
      </c>
      <c r="F5">
        <v>1982</v>
      </c>
      <c r="G5">
        <v>1983</v>
      </c>
      <c r="H5">
        <v>1984</v>
      </c>
      <c r="I5">
        <v>1985</v>
      </c>
      <c r="J5">
        <v>1986</v>
      </c>
      <c r="K5">
        <v>1987</v>
      </c>
      <c r="L5">
        <v>1988</v>
      </c>
      <c r="M5">
        <v>1989</v>
      </c>
      <c r="N5">
        <v>1990</v>
      </c>
      <c r="O5">
        <v>1991</v>
      </c>
      <c r="P5">
        <v>1992</v>
      </c>
      <c r="Q5">
        <v>1993</v>
      </c>
      <c r="R5">
        <v>1994</v>
      </c>
      <c r="S5">
        <v>1995</v>
      </c>
      <c r="T5">
        <v>1996</v>
      </c>
      <c r="U5">
        <v>1997</v>
      </c>
      <c r="V5">
        <v>1998</v>
      </c>
      <c r="W5">
        <v>1999</v>
      </c>
      <c r="X5">
        <v>2000</v>
      </c>
      <c r="Y5">
        <v>2001</v>
      </c>
      <c r="Z5">
        <v>2002</v>
      </c>
      <c r="AA5">
        <v>2003</v>
      </c>
      <c r="AB5">
        <v>2004</v>
      </c>
      <c r="AC5">
        <v>2005</v>
      </c>
      <c r="AD5">
        <v>2006</v>
      </c>
      <c r="AE5">
        <v>2007</v>
      </c>
      <c r="AF5">
        <v>2008</v>
      </c>
      <c r="AG5">
        <v>2009</v>
      </c>
      <c r="AH5">
        <v>2010</v>
      </c>
      <c r="AI5">
        <v>2011</v>
      </c>
      <c r="AJ5">
        <v>2012</v>
      </c>
      <c r="AK5">
        <v>2013</v>
      </c>
      <c r="AL5">
        <v>2014</v>
      </c>
      <c r="AM5">
        <v>2015</v>
      </c>
      <c r="AN5">
        <v>2016</v>
      </c>
      <c r="AO5">
        <v>2017</v>
      </c>
      <c r="AP5">
        <v>2018</v>
      </c>
      <c r="AQ5">
        <v>2019</v>
      </c>
      <c r="AR5">
        <v>2020</v>
      </c>
      <c r="AS5">
        <v>2021</v>
      </c>
    </row>
    <row r="6" spans="1:45" x14ac:dyDescent="0.2">
      <c r="A6" t="s">
        <v>3</v>
      </c>
    </row>
    <row r="7" spans="1:45" x14ac:dyDescent="0.2">
      <c r="B7" t="s">
        <v>4</v>
      </c>
      <c r="C7">
        <v>2.1</v>
      </c>
      <c r="D7">
        <v>2</v>
      </c>
      <c r="E7">
        <v>2</v>
      </c>
      <c r="F7">
        <v>2.1</v>
      </c>
      <c r="G7">
        <v>2.2000000000000002</v>
      </c>
      <c r="H7">
        <v>2.5</v>
      </c>
      <c r="I7">
        <v>2.2999999999999998</v>
      </c>
      <c r="J7">
        <v>2.1</v>
      </c>
      <c r="K7">
        <v>1.8</v>
      </c>
      <c r="L7">
        <v>1.7</v>
      </c>
      <c r="M7">
        <v>1.7</v>
      </c>
      <c r="N7">
        <v>1.9</v>
      </c>
      <c r="O7">
        <v>1.9</v>
      </c>
      <c r="P7">
        <v>1.8</v>
      </c>
      <c r="Q7">
        <v>1.7</v>
      </c>
      <c r="R7">
        <v>1.4</v>
      </c>
      <c r="S7">
        <v>1.3</v>
      </c>
      <c r="T7">
        <v>1.1000000000000001</v>
      </c>
      <c r="U7">
        <v>1.2</v>
      </c>
      <c r="V7">
        <v>1.2</v>
      </c>
      <c r="W7">
        <v>1.3</v>
      </c>
      <c r="X7">
        <v>1.2</v>
      </c>
      <c r="Y7">
        <v>1.1000000000000001</v>
      </c>
      <c r="Z7">
        <v>1</v>
      </c>
      <c r="AA7">
        <v>1.1000000000000001</v>
      </c>
      <c r="AB7">
        <v>0.9</v>
      </c>
      <c r="AC7">
        <v>0.9</v>
      </c>
      <c r="AD7">
        <v>1</v>
      </c>
      <c r="AE7">
        <v>0.9</v>
      </c>
      <c r="AF7">
        <v>0.1</v>
      </c>
      <c r="AG7">
        <v>-0.2</v>
      </c>
      <c r="AH7">
        <v>-0.1</v>
      </c>
      <c r="AI7">
        <v>0</v>
      </c>
      <c r="AJ7">
        <v>0.1</v>
      </c>
      <c r="AK7">
        <v>0.4</v>
      </c>
      <c r="AL7">
        <v>0.2</v>
      </c>
      <c r="AM7">
        <v>0.2</v>
      </c>
      <c r="AN7">
        <v>0.2</v>
      </c>
      <c r="AO7">
        <v>0.2</v>
      </c>
      <c r="AP7">
        <v>0</v>
      </c>
      <c r="AQ7">
        <v>0.1</v>
      </c>
      <c r="AR7">
        <v>-3.6</v>
      </c>
      <c r="AS7">
        <v>-4.3</v>
      </c>
    </row>
    <row r="8" spans="1:45" x14ac:dyDescent="0.2">
      <c r="B8" t="s">
        <v>5</v>
      </c>
      <c r="C8">
        <v>7.5</v>
      </c>
      <c r="D8">
        <v>7.2</v>
      </c>
      <c r="E8">
        <v>7.4</v>
      </c>
      <c r="F8">
        <v>7.2</v>
      </c>
      <c r="G8">
        <v>7.1</v>
      </c>
      <c r="H8">
        <v>7.4</v>
      </c>
      <c r="I8">
        <v>7.4</v>
      </c>
      <c r="J8">
        <v>7</v>
      </c>
      <c r="K8">
        <v>6.6</v>
      </c>
      <c r="L8">
        <v>6.6</v>
      </c>
      <c r="M8">
        <v>6.5</v>
      </c>
      <c r="N8">
        <v>7</v>
      </c>
      <c r="O8">
        <v>6.8</v>
      </c>
      <c r="P8">
        <v>6.4</v>
      </c>
      <c r="Q8">
        <v>6.2</v>
      </c>
      <c r="R8">
        <v>6</v>
      </c>
      <c r="S8">
        <v>6</v>
      </c>
      <c r="T8">
        <v>5.8</v>
      </c>
      <c r="U8">
        <v>5.7</v>
      </c>
      <c r="V8">
        <v>5.4</v>
      </c>
      <c r="W8">
        <v>5.3</v>
      </c>
      <c r="X8">
        <v>5</v>
      </c>
      <c r="Y8">
        <v>5</v>
      </c>
      <c r="Z8">
        <v>5</v>
      </c>
      <c r="AA8">
        <v>4.7</v>
      </c>
      <c r="AB8">
        <v>4.5</v>
      </c>
      <c r="AC8">
        <v>4.4000000000000004</v>
      </c>
      <c r="AD8">
        <v>4.3</v>
      </c>
      <c r="AE8">
        <v>4.5999999999999996</v>
      </c>
      <c r="AF8">
        <v>3.8</v>
      </c>
      <c r="AG8">
        <v>3.7</v>
      </c>
      <c r="AH8">
        <v>3.7</v>
      </c>
      <c r="AI8">
        <v>3.8</v>
      </c>
      <c r="AJ8">
        <v>3.4</v>
      </c>
      <c r="AK8">
        <v>3.9</v>
      </c>
      <c r="AL8">
        <v>3.7</v>
      </c>
      <c r="AM8">
        <v>3.8</v>
      </c>
      <c r="AN8">
        <v>3.9</v>
      </c>
      <c r="AO8">
        <v>3.8</v>
      </c>
      <c r="AP8">
        <v>3.6</v>
      </c>
      <c r="AQ8">
        <v>4</v>
      </c>
      <c r="AR8">
        <v>0.5</v>
      </c>
      <c r="AS8">
        <v>0.1</v>
      </c>
    </row>
    <row r="9" spans="1:45" x14ac:dyDescent="0.2">
      <c r="B9" t="s">
        <v>6</v>
      </c>
      <c r="C9">
        <v>13.6</v>
      </c>
      <c r="D9">
        <v>13.6</v>
      </c>
      <c r="E9">
        <v>13.8</v>
      </c>
      <c r="F9">
        <v>13.8</v>
      </c>
      <c r="G9">
        <v>13.4</v>
      </c>
      <c r="H9">
        <v>13.4</v>
      </c>
      <c r="I9">
        <v>13.4</v>
      </c>
      <c r="J9">
        <v>12.9</v>
      </c>
      <c r="K9">
        <v>12.7</v>
      </c>
      <c r="L9">
        <v>12.5</v>
      </c>
      <c r="M9">
        <v>12.7</v>
      </c>
      <c r="N9">
        <v>12.8</v>
      </c>
      <c r="O9">
        <v>12.8</v>
      </c>
      <c r="P9">
        <v>12.5</v>
      </c>
      <c r="Q9">
        <v>12.2</v>
      </c>
      <c r="R9">
        <v>12.1</v>
      </c>
      <c r="S9">
        <v>11.8</v>
      </c>
      <c r="T9">
        <v>11.4</v>
      </c>
      <c r="U9">
        <v>11.2</v>
      </c>
      <c r="V9">
        <v>10.8</v>
      </c>
      <c r="W9">
        <v>10.4</v>
      </c>
      <c r="X9">
        <v>10</v>
      </c>
      <c r="Y9">
        <v>10.4</v>
      </c>
      <c r="Z9">
        <v>10.6</v>
      </c>
      <c r="AA9">
        <v>10.3</v>
      </c>
      <c r="AB9">
        <v>10.1</v>
      </c>
      <c r="AC9">
        <v>9.6</v>
      </c>
      <c r="AD9">
        <v>9.5</v>
      </c>
      <c r="AE9">
        <v>9.6</v>
      </c>
      <c r="AF9">
        <v>9.1</v>
      </c>
      <c r="AG9">
        <v>9.6</v>
      </c>
      <c r="AH9">
        <v>9.1999999999999993</v>
      </c>
      <c r="AI9">
        <v>9.1999999999999993</v>
      </c>
      <c r="AJ9">
        <v>8.6999999999999993</v>
      </c>
      <c r="AK9">
        <v>9.1</v>
      </c>
      <c r="AL9">
        <v>8.8000000000000007</v>
      </c>
      <c r="AM9">
        <v>8.9</v>
      </c>
      <c r="AN9">
        <v>9.1</v>
      </c>
      <c r="AO9">
        <v>9</v>
      </c>
      <c r="AP9">
        <v>8.8000000000000007</v>
      </c>
      <c r="AQ9">
        <v>9.1999999999999993</v>
      </c>
      <c r="AR9">
        <v>6.3</v>
      </c>
      <c r="AS9">
        <v>5.5</v>
      </c>
    </row>
    <row r="10" spans="1:45" x14ac:dyDescent="0.2">
      <c r="B10" t="s">
        <v>7</v>
      </c>
      <c r="C10">
        <v>21.6</v>
      </c>
      <c r="D10">
        <v>21.8</v>
      </c>
      <c r="E10">
        <v>22.2</v>
      </c>
      <c r="F10">
        <v>22.3</v>
      </c>
      <c r="G10">
        <v>22.1</v>
      </c>
      <c r="H10">
        <v>21.8</v>
      </c>
      <c r="I10">
        <v>21.6</v>
      </c>
      <c r="J10">
        <v>21</v>
      </c>
      <c r="K10">
        <v>21</v>
      </c>
      <c r="L10">
        <v>20.7</v>
      </c>
      <c r="M10">
        <v>21</v>
      </c>
      <c r="N10">
        <v>21.1</v>
      </c>
      <c r="O10">
        <v>21</v>
      </c>
      <c r="P10">
        <v>20.5</v>
      </c>
      <c r="Q10">
        <v>20.2</v>
      </c>
      <c r="R10">
        <v>20.2</v>
      </c>
      <c r="S10">
        <v>19.8</v>
      </c>
      <c r="T10">
        <v>19.2</v>
      </c>
      <c r="U10">
        <v>18.600000000000001</v>
      </c>
      <c r="V10">
        <v>18.600000000000001</v>
      </c>
      <c r="W10">
        <v>18.100000000000001</v>
      </c>
      <c r="X10">
        <v>17.899999999999999</v>
      </c>
      <c r="Y10">
        <v>18.8</v>
      </c>
      <c r="Z10">
        <v>19</v>
      </c>
      <c r="AA10">
        <v>18.899999999999999</v>
      </c>
      <c r="AB10">
        <v>18.2</v>
      </c>
      <c r="AC10">
        <v>17.5</v>
      </c>
      <c r="AD10">
        <v>17.2</v>
      </c>
      <c r="AE10">
        <v>17.100000000000001</v>
      </c>
      <c r="AF10">
        <v>17.7</v>
      </c>
      <c r="AG10">
        <v>18.600000000000001</v>
      </c>
      <c r="AH10">
        <v>17.899999999999999</v>
      </c>
      <c r="AI10">
        <v>17.899999999999999</v>
      </c>
      <c r="AJ10">
        <v>17</v>
      </c>
      <c r="AK10">
        <v>17.5</v>
      </c>
      <c r="AL10">
        <v>17.100000000000001</v>
      </c>
      <c r="AM10">
        <v>17.2</v>
      </c>
      <c r="AN10">
        <v>17.5</v>
      </c>
      <c r="AO10">
        <v>17.5</v>
      </c>
      <c r="AP10">
        <v>17.5</v>
      </c>
      <c r="AQ10">
        <v>17.7</v>
      </c>
      <c r="AR10">
        <v>16.3</v>
      </c>
      <c r="AS10">
        <v>15</v>
      </c>
    </row>
    <row r="11" spans="1:45" x14ac:dyDescent="0.2">
      <c r="B11" t="s">
        <v>8</v>
      </c>
      <c r="C11">
        <v>55.1</v>
      </c>
      <c r="D11">
        <v>55.3</v>
      </c>
      <c r="E11">
        <v>54.5</v>
      </c>
      <c r="F11">
        <v>54.5</v>
      </c>
      <c r="G11">
        <v>55</v>
      </c>
      <c r="H11">
        <v>54.6</v>
      </c>
      <c r="I11">
        <v>55.2</v>
      </c>
      <c r="J11">
        <v>56.9</v>
      </c>
      <c r="K11">
        <v>57.7</v>
      </c>
      <c r="L11">
        <v>58.3</v>
      </c>
      <c r="M11">
        <v>57.9</v>
      </c>
      <c r="N11">
        <v>57.1</v>
      </c>
      <c r="O11">
        <v>57.2</v>
      </c>
      <c r="P11">
        <v>58.7</v>
      </c>
      <c r="Q11">
        <v>59.5</v>
      </c>
      <c r="R11">
        <v>60.1</v>
      </c>
      <c r="S11">
        <v>60.9</v>
      </c>
      <c r="T11">
        <v>62.3</v>
      </c>
      <c r="U11">
        <v>63.1</v>
      </c>
      <c r="V11">
        <v>63.8</v>
      </c>
      <c r="W11">
        <v>64.8</v>
      </c>
      <c r="X11">
        <v>65.8</v>
      </c>
      <c r="Y11">
        <v>64.599999999999994</v>
      </c>
      <c r="Z11">
        <v>64.099999999999994</v>
      </c>
      <c r="AA11">
        <v>64.8</v>
      </c>
      <c r="AB11">
        <v>66.099999999999994</v>
      </c>
      <c r="AC11">
        <v>67.400000000000006</v>
      </c>
      <c r="AD11">
        <v>67.900000000000006</v>
      </c>
      <c r="AE11">
        <v>67.599999999999994</v>
      </c>
      <c r="AF11">
        <v>69</v>
      </c>
      <c r="AG11">
        <v>68</v>
      </c>
      <c r="AH11">
        <v>69</v>
      </c>
      <c r="AI11">
        <v>68.7</v>
      </c>
      <c r="AJ11">
        <v>70.5</v>
      </c>
      <c r="AK11">
        <v>68.8</v>
      </c>
      <c r="AL11">
        <v>69.8</v>
      </c>
      <c r="AM11">
        <v>69.599999999999994</v>
      </c>
      <c r="AN11">
        <v>69</v>
      </c>
      <c r="AO11">
        <v>69.3</v>
      </c>
      <c r="AP11">
        <v>69.900000000000006</v>
      </c>
      <c r="AQ11">
        <v>68.7</v>
      </c>
      <c r="AR11">
        <v>80.400000000000006</v>
      </c>
      <c r="AS11">
        <v>83.6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Primary &amp; Disposable Income</vt:lpstr>
      <vt:lpstr>Average Primary Income</vt:lpstr>
      <vt:lpstr>Tax Liability</vt:lpstr>
      <vt:lpstr>Tau_it &amp; Equation 20</vt:lpstr>
      <vt:lpstr>Computation</vt:lpstr>
      <vt:lpstr>Filter NUM!</vt:lpstr>
      <vt:lpstr>Table for Regression</vt:lpstr>
      <vt:lpstr>Results 1979-2021</vt:lpstr>
      <vt:lpstr>Results 1979-1999</vt:lpstr>
      <vt:lpstr>Results 2000-2021</vt:lpstr>
      <vt:lpstr>Shares of Taxed Paid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 Ghimire</dc:creator>
  <cp:lastModifiedBy>Nishan Ghimire</cp:lastModifiedBy>
  <dcterms:created xsi:type="dcterms:W3CDTF">2025-07-23T20:19:10Z</dcterms:created>
  <dcterms:modified xsi:type="dcterms:W3CDTF">2025-11-01T21:29:01Z</dcterms:modified>
</cp:coreProperties>
</file>