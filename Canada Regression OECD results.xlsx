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/>
  <mc:AlternateContent xmlns:mc="http://schemas.openxmlformats.org/markup-compatibility/2006">
    <mc:Choice Requires="x15">
      <x15ac:absPath xmlns:x15ac="http://schemas.microsoft.com/office/spreadsheetml/2010/11/ac" url="/Users/nishanghimire/Desktop/MRP/"/>
    </mc:Choice>
  </mc:AlternateContent>
  <xr:revisionPtr revIDLastSave="0" documentId="13_ncr:1_{47CEE8FD-8586-3746-9998-E3E50829018C}" xr6:coauthVersionLast="47" xr6:coauthVersionMax="47" xr10:uidLastSave="{00000000-0000-0000-0000-000000000000}"/>
  <bookViews>
    <workbookView xWindow="0" yWindow="800" windowWidth="34200" windowHeight="19780" firstSheet="4" activeTab="9" xr2:uid="{00000000-000D-0000-FFFF-FFFF00000000}"/>
  </bookViews>
  <sheets>
    <sheet name="Filter Friendly" sheetId="24" r:id="rId1"/>
    <sheet name="Primary &amp; Disposable Inc Canada" sheetId="25" r:id="rId2"/>
    <sheet name="Statistics Canada Households " sheetId="7" r:id="rId3"/>
    <sheet name="Average Income per Household" sheetId="6" r:id="rId4"/>
    <sheet name="Tax Liability" sheetId="8" r:id="rId5"/>
    <sheet name="Tau_it" sheetId="10" r:id="rId6"/>
    <sheet name="Equation 20" sheetId="11" r:id="rId7"/>
    <sheet name="Computation" sheetId="14" r:id="rId8"/>
    <sheet name="Filter Out NUM!" sheetId="15" r:id="rId9"/>
    <sheet name="Table for Regression" sheetId="16" r:id="rId10"/>
    <sheet name="Results from Regression" sheetId="17" r:id="rId11"/>
    <sheet name="Tax Revenue Share of GDP" sheetId="13" r:id="rId12"/>
    <sheet name="PIT Tax Schedule OECD" sheetId="9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1" l="1"/>
  <c r="I28" i="11"/>
  <c r="J36" i="6"/>
  <c r="L5" i="25"/>
  <c r="L6" i="25"/>
  <c r="L7" i="25"/>
  <c r="L8" i="25"/>
  <c r="L9" i="25"/>
  <c r="L10" i="25"/>
  <c r="L11" i="25"/>
  <c r="L12" i="25"/>
  <c r="L13" i="25"/>
  <c r="L14" i="25"/>
  <c r="L15" i="25"/>
  <c r="L16" i="25"/>
  <c r="L17" i="25"/>
  <c r="L18" i="25"/>
  <c r="L19" i="25"/>
  <c r="L20" i="25"/>
  <c r="L21" i="25"/>
  <c r="L22" i="25"/>
  <c r="L23" i="25"/>
  <c r="L24" i="25"/>
  <c r="L4" i="25"/>
  <c r="G27" i="25"/>
  <c r="G2" i="14"/>
  <c r="B30" i="8"/>
  <c r="I29" i="6"/>
  <c r="H27" i="25"/>
  <c r="G28" i="25"/>
  <c r="H28" i="25"/>
  <c r="G29" i="25"/>
  <c r="H29" i="25"/>
  <c r="G30" i="25"/>
  <c r="H30" i="25"/>
  <c r="G31" i="25"/>
  <c r="H31" i="25"/>
  <c r="G32" i="25"/>
  <c r="H32" i="25"/>
  <c r="G33" i="25"/>
  <c r="H33" i="25"/>
  <c r="G34" i="25"/>
  <c r="H34" i="25"/>
  <c r="G35" i="25"/>
  <c r="H35" i="25"/>
  <c r="G36" i="25"/>
  <c r="H36" i="25"/>
  <c r="G37" i="25"/>
  <c r="H37" i="25"/>
  <c r="G38" i="25"/>
  <c r="H38" i="25"/>
  <c r="G39" i="25"/>
  <c r="H39" i="25"/>
  <c r="G40" i="25"/>
  <c r="H40" i="25"/>
  <c r="G41" i="25"/>
  <c r="H41" i="25"/>
  <c r="G42" i="25"/>
  <c r="H42" i="25"/>
  <c r="G43" i="25"/>
  <c r="H43" i="25"/>
  <c r="G44" i="25"/>
  <c r="H44" i="25"/>
  <c r="G45" i="25"/>
  <c r="H45" i="25"/>
  <c r="G46" i="25"/>
  <c r="H46" i="25"/>
  <c r="G47" i="25"/>
  <c r="H47" i="25"/>
  <c r="G48" i="25"/>
  <c r="H48" i="25"/>
  <c r="G49" i="25"/>
  <c r="H49" i="25"/>
  <c r="G50" i="25"/>
  <c r="H50" i="25"/>
  <c r="G51" i="25"/>
  <c r="H51" i="25"/>
  <c r="G52" i="25"/>
  <c r="H52" i="25"/>
  <c r="G53" i="25"/>
  <c r="H53" i="25"/>
  <c r="G54" i="25"/>
  <c r="H54" i="25"/>
  <c r="G55" i="25"/>
  <c r="H55" i="25"/>
  <c r="G56" i="25"/>
  <c r="H56" i="25"/>
  <c r="G57" i="25"/>
  <c r="H57" i="25"/>
  <c r="G58" i="25"/>
  <c r="H58" i="25"/>
  <c r="G59" i="25"/>
  <c r="H59" i="25"/>
  <c r="G60" i="25"/>
  <c r="H60" i="25"/>
  <c r="G61" i="25"/>
  <c r="H61" i="25"/>
  <c r="G62" i="25"/>
  <c r="H62" i="25"/>
  <c r="G63" i="25"/>
  <c r="H63" i="25"/>
  <c r="G64" i="25"/>
  <c r="H64" i="25"/>
  <c r="G65" i="25"/>
  <c r="H65" i="25"/>
  <c r="G66" i="25"/>
  <c r="H66" i="25"/>
  <c r="G67" i="25"/>
  <c r="H67" i="25"/>
  <c r="G68" i="25"/>
  <c r="H68" i="25"/>
  <c r="G69" i="25"/>
  <c r="H69" i="25"/>
  <c r="G70" i="25"/>
  <c r="H70" i="25"/>
  <c r="G71" i="25"/>
  <c r="H71" i="25"/>
  <c r="G72" i="25"/>
  <c r="H72" i="25"/>
  <c r="G73" i="25"/>
  <c r="H73" i="25"/>
  <c r="G74" i="25"/>
  <c r="H74" i="25"/>
  <c r="G75" i="25"/>
  <c r="H75" i="25"/>
  <c r="G76" i="25"/>
  <c r="H76" i="25"/>
  <c r="G77" i="25"/>
  <c r="H77" i="25"/>
  <c r="G78" i="25"/>
  <c r="H78" i="25"/>
  <c r="G79" i="25"/>
  <c r="H79" i="25"/>
  <c r="G80" i="25"/>
  <c r="H80" i="25"/>
  <c r="G81" i="25"/>
  <c r="H81" i="25"/>
  <c r="G82" i="25"/>
  <c r="H82" i="25"/>
  <c r="G83" i="25"/>
  <c r="H83" i="25"/>
  <c r="G84" i="25"/>
  <c r="H84" i="25"/>
  <c r="G85" i="25"/>
  <c r="H85" i="25"/>
  <c r="G86" i="25"/>
  <c r="H86" i="25"/>
  <c r="G87" i="25"/>
  <c r="H87" i="25"/>
  <c r="G88" i="25"/>
  <c r="H88" i="25"/>
  <c r="G89" i="25"/>
  <c r="H89" i="25"/>
  <c r="G90" i="25"/>
  <c r="H90" i="25"/>
  <c r="G91" i="25"/>
  <c r="H91" i="25"/>
  <c r="G92" i="25"/>
  <c r="H92" i="25"/>
  <c r="G93" i="25"/>
  <c r="H93" i="25"/>
  <c r="G94" i="25"/>
  <c r="H94" i="25"/>
  <c r="G95" i="25"/>
  <c r="H95" i="25"/>
  <c r="G96" i="25"/>
  <c r="H96" i="25"/>
  <c r="G97" i="25"/>
  <c r="H97" i="25"/>
  <c r="G98" i="25"/>
  <c r="H98" i="25"/>
  <c r="G99" i="25"/>
  <c r="H99" i="25"/>
  <c r="G100" i="25"/>
  <c r="H100" i="25"/>
  <c r="G101" i="25"/>
  <c r="H101" i="25"/>
  <c r="G102" i="25"/>
  <c r="H102" i="25"/>
  <c r="G103" i="25"/>
  <c r="H103" i="25"/>
  <c r="G104" i="25"/>
  <c r="H104" i="25"/>
  <c r="G105" i="25"/>
  <c r="H105" i="25"/>
  <c r="G106" i="25"/>
  <c r="H106" i="25"/>
  <c r="G107" i="25"/>
  <c r="H107" i="25"/>
  <c r="G108" i="25"/>
  <c r="H108" i="25"/>
  <c r="G109" i="25"/>
  <c r="H109" i="25"/>
  <c r="G110" i="25"/>
  <c r="H110" i="25"/>
  <c r="G111" i="25"/>
  <c r="H111" i="25"/>
  <c r="G112" i="25"/>
  <c r="H112" i="25"/>
  <c r="G113" i="25"/>
  <c r="H113" i="25"/>
  <c r="G114" i="25"/>
  <c r="H114" i="25"/>
  <c r="G115" i="25"/>
  <c r="H115" i="25"/>
  <c r="G116" i="25"/>
  <c r="H116" i="25"/>
  <c r="G117" i="25"/>
  <c r="H117" i="25"/>
  <c r="G118" i="25"/>
  <c r="H118" i="25"/>
  <c r="G119" i="25"/>
  <c r="H119" i="25"/>
  <c r="G120" i="25"/>
  <c r="H120" i="25"/>
  <c r="G121" i="25"/>
  <c r="H121" i="25"/>
  <c r="G122" i="25"/>
  <c r="H122" i="25"/>
  <c r="G123" i="25"/>
  <c r="H123" i="25"/>
  <c r="G124" i="25"/>
  <c r="H124" i="25"/>
  <c r="G125" i="25"/>
  <c r="H125" i="25"/>
  <c r="G126" i="25"/>
  <c r="H126" i="25"/>
  <c r="G127" i="25"/>
  <c r="H127" i="25"/>
  <c r="G128" i="25"/>
  <c r="H128" i="25"/>
  <c r="G129" i="25"/>
  <c r="H129" i="25"/>
  <c r="G130" i="25"/>
  <c r="H130" i="25"/>
  <c r="G131" i="25"/>
  <c r="H131" i="25"/>
  <c r="G132" i="25"/>
  <c r="H132" i="25"/>
  <c r="G133" i="25"/>
  <c r="H133" i="25"/>
  <c r="G134" i="25"/>
  <c r="H134" i="25"/>
  <c r="G135" i="25"/>
  <c r="H135" i="25"/>
  <c r="G136" i="25"/>
  <c r="H136" i="25"/>
  <c r="G26" i="24"/>
  <c r="H26" i="24"/>
  <c r="G27" i="24"/>
  <c r="H27" i="24"/>
  <c r="G28" i="24"/>
  <c r="H28" i="24"/>
  <c r="G29" i="24"/>
  <c r="H29" i="24"/>
  <c r="G30" i="24"/>
  <c r="H30" i="24"/>
  <c r="G31" i="24"/>
  <c r="H31" i="24"/>
  <c r="G32" i="24"/>
  <c r="H32" i="24"/>
  <c r="G33" i="24"/>
  <c r="H33" i="24"/>
  <c r="G34" i="24"/>
  <c r="H34" i="24"/>
  <c r="G35" i="24"/>
  <c r="H35" i="24"/>
  <c r="G36" i="24"/>
  <c r="H36" i="24"/>
  <c r="G37" i="24"/>
  <c r="H37" i="24"/>
  <c r="G38" i="24"/>
  <c r="H38" i="24"/>
  <c r="G39" i="24"/>
  <c r="H39" i="24"/>
  <c r="G40" i="24"/>
  <c r="H40" i="24"/>
  <c r="G41" i="24"/>
  <c r="H41" i="24"/>
  <c r="G42" i="24"/>
  <c r="H42" i="24"/>
  <c r="G43" i="24"/>
  <c r="H43" i="24"/>
  <c r="G44" i="24"/>
  <c r="H44" i="24"/>
  <c r="G45" i="24"/>
  <c r="H45" i="24"/>
  <c r="G46" i="24"/>
  <c r="H46" i="24"/>
  <c r="G47" i="24"/>
  <c r="H47" i="24"/>
  <c r="G48" i="24"/>
  <c r="H48" i="24"/>
  <c r="G49" i="24"/>
  <c r="H49" i="24"/>
  <c r="G50" i="24"/>
  <c r="H50" i="24"/>
  <c r="G51" i="24"/>
  <c r="H51" i="24"/>
  <c r="G52" i="24"/>
  <c r="H52" i="24"/>
  <c r="G53" i="24"/>
  <c r="H53" i="24"/>
  <c r="G54" i="24"/>
  <c r="H54" i="24"/>
  <c r="G55" i="24"/>
  <c r="H55" i="24"/>
  <c r="G56" i="24"/>
  <c r="H56" i="24"/>
  <c r="G57" i="24"/>
  <c r="H57" i="24"/>
  <c r="G58" i="24"/>
  <c r="H58" i="24"/>
  <c r="G59" i="24"/>
  <c r="H59" i="24"/>
  <c r="G60" i="24"/>
  <c r="H60" i="24"/>
  <c r="G61" i="24"/>
  <c r="H61" i="24"/>
  <c r="G62" i="24"/>
  <c r="H62" i="24"/>
  <c r="G63" i="24"/>
  <c r="H63" i="24"/>
  <c r="G64" i="24"/>
  <c r="H64" i="24"/>
  <c r="G65" i="24"/>
  <c r="H65" i="24"/>
  <c r="G66" i="24"/>
  <c r="H66" i="24"/>
  <c r="G67" i="24"/>
  <c r="H67" i="24"/>
  <c r="G68" i="24"/>
  <c r="H68" i="24"/>
  <c r="G69" i="24"/>
  <c r="H69" i="24"/>
  <c r="G70" i="24"/>
  <c r="H70" i="24"/>
  <c r="G71" i="24"/>
  <c r="H71" i="24"/>
  <c r="G72" i="24"/>
  <c r="H72" i="24"/>
  <c r="G73" i="24"/>
  <c r="H73" i="24"/>
  <c r="G74" i="24"/>
  <c r="H74" i="24"/>
  <c r="G75" i="24"/>
  <c r="H75" i="24"/>
  <c r="G76" i="24"/>
  <c r="H76" i="24"/>
  <c r="G77" i="24"/>
  <c r="H77" i="24"/>
  <c r="G78" i="24"/>
  <c r="H78" i="24"/>
  <c r="G79" i="24"/>
  <c r="H79" i="24"/>
  <c r="G80" i="24"/>
  <c r="H80" i="24"/>
  <c r="G81" i="24"/>
  <c r="H81" i="24"/>
  <c r="G82" i="24"/>
  <c r="H82" i="24"/>
  <c r="G83" i="24"/>
  <c r="H83" i="24"/>
  <c r="G84" i="24"/>
  <c r="H84" i="24"/>
  <c r="G85" i="24"/>
  <c r="H85" i="24"/>
  <c r="G86" i="24"/>
  <c r="H86" i="24"/>
  <c r="G87" i="24"/>
  <c r="H87" i="24"/>
  <c r="G88" i="24"/>
  <c r="H88" i="24"/>
  <c r="G89" i="24"/>
  <c r="H89" i="24"/>
  <c r="G90" i="24"/>
  <c r="H90" i="24"/>
  <c r="G91" i="24"/>
  <c r="H91" i="24"/>
  <c r="G92" i="24"/>
  <c r="H92" i="24"/>
  <c r="G93" i="24"/>
  <c r="H93" i="24"/>
  <c r="G94" i="24"/>
  <c r="H94" i="24"/>
  <c r="G95" i="24"/>
  <c r="H95" i="24"/>
  <c r="G96" i="24"/>
  <c r="H96" i="24"/>
  <c r="G97" i="24"/>
  <c r="H97" i="24"/>
  <c r="G98" i="24"/>
  <c r="H98" i="24"/>
  <c r="G99" i="24"/>
  <c r="H99" i="24"/>
  <c r="G100" i="24"/>
  <c r="H100" i="24"/>
  <c r="G101" i="24"/>
  <c r="H101" i="24"/>
  <c r="G102" i="24"/>
  <c r="H102" i="24"/>
  <c r="G103" i="24"/>
  <c r="H103" i="24"/>
  <c r="G104" i="24"/>
  <c r="H104" i="24"/>
  <c r="G105" i="24"/>
  <c r="H105" i="24"/>
  <c r="G106" i="24"/>
  <c r="H106" i="24"/>
  <c r="G107" i="24"/>
  <c r="H107" i="24"/>
  <c r="G108" i="24"/>
  <c r="H108" i="24"/>
  <c r="G109" i="24"/>
  <c r="H109" i="24"/>
  <c r="G110" i="24"/>
  <c r="H110" i="24"/>
  <c r="G111" i="24"/>
  <c r="H111" i="24"/>
  <c r="G112" i="24"/>
  <c r="H112" i="24"/>
  <c r="G113" i="24"/>
  <c r="H113" i="24"/>
  <c r="G114" i="24"/>
  <c r="H114" i="24"/>
  <c r="G115" i="24"/>
  <c r="H115" i="24"/>
  <c r="G116" i="24"/>
  <c r="H116" i="24"/>
  <c r="G117" i="24"/>
  <c r="H117" i="24"/>
  <c r="G118" i="24"/>
  <c r="H118" i="24"/>
  <c r="G119" i="24"/>
  <c r="H119" i="24"/>
  <c r="G120" i="24"/>
  <c r="H120" i="24"/>
  <c r="G121" i="24"/>
  <c r="H121" i="24"/>
  <c r="G122" i="24"/>
  <c r="H122" i="24"/>
  <c r="G123" i="24"/>
  <c r="H123" i="24"/>
  <c r="G124" i="24"/>
  <c r="H124" i="24"/>
  <c r="G125" i="24"/>
  <c r="H125" i="24"/>
  <c r="G126" i="24"/>
  <c r="H126" i="24"/>
  <c r="G127" i="24"/>
  <c r="H127" i="24"/>
  <c r="G128" i="24"/>
  <c r="H128" i="24"/>
  <c r="G129" i="24"/>
  <c r="H129" i="24"/>
  <c r="G130" i="24"/>
  <c r="H130" i="24"/>
  <c r="G131" i="24"/>
  <c r="H131" i="24"/>
  <c r="G132" i="24"/>
  <c r="H132" i="24"/>
  <c r="G133" i="24"/>
  <c r="H133" i="24"/>
  <c r="G134" i="24"/>
  <c r="H134" i="24"/>
  <c r="G135" i="24"/>
  <c r="H135" i="24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2" i="14"/>
  <c r="H27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I3" i="11"/>
  <c r="E41" i="11"/>
  <c r="E42" i="11"/>
  <c r="E7" i="11"/>
  <c r="E17" i="11"/>
  <c r="Q51" i="11"/>
  <c r="E23" i="11" s="1"/>
  <c r="Q32" i="11"/>
  <c r="C28" i="11" s="1"/>
  <c r="Q33" i="11"/>
  <c r="C29" i="11" s="1"/>
  <c r="Q34" i="11"/>
  <c r="C30" i="11" s="1"/>
  <c r="Q35" i="11"/>
  <c r="C7" i="11" s="1"/>
  <c r="Q36" i="11"/>
  <c r="E8" i="11" s="1"/>
  <c r="Q37" i="11"/>
  <c r="E9" i="11" s="1"/>
  <c r="Q38" i="11"/>
  <c r="E10" i="11" s="1"/>
  <c r="Q39" i="11"/>
  <c r="G11" i="11" s="1"/>
  <c r="Q40" i="11"/>
  <c r="G12" i="11" s="1"/>
  <c r="Q41" i="11"/>
  <c r="D13" i="11" s="1"/>
  <c r="Q42" i="11"/>
  <c r="C38" i="11" s="1"/>
  <c r="Q43" i="11"/>
  <c r="C39" i="11" s="1"/>
  <c r="Q44" i="11"/>
  <c r="C40" i="11" s="1"/>
  <c r="Q45" i="11"/>
  <c r="C17" i="11" s="1"/>
  <c r="Q46" i="11"/>
  <c r="E18" i="11" s="1"/>
  <c r="Q47" i="11"/>
  <c r="E19" i="11" s="1"/>
  <c r="Q48" i="11"/>
  <c r="E20" i="11" s="1"/>
  <c r="Q49" i="11"/>
  <c r="G21" i="11" s="1"/>
  <c r="Q50" i="11"/>
  <c r="C22" i="11" s="1"/>
  <c r="Q31" i="11"/>
  <c r="C27" i="11" s="1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10" i="10"/>
  <c r="F30" i="8"/>
  <c r="F45" i="8"/>
  <c r="F47" i="8"/>
  <c r="F48" i="8"/>
  <c r="F49" i="8"/>
  <c r="F50" i="8"/>
  <c r="F46" i="8"/>
  <c r="F44" i="8"/>
  <c r="F32" i="8"/>
  <c r="F33" i="8"/>
  <c r="F34" i="8"/>
  <c r="F35" i="8"/>
  <c r="F36" i="8"/>
  <c r="F37" i="8"/>
  <c r="F38" i="8"/>
  <c r="F39" i="8"/>
  <c r="F40" i="8"/>
  <c r="F41" i="8"/>
  <c r="F42" i="8"/>
  <c r="F43" i="8"/>
  <c r="F31" i="8"/>
  <c r="E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30" i="8"/>
  <c r="E5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J38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56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29" i="6"/>
  <c r="J30" i="6"/>
  <c r="J31" i="6"/>
  <c r="J32" i="6"/>
  <c r="J33" i="6"/>
  <c r="J34" i="6"/>
  <c r="J35" i="6"/>
  <c r="J37" i="6"/>
  <c r="J39" i="6"/>
  <c r="J40" i="6"/>
  <c r="J41" i="6"/>
  <c r="J42" i="6"/>
  <c r="J43" i="6"/>
  <c r="J44" i="6"/>
  <c r="J45" i="6"/>
  <c r="J46" i="6"/>
  <c r="J47" i="6"/>
  <c r="J48" i="6"/>
  <c r="J49" i="6"/>
  <c r="J50" i="6"/>
  <c r="J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F32" i="11" l="1"/>
  <c r="F33" i="11"/>
  <c r="D42" i="11"/>
  <c r="F31" i="11"/>
  <c r="D39" i="11"/>
  <c r="G41" i="11"/>
  <c r="C34" i="11"/>
  <c r="D32" i="11"/>
  <c r="D31" i="11"/>
  <c r="F34" i="11"/>
  <c r="C33" i="11"/>
  <c r="C31" i="11"/>
  <c r="D17" i="11"/>
  <c r="E43" i="11"/>
  <c r="F45" i="11"/>
  <c r="G35" i="11"/>
  <c r="D44" i="11"/>
  <c r="G19" i="11"/>
  <c r="F44" i="11"/>
  <c r="G34" i="11"/>
  <c r="G20" i="11"/>
  <c r="G18" i="11"/>
  <c r="D35" i="11"/>
  <c r="F43" i="11"/>
  <c r="G33" i="11"/>
  <c r="D45" i="11"/>
  <c r="G17" i="11"/>
  <c r="D34" i="11"/>
  <c r="F42" i="11"/>
  <c r="G32" i="11"/>
  <c r="C35" i="11"/>
  <c r="D33" i="11"/>
  <c r="F41" i="11"/>
  <c r="G31" i="11"/>
  <c r="E16" i="11"/>
  <c r="E40" i="11"/>
  <c r="E15" i="11"/>
  <c r="F30" i="11"/>
  <c r="C6" i="11"/>
  <c r="H6" i="11" s="1"/>
  <c r="I6" i="11" s="1"/>
  <c r="E6" i="11"/>
  <c r="G16" i="11"/>
  <c r="D43" i="11"/>
  <c r="D30" i="11"/>
  <c r="E34" i="11"/>
  <c r="G45" i="11"/>
  <c r="F15" i="11"/>
  <c r="E29" i="11"/>
  <c r="E39" i="11"/>
  <c r="D6" i="11"/>
  <c r="G40" i="11"/>
  <c r="G39" i="11"/>
  <c r="C16" i="11"/>
  <c r="C15" i="11"/>
  <c r="F29" i="11"/>
  <c r="F18" i="11"/>
  <c r="G6" i="11"/>
  <c r="D41" i="11"/>
  <c r="E45" i="11"/>
  <c r="E32" i="11"/>
  <c r="F39" i="11"/>
  <c r="G43" i="11"/>
  <c r="G30" i="11"/>
  <c r="F16" i="11"/>
  <c r="E30" i="11"/>
  <c r="D5" i="11"/>
  <c r="E35" i="11"/>
  <c r="C5" i="11"/>
  <c r="E5" i="11"/>
  <c r="G15" i="11"/>
  <c r="D29" i="11"/>
  <c r="E33" i="11"/>
  <c r="F40" i="11"/>
  <c r="G44" i="11"/>
  <c r="D16" i="11"/>
  <c r="F17" i="11"/>
  <c r="G5" i="11"/>
  <c r="D40" i="11"/>
  <c r="E44" i="11"/>
  <c r="E31" i="11"/>
  <c r="F35" i="11"/>
  <c r="G42" i="11"/>
  <c r="G29" i="11"/>
  <c r="D27" i="11"/>
  <c r="C47" i="11"/>
  <c r="C45" i="11"/>
  <c r="C44" i="11"/>
  <c r="F8" i="11"/>
  <c r="C43" i="11"/>
  <c r="C41" i="11"/>
  <c r="E38" i="11"/>
  <c r="D15" i="11"/>
  <c r="F20" i="11"/>
  <c r="F6" i="11"/>
  <c r="G8" i="11"/>
  <c r="C37" i="11"/>
  <c r="D47" i="11"/>
  <c r="D37" i="11"/>
  <c r="E47" i="11"/>
  <c r="E37" i="11"/>
  <c r="F47" i="11"/>
  <c r="F37" i="11"/>
  <c r="G47" i="11"/>
  <c r="G37" i="11"/>
  <c r="C46" i="11"/>
  <c r="F10" i="11"/>
  <c r="G27" i="11"/>
  <c r="F9" i="11"/>
  <c r="F27" i="11"/>
  <c r="G10" i="11"/>
  <c r="E27" i="11"/>
  <c r="F7" i="11"/>
  <c r="G9" i="11"/>
  <c r="D38" i="11"/>
  <c r="D28" i="11"/>
  <c r="E28" i="11"/>
  <c r="F38" i="11"/>
  <c r="F28" i="11"/>
  <c r="G38" i="11"/>
  <c r="G28" i="11"/>
  <c r="D7" i="11"/>
  <c r="F19" i="11"/>
  <c r="F5" i="11"/>
  <c r="G7" i="11"/>
  <c r="C36" i="11"/>
  <c r="D46" i="11"/>
  <c r="D36" i="11"/>
  <c r="E46" i="11"/>
  <c r="E36" i="11"/>
  <c r="F46" i="11"/>
  <c r="F36" i="11"/>
  <c r="G46" i="11"/>
  <c r="G36" i="11"/>
  <c r="D3" i="11"/>
  <c r="E4" i="11"/>
  <c r="D23" i="11"/>
  <c r="E3" i="11"/>
  <c r="C21" i="11"/>
  <c r="C11" i="11"/>
  <c r="D22" i="11"/>
  <c r="D12" i="11"/>
  <c r="E22" i="11"/>
  <c r="E12" i="11"/>
  <c r="F3" i="11"/>
  <c r="C42" i="11"/>
  <c r="C32" i="11"/>
  <c r="C14" i="11"/>
  <c r="D4" i="11"/>
  <c r="C20" i="11"/>
  <c r="C10" i="11"/>
  <c r="D21" i="11"/>
  <c r="D11" i="11"/>
  <c r="E21" i="11"/>
  <c r="E11" i="11"/>
  <c r="G3" i="11"/>
  <c r="F14" i="11"/>
  <c r="F4" i="11"/>
  <c r="G14" i="11"/>
  <c r="G4" i="11"/>
  <c r="C23" i="11"/>
  <c r="E14" i="11"/>
  <c r="C12" i="11"/>
  <c r="E13" i="11"/>
  <c r="C19" i="11"/>
  <c r="C9" i="11"/>
  <c r="D20" i="11"/>
  <c r="D10" i="11"/>
  <c r="F23" i="11"/>
  <c r="F13" i="11"/>
  <c r="G23" i="11"/>
  <c r="G13" i="11"/>
  <c r="C13" i="11"/>
  <c r="C18" i="11"/>
  <c r="C8" i="11"/>
  <c r="D19" i="11"/>
  <c r="D9" i="11"/>
  <c r="F22" i="11"/>
  <c r="F12" i="11"/>
  <c r="G22" i="11"/>
  <c r="C3" i="11"/>
  <c r="H3" i="11" s="1"/>
  <c r="C4" i="11"/>
  <c r="D14" i="11"/>
  <c r="D18" i="11"/>
  <c r="D8" i="11"/>
  <c r="F21" i="11"/>
  <c r="F11" i="11"/>
  <c r="H17" i="11" l="1"/>
  <c r="I17" i="11" s="1"/>
  <c r="H15" i="11"/>
  <c r="I15" i="11" s="1"/>
  <c r="H16" i="11"/>
  <c r="I16" i="11" s="1"/>
  <c r="H7" i="11"/>
  <c r="I7" i="11" s="1"/>
  <c r="H5" i="11"/>
  <c r="I5" i="11" s="1"/>
  <c r="H8" i="11"/>
  <c r="I8" i="11" s="1"/>
  <c r="H12" i="11"/>
  <c r="I12" i="11" s="1"/>
  <c r="H4" i="11"/>
  <c r="I4" i="11" s="1"/>
  <c r="H23" i="11"/>
  <c r="I23" i="11" s="1"/>
  <c r="H20" i="11"/>
  <c r="I20" i="11" s="1"/>
  <c r="H10" i="11"/>
  <c r="I10" i="11" s="1"/>
  <c r="H13" i="11"/>
  <c r="I13" i="11" s="1"/>
  <c r="H22" i="11"/>
  <c r="I22" i="11" s="1"/>
  <c r="H21" i="11"/>
  <c r="I21" i="11" s="1"/>
  <c r="H9" i="11"/>
  <c r="I9" i="11" s="1"/>
  <c r="H14" i="11"/>
  <c r="I14" i="11" s="1"/>
  <c r="H19" i="11"/>
  <c r="I19" i="11" s="1"/>
  <c r="H11" i="11"/>
  <c r="I11" i="11" s="1"/>
  <c r="H18" i="11"/>
  <c r="I18" i="11" s="1"/>
</calcChain>
</file>

<file path=xl/sharedStrings.xml><?xml version="1.0" encoding="utf-8"?>
<sst xmlns="http://schemas.openxmlformats.org/spreadsheetml/2006/main" count="1661" uniqueCount="144">
  <si>
    <t>Equivalised disposable income group</t>
  </si>
  <si>
    <t>Total</t>
  </si>
  <si>
    <t>· 
First quintile</t>
  </si>
  <si>
    <t>· 
Second quintile</t>
  </si>
  <si>
    <t>· 
Third quintile</t>
  </si>
  <si>
    <t>· 
Fourth quintile</t>
  </si>
  <si>
    <t>· 
Fifth quintile</t>
  </si>
  <si>
    <t>Time period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</si>
  <si>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</si>
  <si>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</si>
  <si>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</si>
  <si>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</si>
  <si>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</si>
  <si>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</si>
  <si>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</si>
  <si>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</si>
  <si>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</si>
  <si>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</si>
  <si>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</si>
  <si>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</si>
  <si>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</si>
  <si>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</si>
  <si>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</si>
  <si>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</si>
  <si>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</si>
  <si>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</si>
  <si>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</si>
  <si>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</si>
  <si>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</si>
  <si>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</si>
  <si>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Transaction</t>
  </si>
  <si>
    <t>Combined unit of measure</t>
  </si>
  <si>
    <t/>
  </si>
  <si>
    <t>Balance of primary incomes, gross / National income, gross</t>
  </si>
  <si>
    <t>National currency</t>
  </si>
  <si>
    <t>Disposable income, gross</t>
  </si>
  <si>
    <t>Quintile</t>
  </si>
  <si>
    <t>Number</t>
  </si>
  <si>
    <t>All quintiles</t>
  </si>
  <si>
    <t>Lowest quintile 1</t>
  </si>
  <si>
    <t>Second quintile 1</t>
  </si>
  <si>
    <t>Third quintile 1</t>
  </si>
  <si>
    <t>Fourth quintile 1</t>
  </si>
  <si>
    <t>Highest quintile 1</t>
  </si>
  <si>
    <t>Year</t>
  </si>
  <si>
    <t xml:space="preserve">Fourth quintile </t>
  </si>
  <si>
    <t xml:space="preserve">Highest quintile </t>
  </si>
  <si>
    <t xml:space="preserve">Third quintile </t>
  </si>
  <si>
    <t xml:space="preserve">Second quintile </t>
  </si>
  <si>
    <t xml:space="preserve">Lowest quintile </t>
  </si>
  <si>
    <t>First Quintile</t>
  </si>
  <si>
    <t xml:space="preserve">Households-&gt; </t>
  </si>
  <si>
    <t>For Primary Income (in thousands of dollars)</t>
  </si>
  <si>
    <t>For Disposable Income (in thousands of dollars)</t>
  </si>
  <si>
    <t>Distributions of household economic accounts, number of households, by income quintile and by socio-demographic characteristic</t>
  </si>
  <si>
    <t>Frequency: Annual</t>
  </si>
  <si>
    <t>Table: 36-10-0101-01 (formerly CANSIM 378-0156)</t>
  </si>
  <si>
    <t>Release date: 2025-04-14</t>
  </si>
  <si>
    <t>Geography: Canada</t>
  </si>
  <si>
    <t>Socio-demographic characteristics</t>
  </si>
  <si>
    <t>All households</t>
  </si>
  <si>
    <t>Geography</t>
  </si>
  <si>
    <t>Canada</t>
  </si>
  <si>
    <t>Footnotes:</t>
  </si>
  <si>
    <t>Income quintiles are assigned based on equivalized household disposable income, which takes into account differences in household size and composition using a method proposed by the Organization for Economic Co-operation and Development (OECD). The OECD-modified" equivalence scale assigns a value of 1 to the first adult</t>
  </si>
  <si>
    <t xml:space="preserve"> 0.5 to each additional person aged 14 and over</t>
  </si>
  <si>
    <t xml:space="preserve"> and 0.3 for all children under 14."</t>
  </si>
  <si>
    <t>How to cite: Statistics Canada. Table 36-10-0101-01  Distributions of household economic accounts, number of households, by income quintile and by socio-demographic characteristic</t>
  </si>
  <si>
    <t>https://www150.statcan.gc.ca/t1/tbl1/en/tv.action?pid=3610010101</t>
  </si>
  <si>
    <t>Personal income tax - central government rates and thresholds for a single person at 100% of average wage without dependents</t>
  </si>
  <si>
    <t>Reference area: Canada</t>
  </si>
  <si>
    <t>Frequency of observation: Annual</t>
  </si>
  <si>
    <t>Measure: Personal income tax</t>
  </si>
  <si>
    <t>Institutional sector: Central government</t>
  </si>
  <si>
    <t>Civil status: Single person</t>
  </si>
  <si>
    <t>Household type: Single person, no children</t>
  </si>
  <si>
    <t>Earnings of the principal: 100% of average wage</t>
  </si>
  <si>
    <t>Level</t>
  </si>
  <si>
    <t>Not applicable</t>
  </si>
  <si>
    <t>1</t>
  </si>
  <si>
    <t>2</t>
  </si>
  <si>
    <t>3</t>
  </si>
  <si>
    <t>4</t>
  </si>
  <si>
    <t>5</t>
  </si>
  <si>
    <t>Tax credit</t>
  </si>
  <si>
    <t>Surtax rate</t>
  </si>
  <si>
    <t>Marginal rate</t>
  </si>
  <si>
    <t>Income threshold</t>
  </si>
  <si>
    <t>Percentage of taxable income</t>
  </si>
  <si>
    <t xml:space="preserve">© Terms &amp; conditions </t>
  </si>
  <si>
    <t>Tax Liability Amount</t>
  </si>
  <si>
    <t>Tax Liability</t>
  </si>
  <si>
    <t>Primary Income</t>
  </si>
  <si>
    <t>Tau_it= Tax Liability/Primary Income</t>
  </si>
  <si>
    <t>Average</t>
  </si>
  <si>
    <t xml:space="preserve">SUM Check </t>
  </si>
  <si>
    <t>SUMMATION</t>
  </si>
  <si>
    <t>Incomes Shares = 1 Check</t>
  </si>
  <si>
    <t>Equation 20 Computation</t>
  </si>
  <si>
    <t>Tau_bar_t</t>
  </si>
  <si>
    <t>Comparative tables of countries in the global database</t>
  </si>
  <si>
    <t>Tax category: Total tax revenue</t>
  </si>
  <si>
    <t>Unit of measure: Percentage of GDP</t>
  </si>
  <si>
    <t>Institutional sector</t>
  </si>
  <si>
    <t>Total economy</t>
  </si>
  <si>
    <t>·  General government</t>
  </si>
  <si>
    <t>Time</t>
  </si>
  <si>
    <t>Taxes</t>
  </si>
  <si>
    <r>
      <t xml:space="preserve">Primary Income Shares for </t>
    </r>
    <r>
      <rPr>
        <b/>
        <sz val="12"/>
        <color rgb="FF000000"/>
        <rFont val="Aptos Narrow"/>
      </rPr>
      <t>each year</t>
    </r>
    <r>
      <rPr>
        <sz val="12"/>
        <color rgb="FF000000"/>
        <rFont val="Aptos Narrow"/>
        <family val="2"/>
      </rPr>
      <t xml:space="preserve"> (from income group 1 to 5)  </t>
    </r>
  </si>
  <si>
    <r>
      <t xml:space="preserve">Disposable Income Shares for </t>
    </r>
    <r>
      <rPr>
        <b/>
        <sz val="12"/>
        <color rgb="FF000000"/>
        <rFont val="Aptos Narrow"/>
      </rPr>
      <t>each year</t>
    </r>
    <r>
      <rPr>
        <sz val="12"/>
        <color rgb="FF000000"/>
        <rFont val="Aptos Narrow"/>
        <family val="2"/>
      </rPr>
      <t xml:space="preserve"> (from income group 1 to 5)  </t>
    </r>
  </si>
  <si>
    <t>Ratio of Disposable Income Share to Primary Income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</si>
  <si>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</si>
  <si>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</si>
  <si>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</si>
  <si>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</si>
  <si>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</si>
  <si>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</si>
  <si>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</si>
  <si>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</si>
  <si>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</si>
  <si>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</si>
  <si>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</si>
  <si>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</si>
  <si>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</si>
  <si>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</si>
  <si>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</si>
  <si>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</si>
  <si>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</si>
  <si>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</si>
  <si>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</si>
  <si>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</si>
  <si>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</si>
  <si>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</si>
  <si>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</si>
  <si>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 xml:space="preserve">Disposable Income Shares </t>
  </si>
  <si>
    <t xml:space="preserve">Primary Income Shares </t>
  </si>
  <si>
    <t>LN of LHS of the equation</t>
  </si>
  <si>
    <t>LN of Primary Income Shares</t>
  </si>
  <si>
    <t>Primary Income Shares</t>
  </si>
  <si>
    <t>Second Quintile</t>
  </si>
  <si>
    <t>Third Quintile</t>
  </si>
  <si>
    <t>Fourth Quintile</t>
  </si>
  <si>
    <t>Fifth Quintile</t>
  </si>
  <si>
    <t>LHS of the equation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</si>
</sst>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#,##0.0"/>
    <numFmt numFmtId="166" formatCode="#,##0.0000"/>
    <numFmt numFmtId="167" formatCode="0.000"/>
  </numFmts>
  <fonts count="56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  <font>
      <sz val="12"/>
      <color rgb="FF000000"/>
      <name val="Aptos Narrow"/>
      <family val="2"/>
    </font>
    <font>
      <b/>
      <sz val="12"/>
      <color rgb="FF000000"/>
      <name val="Aptos Narrow"/>
    </font>
    <font>
      <i/>
      <sz val="11"/>
      <color theme="1"/>
      <name val="Calibri"/>
      <family val="2"/>
      <scheme val="minor"/>
    </font>
  </fonts>
  <fills count="556">
    <fill>
      <patternFill patternType="none"/>
    </fill>
    <fill>
      <patternFill patternType="gray125"/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553" borderId="551"/>
  </cellStyleXfs>
  <cellXfs count="709">
    <xf numFmtId="0" fontId="0" fillId="0" borderId="0" xfId="0"/>
    <xf numFmtId="0" fontId="115" fillId="112" borderId="111" xfId="0" applyFont="1" applyFill="1" applyBorder="1" applyAlignment="1">
      <alignment horizontal="center" vertical="top" wrapText="1" readingOrder="1"/>
    </xf>
    <xf numFmtId="0" fontId="116" fillId="113" borderId="112" xfId="0" applyFont="1" applyFill="1" applyBorder="1" applyAlignment="1">
      <alignment horizontal="center" vertical="top" wrapText="1" readingOrder="1"/>
    </xf>
    <xf numFmtId="0" fontId="117" fillId="114" borderId="113" xfId="0" applyFont="1" applyFill="1" applyBorder="1" applyAlignment="1">
      <alignment horizontal="center" vertical="top" wrapText="1" readingOrder="1"/>
    </xf>
    <xf numFmtId="0" fontId="118" fillId="115" borderId="114" xfId="0" applyFont="1" applyFill="1" applyBorder="1" applyAlignment="1">
      <alignment horizontal="center" vertical="top" wrapText="1" readingOrder="1"/>
    </xf>
    <xf numFmtId="0" fontId="119" fillId="116" borderId="115" xfId="0" applyFont="1" applyFill="1" applyBorder="1" applyAlignment="1">
      <alignment horizontal="center" vertical="top" wrapText="1" readingOrder="1"/>
    </xf>
    <xf numFmtId="0" fontId="120" fillId="117" borderId="116" xfId="0" applyFont="1" applyFill="1" applyBorder="1" applyAlignment="1">
      <alignment horizontal="center" vertical="top" wrapText="1" readingOrder="1"/>
    </xf>
    <xf numFmtId="0" fontId="121" fillId="118" borderId="117" xfId="0" applyFont="1" applyFill="1" applyBorder="1" applyAlignment="1">
      <alignment horizontal="center" vertical="top" wrapText="1" readingOrder="1"/>
    </xf>
    <xf numFmtId="0" fontId="122" fillId="119" borderId="118" xfId="0" applyFont="1" applyFill="1" applyBorder="1" applyAlignment="1">
      <alignment horizontal="center" vertical="top" wrapText="1" readingOrder="1"/>
    </xf>
    <xf numFmtId="0" fontId="123" fillId="120" borderId="119" xfId="0" applyFont="1" applyFill="1" applyBorder="1" applyAlignment="1">
      <alignment horizontal="center" vertical="top" wrapText="1" readingOrder="1"/>
    </xf>
    <xf numFmtId="0" fontId="124" fillId="121" borderId="120" xfId="0" applyFont="1" applyFill="1" applyBorder="1" applyAlignment="1">
      <alignment horizontal="center" vertical="top" wrapText="1" readingOrder="1"/>
    </xf>
    <xf numFmtId="0" fontId="125" fillId="122" borderId="121" xfId="0" applyFont="1" applyFill="1" applyBorder="1" applyAlignment="1">
      <alignment horizontal="center" vertical="top" wrapText="1" readingOrder="1"/>
    </xf>
    <xf numFmtId="0" fontId="126" fillId="123" borderId="122" xfId="0" applyFont="1" applyFill="1" applyBorder="1" applyAlignment="1">
      <alignment horizontal="center" vertical="top" wrapText="1" readingOrder="1"/>
    </xf>
    <xf numFmtId="0" fontId="127" fillId="124" borderId="123" xfId="0" applyFont="1" applyFill="1" applyBorder="1" applyAlignment="1">
      <alignment horizontal="center" vertical="top" wrapText="1" readingOrder="1"/>
    </xf>
    <xf numFmtId="0" fontId="128" fillId="125" borderId="124" xfId="0" applyFont="1" applyFill="1" applyBorder="1" applyAlignment="1">
      <alignment horizontal="center" vertical="top" wrapText="1" readingOrder="1"/>
    </xf>
    <xf numFmtId="0" fontId="129" fillId="126" borderId="125" xfId="0" applyFont="1" applyFill="1" applyBorder="1" applyAlignment="1">
      <alignment horizontal="center" vertical="top" wrapText="1" readingOrder="1"/>
    </xf>
    <xf numFmtId="0" fontId="130" fillId="127" borderId="126" xfId="0" applyFont="1" applyFill="1" applyBorder="1" applyAlignment="1">
      <alignment horizontal="center" vertical="top" wrapText="1" readingOrder="1"/>
    </xf>
    <xf numFmtId="0" fontId="131" fillId="128" borderId="127" xfId="0" applyFont="1" applyFill="1" applyBorder="1" applyAlignment="1">
      <alignment horizontal="center" vertical="top" wrapText="1" readingOrder="1"/>
    </xf>
    <xf numFmtId="0" fontId="132" fillId="129" borderId="128" xfId="0" applyFont="1" applyFill="1" applyBorder="1" applyAlignment="1">
      <alignment horizontal="center" vertical="top" wrapText="1" readingOrder="1"/>
    </xf>
    <xf numFmtId="0" fontId="133" fillId="130" borderId="129" xfId="0" applyFont="1" applyFill="1" applyBorder="1" applyAlignment="1">
      <alignment horizontal="center" vertical="top" wrapText="1" readingOrder="1"/>
    </xf>
    <xf numFmtId="0" fontId="134" fillId="131" borderId="130" xfId="0" applyFont="1" applyFill="1" applyBorder="1" applyAlignment="1">
      <alignment horizontal="center" vertical="top" wrapText="1" readingOrder="1"/>
    </xf>
    <xf numFmtId="0" fontId="135" fillId="132" borderId="131" xfId="0" applyFont="1" applyFill="1" applyBorder="1" applyAlignment="1">
      <alignment horizontal="center" vertical="top" wrapText="1" readingOrder="1"/>
    </xf>
    <xf numFmtId="0" fontId="136" fillId="133" borderId="132" xfId="0" applyFont="1" applyFill="1" applyBorder="1" applyAlignment="1">
      <alignment horizontal="center" vertical="top" wrapText="1" readingOrder="1"/>
    </xf>
    <xf numFmtId="0" fontId="137" fillId="134" borderId="133" xfId="0" applyFont="1" applyFill="1" applyBorder="1" applyAlignment="1">
      <alignment horizontal="center" vertical="top" wrapText="1" readingOrder="1"/>
    </xf>
    <xf numFmtId="0" fontId="138" fillId="135" borderId="134" xfId="0" applyFont="1" applyFill="1" applyBorder="1" applyAlignment="1">
      <alignment horizontal="center" vertical="top" wrapText="1" readingOrder="1"/>
    </xf>
    <xf numFmtId="0" fontId="139" fillId="136" borderId="135" xfId="0" applyFont="1" applyFill="1" applyBorder="1" applyAlignment="1">
      <alignment horizontal="center" vertical="top" wrapText="1" readingOrder="1"/>
    </xf>
    <xf numFmtId="0" fontId="140" fillId="137" borderId="136" xfId="0" applyFont="1" applyFill="1" applyBorder="1" applyAlignment="1">
      <alignment horizontal="center" vertical="top" wrapText="1" readingOrder="1"/>
    </xf>
    <xf numFmtId="0" fontId="141" fillId="138" borderId="137" xfId="0" applyFont="1" applyFill="1" applyBorder="1" applyAlignment="1">
      <alignment horizontal="center" vertical="top" wrapText="1" readingOrder="1"/>
    </xf>
    <xf numFmtId="0" fontId="142" fillId="139" borderId="138" xfId="0" applyFont="1" applyFill="1" applyBorder="1" applyAlignment="1">
      <alignment horizontal="center" vertical="top" wrapText="1" readingOrder="1"/>
    </xf>
    <xf numFmtId="0" fontId="143" fillId="140" borderId="139" xfId="0" applyFont="1" applyFill="1" applyBorder="1" applyAlignment="1">
      <alignment horizontal="center" vertical="top" wrapText="1" readingOrder="1"/>
    </xf>
    <xf numFmtId="0" fontId="144" fillId="141" borderId="140" xfId="0" applyFont="1" applyFill="1" applyBorder="1" applyAlignment="1">
      <alignment horizontal="center" vertical="top" wrapText="1" readingOrder="1"/>
    </xf>
    <xf numFmtId="0" fontId="145" fillId="142" borderId="141" xfId="0" applyFont="1" applyFill="1" applyBorder="1" applyAlignment="1">
      <alignment horizontal="center" vertical="top" wrapText="1" readingOrder="1"/>
    </xf>
    <xf numFmtId="0" fontId="146" fillId="143" borderId="142" xfId="0" applyFont="1" applyFill="1" applyBorder="1" applyAlignment="1">
      <alignment horizontal="center" vertical="top" wrapText="1" readingOrder="1"/>
    </xf>
    <xf numFmtId="0" fontId="147" fillId="144" borderId="143" xfId="0" applyFont="1" applyFill="1" applyBorder="1" applyAlignment="1">
      <alignment horizontal="center" vertical="top" wrapText="1" readingOrder="1"/>
    </xf>
    <xf numFmtId="0" fontId="148" fillId="145" borderId="144" xfId="0" applyFont="1" applyFill="1" applyBorder="1" applyAlignment="1">
      <alignment horizontal="center" vertical="top" wrapText="1" readingOrder="1"/>
    </xf>
    <xf numFmtId="0" fontId="149" fillId="146" borderId="145" xfId="0" applyFont="1" applyFill="1" applyBorder="1" applyAlignment="1">
      <alignment horizontal="center" vertical="top" wrapText="1" readingOrder="1"/>
    </xf>
    <xf numFmtId="0" fontId="150" fillId="147" borderId="146" xfId="0" applyFont="1" applyFill="1" applyBorder="1" applyAlignment="1">
      <alignment horizontal="center" vertical="top" wrapText="1" readingOrder="1"/>
    </xf>
    <xf numFmtId="0" fontId="151" fillId="148" borderId="147" xfId="0" applyFont="1" applyFill="1" applyBorder="1" applyAlignment="1">
      <alignment horizontal="center" vertical="top" wrapText="1" readingOrder="1"/>
    </xf>
    <xf numFmtId="0" fontId="152" fillId="149" borderId="148" xfId="0" applyFont="1" applyFill="1" applyBorder="1" applyAlignment="1">
      <alignment horizontal="center" vertical="top" wrapText="1" readingOrder="1"/>
    </xf>
    <xf numFmtId="0" fontId="153" fillId="150" borderId="149" xfId="0" applyFont="1" applyFill="1" applyBorder="1" applyAlignment="1">
      <alignment horizontal="center" vertical="top" wrapText="1" readingOrder="1"/>
    </xf>
    <xf numFmtId="0" fontId="154" fillId="151" borderId="150" xfId="0" applyFont="1" applyFill="1" applyBorder="1" applyAlignment="1">
      <alignment horizontal="center" vertical="top" wrapText="1" readingOrder="1"/>
    </xf>
    <xf numFmtId="0" fontId="155" fillId="152" borderId="151" xfId="0" applyFont="1" applyFill="1" applyBorder="1" applyAlignment="1">
      <alignment horizontal="center" vertical="top" wrapText="1" readingOrder="1"/>
    </xf>
    <xf numFmtId="0" fontId="156" fillId="153" borderId="152" xfId="0" applyFont="1" applyFill="1" applyBorder="1" applyAlignment="1">
      <alignment horizontal="center" vertical="top" wrapText="1" readingOrder="1"/>
    </xf>
    <xf numFmtId="0" fontId="157" fillId="154" borderId="153" xfId="0" applyFont="1" applyFill="1" applyBorder="1" applyAlignment="1">
      <alignment horizontal="center" vertical="top" wrapText="1" readingOrder="1"/>
    </xf>
    <xf numFmtId="0" fontId="158" fillId="155" borderId="154" xfId="0" applyFont="1" applyFill="1" applyBorder="1" applyAlignment="1">
      <alignment horizontal="center" vertical="top" wrapText="1" readingOrder="1"/>
    </xf>
    <xf numFmtId="0" fontId="159" fillId="156" borderId="155" xfId="0" applyFont="1" applyFill="1" applyBorder="1" applyAlignment="1">
      <alignment horizontal="center" vertical="top" wrapText="1" readingOrder="1"/>
    </xf>
    <xf numFmtId="0" fontId="160" fillId="157" borderId="156" xfId="0" applyFont="1" applyFill="1" applyBorder="1" applyAlignment="1">
      <alignment horizontal="center" vertical="top" wrapText="1" readingOrder="1"/>
    </xf>
    <xf numFmtId="0" fontId="161" fillId="158" borderId="157" xfId="0" applyFont="1" applyFill="1" applyBorder="1" applyAlignment="1">
      <alignment horizontal="center" vertical="top" wrapText="1" readingOrder="1"/>
    </xf>
    <xf numFmtId="0" fontId="162" fillId="159" borderId="158" xfId="0" applyFont="1" applyFill="1" applyBorder="1" applyAlignment="1">
      <alignment horizontal="center" vertical="top" wrapText="1" readingOrder="1"/>
    </xf>
    <xf numFmtId="0" fontId="163" fillId="160" borderId="159" xfId="0" applyFont="1" applyFill="1" applyBorder="1" applyAlignment="1">
      <alignment horizontal="center" vertical="top" wrapText="1" readingOrder="1"/>
    </xf>
    <xf numFmtId="0" fontId="164" fillId="161" borderId="160" xfId="0" applyFont="1" applyFill="1" applyBorder="1" applyAlignment="1">
      <alignment horizontal="center" vertical="top" wrapText="1" readingOrder="1"/>
    </xf>
    <xf numFmtId="0" fontId="165" fillId="162" borderId="161" xfId="0" applyFont="1" applyFill="1" applyBorder="1" applyAlignment="1">
      <alignment horizontal="center" vertical="top" wrapText="1" readingOrder="1"/>
    </xf>
    <xf numFmtId="0" fontId="166" fillId="163" borderId="162" xfId="0" applyFont="1" applyFill="1" applyBorder="1" applyAlignment="1">
      <alignment horizontal="center" vertical="top" wrapText="1" readingOrder="1"/>
    </xf>
    <xf numFmtId="0" fontId="167" fillId="164" borderId="163" xfId="0" applyFont="1" applyFill="1" applyBorder="1" applyAlignment="1">
      <alignment horizontal="center" vertical="top" wrapText="1" readingOrder="1"/>
    </xf>
    <xf numFmtId="0" fontId="168" fillId="165" borderId="164" xfId="0" applyFont="1" applyFill="1" applyBorder="1" applyAlignment="1">
      <alignment horizontal="center" vertical="top" wrapText="1" readingOrder="1"/>
    </xf>
    <xf numFmtId="0" fontId="169" fillId="166" borderId="165" xfId="0" applyFont="1" applyFill="1" applyBorder="1" applyAlignment="1">
      <alignment horizontal="center" vertical="top" wrapText="1" readingOrder="1"/>
    </xf>
    <xf numFmtId="0" fontId="170" fillId="167" borderId="166" xfId="0" applyFont="1" applyFill="1" applyBorder="1" applyAlignment="1">
      <alignment horizontal="center" vertical="top" wrapText="1" readingOrder="1"/>
    </xf>
    <xf numFmtId="0" fontId="171" fillId="168" borderId="167" xfId="0" applyFont="1" applyFill="1" applyBorder="1" applyAlignment="1">
      <alignment horizontal="center" vertical="top" wrapText="1" readingOrder="1"/>
    </xf>
    <xf numFmtId="0" fontId="172" fillId="169" borderId="168" xfId="0" applyFont="1" applyFill="1" applyBorder="1" applyAlignment="1">
      <alignment horizontal="center" vertical="top" wrapText="1" readingOrder="1"/>
    </xf>
    <xf numFmtId="0" fontId="173" fillId="170" borderId="169" xfId="0" applyFont="1" applyFill="1" applyBorder="1" applyAlignment="1">
      <alignment horizontal="center" vertical="top" wrapText="1" readingOrder="1"/>
    </xf>
    <xf numFmtId="0" fontId="174" fillId="171" borderId="170" xfId="0" applyFont="1" applyFill="1" applyBorder="1" applyAlignment="1">
      <alignment horizontal="center" vertical="top" wrapText="1" readingOrder="1"/>
    </xf>
    <xf numFmtId="0" fontId="175" fillId="172" borderId="171" xfId="0" applyFont="1" applyFill="1" applyBorder="1" applyAlignment="1">
      <alignment horizontal="center" vertical="top" wrapText="1" readingOrder="1"/>
    </xf>
    <xf numFmtId="0" fontId="176" fillId="173" borderId="172" xfId="0" applyFont="1" applyFill="1" applyBorder="1" applyAlignment="1">
      <alignment horizontal="center" vertical="top" wrapText="1" readingOrder="1"/>
    </xf>
    <xf numFmtId="0" fontId="177" fillId="174" borderId="173" xfId="0" applyFont="1" applyFill="1" applyBorder="1" applyAlignment="1">
      <alignment horizontal="center" vertical="top" wrapText="1" readingOrder="1"/>
    </xf>
    <xf numFmtId="0" fontId="178" fillId="175" borderId="174" xfId="0" applyFont="1" applyFill="1" applyBorder="1" applyAlignment="1">
      <alignment horizontal="center" vertical="top" wrapText="1" readingOrder="1"/>
    </xf>
    <xf numFmtId="0" fontId="179" fillId="176" borderId="175" xfId="0" applyFont="1" applyFill="1" applyBorder="1" applyAlignment="1">
      <alignment horizontal="center" vertical="top" wrapText="1" readingOrder="1"/>
    </xf>
    <xf numFmtId="0" fontId="180" fillId="177" borderId="176" xfId="0" applyFont="1" applyFill="1" applyBorder="1" applyAlignment="1">
      <alignment horizontal="center" vertical="top" wrapText="1" readingOrder="1"/>
    </xf>
    <xf numFmtId="0" fontId="181" fillId="178" borderId="177" xfId="0" applyFont="1" applyFill="1" applyBorder="1" applyAlignment="1">
      <alignment horizontal="center" vertical="top" wrapText="1" readingOrder="1"/>
    </xf>
    <xf numFmtId="0" fontId="182" fillId="179" borderId="178" xfId="0" applyFont="1" applyFill="1" applyBorder="1" applyAlignment="1">
      <alignment horizontal="center" vertical="top" wrapText="1" readingOrder="1"/>
    </xf>
    <xf numFmtId="0" fontId="183" fillId="180" borderId="179" xfId="0" applyFont="1" applyFill="1" applyBorder="1" applyAlignment="1">
      <alignment horizontal="center" vertical="top" wrapText="1" readingOrder="1"/>
    </xf>
    <xf numFmtId="0" fontId="184" fillId="181" borderId="180" xfId="0" applyFont="1" applyFill="1" applyBorder="1" applyAlignment="1">
      <alignment horizontal="center" vertical="top" wrapText="1" readingOrder="1"/>
    </xf>
    <xf numFmtId="0" fontId="185" fillId="182" borderId="181" xfId="0" applyFont="1" applyFill="1" applyBorder="1" applyAlignment="1">
      <alignment horizontal="center" vertical="top" wrapText="1" readingOrder="1"/>
    </xf>
    <xf numFmtId="0" fontId="186" fillId="183" borderId="182" xfId="0" applyFont="1" applyFill="1" applyBorder="1" applyAlignment="1">
      <alignment horizontal="center" vertical="top" wrapText="1" readingOrder="1"/>
    </xf>
    <xf numFmtId="0" fontId="187" fillId="184" borderId="183" xfId="0" applyFont="1" applyFill="1" applyBorder="1" applyAlignment="1">
      <alignment horizontal="center" vertical="top" wrapText="1" readingOrder="1"/>
    </xf>
    <xf numFmtId="0" fontId="188" fillId="185" borderId="184" xfId="0" applyFont="1" applyFill="1" applyBorder="1" applyAlignment="1">
      <alignment horizontal="center" vertical="top" wrapText="1" readingOrder="1"/>
    </xf>
    <xf numFmtId="0" fontId="189" fillId="186" borderId="185" xfId="0" applyFont="1" applyFill="1" applyBorder="1" applyAlignment="1">
      <alignment horizontal="center" vertical="top" wrapText="1" readingOrder="1"/>
    </xf>
    <xf numFmtId="0" fontId="190" fillId="187" borderId="186" xfId="0" applyFont="1" applyFill="1" applyBorder="1" applyAlignment="1">
      <alignment horizontal="center" vertical="top" wrapText="1" readingOrder="1"/>
    </xf>
    <xf numFmtId="0" fontId="191" fillId="188" borderId="187" xfId="0" applyFont="1" applyFill="1" applyBorder="1" applyAlignment="1">
      <alignment horizontal="center" vertical="top" wrapText="1" readingOrder="1"/>
    </xf>
    <xf numFmtId="0" fontId="192" fillId="189" borderId="188" xfId="0" applyFont="1" applyFill="1" applyBorder="1" applyAlignment="1">
      <alignment horizontal="center" vertical="top" wrapText="1" readingOrder="1"/>
    </xf>
    <xf numFmtId="0" fontId="193" fillId="190" borderId="189" xfId="0" applyFont="1" applyFill="1" applyBorder="1" applyAlignment="1">
      <alignment horizontal="center" vertical="top" wrapText="1" readingOrder="1"/>
    </xf>
    <xf numFmtId="0" fontId="194" fillId="191" borderId="190" xfId="0" applyFont="1" applyFill="1" applyBorder="1" applyAlignment="1">
      <alignment horizontal="center" vertical="top" wrapText="1" readingOrder="1"/>
    </xf>
    <xf numFmtId="0" fontId="195" fillId="192" borderId="191" xfId="0" applyFont="1" applyFill="1" applyBorder="1" applyAlignment="1">
      <alignment horizontal="center" vertical="top" wrapText="1" readingOrder="1"/>
    </xf>
    <xf numFmtId="0" fontId="196" fillId="193" borderId="192" xfId="0" applyFont="1" applyFill="1" applyBorder="1" applyAlignment="1">
      <alignment horizontal="center" vertical="top" wrapText="1" readingOrder="1"/>
    </xf>
    <xf numFmtId="0" fontId="197" fillId="194" borderId="193" xfId="0" applyFont="1" applyFill="1" applyBorder="1" applyAlignment="1">
      <alignment horizontal="center" vertical="top" wrapText="1" readingOrder="1"/>
    </xf>
    <xf numFmtId="0" fontId="198" fillId="195" borderId="194" xfId="0" applyFont="1" applyFill="1" applyBorder="1" applyAlignment="1">
      <alignment horizontal="center" vertical="top" wrapText="1" readingOrder="1"/>
    </xf>
    <xf numFmtId="0" fontId="199" fillId="196" borderId="195" xfId="0" applyFont="1" applyFill="1" applyBorder="1" applyAlignment="1">
      <alignment horizontal="center" vertical="top" wrapText="1" readingOrder="1"/>
    </xf>
    <xf numFmtId="0" fontId="200" fillId="197" borderId="196" xfId="0" applyFont="1" applyFill="1" applyBorder="1" applyAlignment="1">
      <alignment horizontal="center" vertical="top" wrapText="1" readingOrder="1"/>
    </xf>
    <xf numFmtId="0" fontId="201" fillId="198" borderId="197" xfId="0" applyFont="1" applyFill="1" applyBorder="1" applyAlignment="1">
      <alignment horizontal="center" vertical="top" wrapText="1" readingOrder="1"/>
    </xf>
    <xf numFmtId="0" fontId="202" fillId="199" borderId="198" xfId="0" applyFont="1" applyFill="1" applyBorder="1" applyAlignment="1">
      <alignment horizontal="center" vertical="top" wrapText="1" readingOrder="1"/>
    </xf>
    <xf numFmtId="0" fontId="203" fillId="200" borderId="199" xfId="0" applyFont="1" applyFill="1" applyBorder="1" applyAlignment="1">
      <alignment horizontal="center" vertical="top" wrapText="1" readingOrder="1"/>
    </xf>
    <xf numFmtId="0" fontId="204" fillId="201" borderId="200" xfId="0" applyFont="1" applyFill="1" applyBorder="1" applyAlignment="1">
      <alignment horizontal="center" vertical="top" wrapText="1" readingOrder="1"/>
    </xf>
    <xf numFmtId="0" fontId="205" fillId="202" borderId="201" xfId="0" applyFont="1" applyFill="1" applyBorder="1" applyAlignment="1">
      <alignment horizontal="center" vertical="top" wrapText="1" readingOrder="1"/>
    </xf>
    <xf numFmtId="0" fontId="206" fillId="203" borderId="202" xfId="0" applyFont="1" applyFill="1" applyBorder="1" applyAlignment="1">
      <alignment horizontal="center" vertical="top" wrapText="1" readingOrder="1"/>
    </xf>
    <xf numFmtId="0" fontId="207" fillId="204" borderId="203" xfId="0" applyFont="1" applyFill="1" applyBorder="1" applyAlignment="1">
      <alignment horizontal="center" vertical="top" wrapText="1" readingOrder="1"/>
    </xf>
    <xf numFmtId="0" fontId="208" fillId="205" borderId="204" xfId="0" applyFont="1" applyFill="1" applyBorder="1" applyAlignment="1">
      <alignment horizontal="center" vertical="top" wrapText="1" readingOrder="1"/>
    </xf>
    <xf numFmtId="0" fontId="209" fillId="206" borderId="205" xfId="0" applyFont="1" applyFill="1" applyBorder="1" applyAlignment="1">
      <alignment horizontal="center" vertical="top" wrapText="1" readingOrder="1"/>
    </xf>
    <xf numFmtId="0" fontId="210" fillId="207" borderId="206" xfId="0" applyFont="1" applyFill="1" applyBorder="1" applyAlignment="1">
      <alignment horizontal="center" vertical="top" wrapText="1" readingOrder="1"/>
    </xf>
    <xf numFmtId="0" fontId="211" fillId="208" borderId="207" xfId="0" applyFont="1" applyFill="1" applyBorder="1" applyAlignment="1">
      <alignment horizontal="center" vertical="top" wrapText="1" readingOrder="1"/>
    </xf>
    <xf numFmtId="0" fontId="212" fillId="209" borderId="208" xfId="0" applyFont="1" applyFill="1" applyBorder="1" applyAlignment="1">
      <alignment horizontal="center" vertical="top" wrapText="1" readingOrder="1"/>
    </xf>
    <xf numFmtId="0" fontId="213" fillId="210" borderId="209" xfId="0" applyFont="1" applyFill="1" applyBorder="1" applyAlignment="1">
      <alignment horizontal="center" vertical="top" wrapText="1" readingOrder="1"/>
    </xf>
    <xf numFmtId="0" fontId="214" fillId="211" borderId="210" xfId="0" applyFont="1" applyFill="1" applyBorder="1" applyAlignment="1">
      <alignment horizontal="center" vertical="top" wrapText="1" readingOrder="1"/>
    </xf>
    <xf numFmtId="0" fontId="215" fillId="212" borderId="211" xfId="0" applyFont="1" applyFill="1" applyBorder="1" applyAlignment="1">
      <alignment horizontal="center" vertical="top" wrapText="1" readingOrder="1"/>
    </xf>
    <xf numFmtId="0" fontId="216" fillId="213" borderId="212" xfId="0" applyFont="1" applyFill="1" applyBorder="1" applyAlignment="1">
      <alignment horizontal="center" vertical="top" wrapText="1" readingOrder="1"/>
    </xf>
    <xf numFmtId="0" fontId="217" fillId="214" borderId="213" xfId="0" applyFont="1" applyFill="1" applyBorder="1" applyAlignment="1">
      <alignment horizontal="center" vertical="top" wrapText="1" readingOrder="1"/>
    </xf>
    <xf numFmtId="0" fontId="218" fillId="215" borderId="214" xfId="0" applyFont="1" applyFill="1" applyBorder="1" applyAlignment="1">
      <alignment horizontal="center" vertical="top" wrapText="1" readingOrder="1"/>
    </xf>
    <xf numFmtId="0" fontId="219" fillId="216" borderId="215" xfId="0" applyFont="1" applyFill="1" applyBorder="1" applyAlignment="1">
      <alignment horizontal="center" vertical="top" wrapText="1" readingOrder="1"/>
    </xf>
    <xf numFmtId="0" fontId="220" fillId="217" borderId="216" xfId="0" applyFont="1" applyFill="1" applyBorder="1" applyAlignment="1">
      <alignment horizontal="center" vertical="top" wrapText="1" readingOrder="1"/>
    </xf>
    <xf numFmtId="0" fontId="221" fillId="218" borderId="217" xfId="0" applyFont="1" applyFill="1" applyBorder="1" applyAlignment="1">
      <alignment horizontal="center" vertical="top" wrapText="1" readingOrder="1"/>
    </xf>
    <xf numFmtId="0" fontId="222" fillId="219" borderId="218" xfId="0" applyFont="1" applyFill="1" applyBorder="1" applyAlignment="1">
      <alignment horizontal="center" vertical="top" wrapText="1" readingOrder="1"/>
    </xf>
    <xf numFmtId="0" fontId="223" fillId="220" borderId="219" xfId="0" applyFont="1" applyFill="1" applyBorder="1" applyAlignment="1">
      <alignment horizontal="center" vertical="top" wrapText="1" readingOrder="1"/>
    </xf>
    <xf numFmtId="0" fontId="224" fillId="221" borderId="220" xfId="0" applyFont="1" applyFill="1" applyBorder="1" applyAlignment="1">
      <alignment horizontal="center" vertical="top" wrapText="1" readingOrder="1"/>
    </xf>
    <xf numFmtId="0" fontId="227" fillId="222" borderId="221" xfId="0" applyFont="1" applyFill="1" applyBorder="1" applyAlignment="1">
      <alignment horizontal="left" vertical="top" wrapText="1" readingOrder="1"/>
    </xf>
    <xf numFmtId="0" fontId="228" fillId="223" borderId="222" xfId="0" applyFont="1" applyFill="1" applyBorder="1" applyAlignment="1">
      <alignment horizontal="left" vertical="top" wrapText="1" readingOrder="1"/>
    </xf>
    <xf numFmtId="0" fontId="229" fillId="224" borderId="223" xfId="0" applyFont="1" applyFill="1" applyBorder="1" applyAlignment="1">
      <alignment horizontal="left" vertical="top" wrapText="1" readingOrder="1"/>
    </xf>
    <xf numFmtId="0" fontId="230" fillId="225" borderId="224" xfId="0" applyFont="1" applyFill="1" applyBorder="1" applyAlignment="1">
      <alignment horizontal="left" vertical="top" wrapText="1" readingOrder="1"/>
    </xf>
    <xf numFmtId="0" fontId="231" fillId="226" borderId="225" xfId="0" applyFont="1" applyFill="1" applyBorder="1" applyAlignment="1">
      <alignment horizontal="left" vertical="top" wrapText="1" readingOrder="1"/>
    </xf>
    <xf numFmtId="0" fontId="232" fillId="227" borderId="226" xfId="0" applyFont="1" applyFill="1" applyBorder="1" applyAlignment="1">
      <alignment horizontal="left" vertical="top" wrapText="1" readingOrder="1"/>
    </xf>
    <xf numFmtId="0" fontId="233" fillId="228" borderId="227" xfId="0" applyFont="1" applyFill="1" applyBorder="1" applyAlignment="1">
      <alignment horizontal="left" vertical="top" wrapText="1" readingOrder="1"/>
    </xf>
    <xf numFmtId="0" fontId="234" fillId="229" borderId="228" xfId="0" applyFont="1" applyFill="1" applyBorder="1" applyAlignment="1">
      <alignment horizontal="left" vertical="top" wrapText="1" readingOrder="1"/>
    </xf>
    <xf numFmtId="0" fontId="235" fillId="230" borderId="229" xfId="0" applyFont="1" applyFill="1" applyBorder="1" applyAlignment="1">
      <alignment horizontal="left" vertical="top" wrapText="1" readingOrder="1"/>
    </xf>
    <xf numFmtId="0" fontId="236" fillId="231" borderId="230" xfId="0" applyFont="1" applyFill="1" applyBorder="1" applyAlignment="1">
      <alignment horizontal="left" vertical="top" wrapText="1" readingOrder="1"/>
    </xf>
    <xf numFmtId="0" fontId="237" fillId="232" borderId="231" xfId="0" applyFont="1" applyFill="1" applyBorder="1" applyAlignment="1">
      <alignment horizontal="left" vertical="top" wrapText="1" readingOrder="1"/>
    </xf>
    <xf numFmtId="0" fontId="238" fillId="233" borderId="232" xfId="0" applyFont="1" applyFill="1" applyBorder="1" applyAlignment="1">
      <alignment horizontal="left" vertical="top" wrapText="1" readingOrder="1"/>
    </xf>
    <xf numFmtId="0" fontId="239" fillId="234" borderId="233" xfId="0" applyFont="1" applyFill="1" applyBorder="1" applyAlignment="1">
      <alignment horizontal="left" vertical="top" wrapText="1" readingOrder="1"/>
    </xf>
    <xf numFmtId="0" fontId="240" fillId="235" borderId="234" xfId="0" applyFont="1" applyFill="1" applyBorder="1" applyAlignment="1">
      <alignment horizontal="left" vertical="top" wrapText="1" readingOrder="1"/>
    </xf>
    <xf numFmtId="0" fontId="241" fillId="236" borderId="235" xfId="0" applyFont="1" applyFill="1" applyBorder="1" applyAlignment="1">
      <alignment horizontal="left" vertical="top" wrapText="1" readingOrder="1"/>
    </xf>
    <xf numFmtId="0" fontId="242" fillId="237" borderId="236" xfId="0" applyFont="1" applyFill="1" applyBorder="1" applyAlignment="1">
      <alignment horizontal="left" vertical="top" wrapText="1" readingOrder="1"/>
    </xf>
    <xf numFmtId="0" fontId="243" fillId="238" borderId="237" xfId="0" applyFont="1" applyFill="1" applyBorder="1" applyAlignment="1">
      <alignment horizontal="left" vertical="top" wrapText="1" readingOrder="1"/>
    </xf>
    <xf numFmtId="0" fontId="244" fillId="239" borderId="238" xfId="0" applyFont="1" applyFill="1" applyBorder="1" applyAlignment="1">
      <alignment horizontal="left" vertical="top" wrapText="1" readingOrder="1"/>
    </xf>
    <xf numFmtId="0" fontId="245" fillId="240" borderId="239" xfId="0" applyFont="1" applyFill="1" applyBorder="1" applyAlignment="1">
      <alignment horizontal="left" vertical="top" wrapText="1" readingOrder="1"/>
    </xf>
    <xf numFmtId="0" fontId="246" fillId="241" borderId="240" xfId="0" applyFont="1" applyFill="1" applyBorder="1" applyAlignment="1">
      <alignment horizontal="left" vertical="top" wrapText="1" readingOrder="1"/>
    </xf>
    <xf numFmtId="0" fontId="247" fillId="242" borderId="241" xfId="0" applyFont="1" applyFill="1" applyBorder="1" applyAlignment="1">
      <alignment horizontal="left" vertical="top" wrapText="1" readingOrder="1"/>
    </xf>
    <xf numFmtId="0" fontId="248" fillId="243" borderId="242" xfId="0" applyFont="1" applyFill="1" applyBorder="1" applyAlignment="1">
      <alignment horizontal="left" vertical="top" wrapText="1" readingOrder="1"/>
    </xf>
    <xf numFmtId="0" fontId="249" fillId="244" borderId="243" xfId="0" applyFont="1" applyFill="1" applyBorder="1" applyAlignment="1">
      <alignment horizontal="left" vertical="top" wrapText="1" readingOrder="1"/>
    </xf>
    <xf numFmtId="0" fontId="250" fillId="245" borderId="244" xfId="0" applyFont="1" applyFill="1" applyBorder="1" applyAlignment="1">
      <alignment horizontal="left" vertical="top" wrapText="1" readingOrder="1"/>
    </xf>
    <xf numFmtId="0" fontId="251" fillId="246" borderId="245" xfId="0" applyFont="1" applyFill="1" applyBorder="1" applyAlignment="1">
      <alignment horizontal="left" vertical="top" wrapText="1" readingOrder="1"/>
    </xf>
    <xf numFmtId="0" fontId="252" fillId="247" borderId="246" xfId="0" applyFont="1" applyFill="1" applyBorder="1" applyAlignment="1">
      <alignment horizontal="left" vertical="top" wrapText="1" readingOrder="1"/>
    </xf>
    <xf numFmtId="0" fontId="253" fillId="248" borderId="247" xfId="0" applyFont="1" applyFill="1" applyBorder="1" applyAlignment="1">
      <alignment horizontal="left" vertical="top" wrapText="1" readingOrder="1"/>
    </xf>
    <xf numFmtId="0" fontId="254" fillId="249" borderId="248" xfId="0" applyFont="1" applyFill="1" applyBorder="1" applyAlignment="1">
      <alignment horizontal="left" vertical="top" wrapText="1" readingOrder="1"/>
    </xf>
    <xf numFmtId="0" fontId="255" fillId="250" borderId="249" xfId="0" applyFont="1" applyFill="1" applyBorder="1" applyAlignment="1">
      <alignment horizontal="left" vertical="top" wrapText="1" readingOrder="1"/>
    </xf>
    <xf numFmtId="0" fontId="256" fillId="251" borderId="250" xfId="0" applyFont="1" applyFill="1" applyBorder="1" applyAlignment="1">
      <alignment horizontal="left" vertical="top" wrapText="1" readingOrder="1"/>
    </xf>
    <xf numFmtId="0" fontId="257" fillId="252" borderId="251" xfId="0" applyFont="1" applyFill="1" applyBorder="1" applyAlignment="1">
      <alignment horizontal="left" vertical="top" wrapText="1" readingOrder="1"/>
    </xf>
    <xf numFmtId="0" fontId="258" fillId="253" borderId="252" xfId="0" applyFont="1" applyFill="1" applyBorder="1" applyAlignment="1">
      <alignment horizontal="left" vertical="top" wrapText="1" readingOrder="1"/>
    </xf>
    <xf numFmtId="0" fontId="259" fillId="254" borderId="253" xfId="0" applyFont="1" applyFill="1" applyBorder="1" applyAlignment="1">
      <alignment horizontal="left" vertical="top" wrapText="1" readingOrder="1"/>
    </xf>
    <xf numFmtId="0" fontId="260" fillId="255" borderId="254" xfId="0" applyFont="1" applyFill="1" applyBorder="1" applyAlignment="1">
      <alignment horizontal="left" vertical="top" wrapText="1" readingOrder="1"/>
    </xf>
    <xf numFmtId="0" fontId="261" fillId="256" borderId="255" xfId="0" applyFont="1" applyFill="1" applyBorder="1" applyAlignment="1">
      <alignment horizontal="left" vertical="top" wrapText="1" readingOrder="1"/>
    </xf>
    <xf numFmtId="0" fontId="262" fillId="257" borderId="256" xfId="0" applyFont="1" applyFill="1" applyBorder="1" applyAlignment="1">
      <alignment horizontal="left" vertical="top" wrapText="1" readingOrder="1"/>
    </xf>
    <xf numFmtId="0" fontId="263" fillId="258" borderId="257" xfId="0" applyFont="1" applyFill="1" applyBorder="1" applyAlignment="1">
      <alignment horizontal="left" vertical="top" wrapText="1" readingOrder="1"/>
    </xf>
    <xf numFmtId="0" fontId="264" fillId="259" borderId="258" xfId="0" applyFont="1" applyFill="1" applyBorder="1" applyAlignment="1">
      <alignment horizontal="left" vertical="top" wrapText="1" readingOrder="1"/>
    </xf>
    <xf numFmtId="0" fontId="265" fillId="260" borderId="259" xfId="0" applyFont="1" applyFill="1" applyBorder="1" applyAlignment="1">
      <alignment horizontal="left" vertical="top" wrapText="1" readingOrder="1"/>
    </xf>
    <xf numFmtId="0" fontId="266" fillId="261" borderId="260" xfId="0" applyFont="1" applyFill="1" applyBorder="1" applyAlignment="1">
      <alignment horizontal="left" vertical="top" wrapText="1" readingOrder="1"/>
    </xf>
    <xf numFmtId="0" fontId="267" fillId="262" borderId="261" xfId="0" applyFont="1" applyFill="1" applyBorder="1" applyAlignment="1">
      <alignment horizontal="left" vertical="top" wrapText="1" readingOrder="1"/>
    </xf>
    <xf numFmtId="0" fontId="268" fillId="263" borderId="262" xfId="0" applyFont="1" applyFill="1" applyBorder="1" applyAlignment="1">
      <alignment horizontal="left" vertical="top" wrapText="1" readingOrder="1"/>
    </xf>
    <xf numFmtId="0" fontId="269" fillId="264" borderId="263" xfId="0" applyFont="1" applyFill="1" applyBorder="1" applyAlignment="1">
      <alignment horizontal="left" vertical="top" wrapText="1" readingOrder="1"/>
    </xf>
    <xf numFmtId="0" fontId="270" fillId="265" borderId="264" xfId="0" applyFont="1" applyFill="1" applyBorder="1" applyAlignment="1">
      <alignment horizontal="left" vertical="top" wrapText="1" readingOrder="1"/>
    </xf>
    <xf numFmtId="0" fontId="271" fillId="266" borderId="265" xfId="0" applyFont="1" applyFill="1" applyBorder="1" applyAlignment="1">
      <alignment horizontal="left" vertical="top" wrapText="1" readingOrder="1"/>
    </xf>
    <xf numFmtId="0" fontId="272" fillId="267" borderId="266" xfId="0" applyFont="1" applyFill="1" applyBorder="1" applyAlignment="1">
      <alignment horizontal="left" vertical="top" wrapText="1" readingOrder="1"/>
    </xf>
    <xf numFmtId="0" fontId="273" fillId="268" borderId="267" xfId="0" applyFont="1" applyFill="1" applyBorder="1" applyAlignment="1">
      <alignment horizontal="left" vertical="top" wrapText="1" readingOrder="1"/>
    </xf>
    <xf numFmtId="0" fontId="274" fillId="269" borderId="268" xfId="0" applyFont="1" applyFill="1" applyBorder="1" applyAlignment="1">
      <alignment horizontal="left" vertical="top" wrapText="1" readingOrder="1"/>
    </xf>
    <xf numFmtId="0" fontId="275" fillId="270" borderId="269" xfId="0" applyFont="1" applyFill="1" applyBorder="1" applyAlignment="1">
      <alignment horizontal="left" vertical="top" wrapText="1" readingOrder="1"/>
    </xf>
    <xf numFmtId="0" fontId="276" fillId="271" borderId="270" xfId="0" applyFont="1" applyFill="1" applyBorder="1" applyAlignment="1">
      <alignment horizontal="left" vertical="top" wrapText="1" readingOrder="1"/>
    </xf>
    <xf numFmtId="0" fontId="277" fillId="272" borderId="271" xfId="0" applyFont="1" applyFill="1" applyBorder="1" applyAlignment="1">
      <alignment horizontal="left" vertical="top" wrapText="1" readingOrder="1"/>
    </xf>
    <xf numFmtId="0" fontId="278" fillId="273" borderId="272" xfId="0" applyFont="1" applyFill="1" applyBorder="1" applyAlignment="1">
      <alignment horizontal="left" vertical="top" wrapText="1" readingOrder="1"/>
    </xf>
    <xf numFmtId="0" fontId="279" fillId="274" borderId="273" xfId="0" applyFont="1" applyFill="1" applyBorder="1" applyAlignment="1">
      <alignment horizontal="left" vertical="top" wrapText="1" readingOrder="1"/>
    </xf>
    <xf numFmtId="0" fontId="280" fillId="275" borderId="274" xfId="0" applyFont="1" applyFill="1" applyBorder="1" applyAlignment="1">
      <alignment horizontal="left" vertical="top" wrapText="1" readingOrder="1"/>
    </xf>
    <xf numFmtId="0" fontId="281" fillId="276" borderId="275" xfId="0" applyFont="1" applyFill="1" applyBorder="1" applyAlignment="1">
      <alignment horizontal="left" vertical="top" wrapText="1" readingOrder="1"/>
    </xf>
    <xf numFmtId="0" fontId="282" fillId="277" borderId="276" xfId="0" applyFont="1" applyFill="1" applyBorder="1" applyAlignment="1">
      <alignment horizontal="left" vertical="top" wrapText="1" readingOrder="1"/>
    </xf>
    <xf numFmtId="0" fontId="283" fillId="278" borderId="277" xfId="0" applyFont="1" applyFill="1" applyBorder="1" applyAlignment="1">
      <alignment horizontal="left" vertical="top" wrapText="1" readingOrder="1"/>
    </xf>
    <xf numFmtId="0" fontId="284" fillId="279" borderId="278" xfId="0" applyFont="1" applyFill="1" applyBorder="1" applyAlignment="1">
      <alignment horizontal="left" vertical="top" wrapText="1" readingOrder="1"/>
    </xf>
    <xf numFmtId="0" fontId="285" fillId="280" borderId="279" xfId="0" applyFont="1" applyFill="1" applyBorder="1" applyAlignment="1">
      <alignment horizontal="left" vertical="top" wrapText="1" readingOrder="1"/>
    </xf>
    <xf numFmtId="0" fontId="286" fillId="281" borderId="280" xfId="0" applyFont="1" applyFill="1" applyBorder="1" applyAlignment="1">
      <alignment horizontal="left" vertical="top" wrapText="1" readingOrder="1"/>
    </xf>
    <xf numFmtId="0" fontId="287" fillId="282" borderId="281" xfId="0" applyFont="1" applyFill="1" applyBorder="1" applyAlignment="1">
      <alignment horizontal="left" vertical="top" wrapText="1" readingOrder="1"/>
    </xf>
    <xf numFmtId="0" fontId="288" fillId="283" borderId="282" xfId="0" applyFont="1" applyFill="1" applyBorder="1" applyAlignment="1">
      <alignment horizontal="left" vertical="top" wrapText="1" readingOrder="1"/>
    </xf>
    <xf numFmtId="0" fontId="289" fillId="284" borderId="283" xfId="0" applyFont="1" applyFill="1" applyBorder="1" applyAlignment="1">
      <alignment horizontal="left" vertical="top" wrapText="1" readingOrder="1"/>
    </xf>
    <xf numFmtId="0" fontId="290" fillId="285" borderId="284" xfId="0" applyFont="1" applyFill="1" applyBorder="1" applyAlignment="1">
      <alignment horizontal="left" vertical="top" wrapText="1" readingOrder="1"/>
    </xf>
    <xf numFmtId="0" fontId="291" fillId="286" borderId="285" xfId="0" applyFont="1" applyFill="1" applyBorder="1" applyAlignment="1">
      <alignment horizontal="left" vertical="top" wrapText="1" readingOrder="1"/>
    </xf>
    <xf numFmtId="0" fontId="292" fillId="287" borderId="286" xfId="0" applyFont="1" applyFill="1" applyBorder="1" applyAlignment="1">
      <alignment horizontal="left" vertical="top" wrapText="1" readingOrder="1"/>
    </xf>
    <xf numFmtId="0" fontId="293" fillId="288" borderId="287" xfId="0" applyFont="1" applyFill="1" applyBorder="1" applyAlignment="1">
      <alignment horizontal="left" vertical="top" wrapText="1" readingOrder="1"/>
    </xf>
    <xf numFmtId="0" fontId="294" fillId="289" borderId="288" xfId="0" applyFont="1" applyFill="1" applyBorder="1" applyAlignment="1">
      <alignment horizontal="left" vertical="top" wrapText="1" readingOrder="1"/>
    </xf>
    <xf numFmtId="0" fontId="295" fillId="290" borderId="289" xfId="0" applyFont="1" applyFill="1" applyBorder="1" applyAlignment="1">
      <alignment horizontal="left" vertical="top" wrapText="1" readingOrder="1"/>
    </xf>
    <xf numFmtId="0" fontId="296" fillId="291" borderId="290" xfId="0" applyFont="1" applyFill="1" applyBorder="1" applyAlignment="1">
      <alignment horizontal="left" vertical="top" wrapText="1" readingOrder="1"/>
    </xf>
    <xf numFmtId="0" fontId="297" fillId="292" borderId="291" xfId="0" applyFont="1" applyFill="1" applyBorder="1" applyAlignment="1">
      <alignment horizontal="left" vertical="top" wrapText="1" readingOrder="1"/>
    </xf>
    <xf numFmtId="0" fontId="298" fillId="293" borderId="292" xfId="0" applyFont="1" applyFill="1" applyBorder="1" applyAlignment="1">
      <alignment horizontal="left" vertical="top" wrapText="1" readingOrder="1"/>
    </xf>
    <xf numFmtId="0" fontId="299" fillId="294" borderId="293" xfId="0" applyFont="1" applyFill="1" applyBorder="1" applyAlignment="1">
      <alignment horizontal="left" vertical="top" wrapText="1" readingOrder="1"/>
    </xf>
    <xf numFmtId="0" fontId="300" fillId="295" borderId="294" xfId="0" applyFont="1" applyFill="1" applyBorder="1" applyAlignment="1">
      <alignment horizontal="left" vertical="top" wrapText="1" readingOrder="1"/>
    </xf>
    <xf numFmtId="0" fontId="301" fillId="296" borderId="295" xfId="0" applyFont="1" applyFill="1" applyBorder="1" applyAlignment="1">
      <alignment horizontal="left" vertical="top" wrapText="1" readingOrder="1"/>
    </xf>
    <xf numFmtId="0" fontId="302" fillId="297" borderId="296" xfId="0" applyFont="1" applyFill="1" applyBorder="1" applyAlignment="1">
      <alignment horizontal="left" vertical="top" wrapText="1" readingOrder="1"/>
    </xf>
    <xf numFmtId="0" fontId="303" fillId="298" borderId="297" xfId="0" applyFont="1" applyFill="1" applyBorder="1" applyAlignment="1">
      <alignment horizontal="left" vertical="top" wrapText="1" readingOrder="1"/>
    </xf>
    <xf numFmtId="0" fontId="304" fillId="299" borderId="298" xfId="0" applyFont="1" applyFill="1" applyBorder="1" applyAlignment="1">
      <alignment horizontal="left" vertical="top" wrapText="1" readingOrder="1"/>
    </xf>
    <xf numFmtId="0" fontId="305" fillId="300" borderId="299" xfId="0" applyFont="1" applyFill="1" applyBorder="1" applyAlignment="1">
      <alignment horizontal="left" vertical="top" wrapText="1" readingOrder="1"/>
    </xf>
    <xf numFmtId="0" fontId="306" fillId="301" borderId="300" xfId="0" applyFont="1" applyFill="1" applyBorder="1" applyAlignment="1">
      <alignment horizontal="left" vertical="top" wrapText="1" readingOrder="1"/>
    </xf>
    <xf numFmtId="0" fontId="307" fillId="302" borderId="301" xfId="0" applyFont="1" applyFill="1" applyBorder="1" applyAlignment="1">
      <alignment horizontal="left" vertical="top" wrapText="1" readingOrder="1"/>
    </xf>
    <xf numFmtId="0" fontId="308" fillId="303" borderId="302" xfId="0" applyFont="1" applyFill="1" applyBorder="1" applyAlignment="1">
      <alignment horizontal="left" vertical="top" wrapText="1" readingOrder="1"/>
    </xf>
    <xf numFmtId="0" fontId="309" fillId="304" borderId="303" xfId="0" applyFont="1" applyFill="1" applyBorder="1" applyAlignment="1">
      <alignment horizontal="left" vertical="top" wrapText="1" readingOrder="1"/>
    </xf>
    <xf numFmtId="0" fontId="310" fillId="305" borderId="304" xfId="0" applyFont="1" applyFill="1" applyBorder="1" applyAlignment="1">
      <alignment horizontal="left" vertical="top" wrapText="1" readingOrder="1"/>
    </xf>
    <xf numFmtId="0" fontId="311" fillId="306" borderId="305" xfId="0" applyFont="1" applyFill="1" applyBorder="1" applyAlignment="1">
      <alignment horizontal="left" vertical="top" wrapText="1" readingOrder="1"/>
    </xf>
    <xf numFmtId="0" fontId="312" fillId="307" borderId="306" xfId="0" applyFont="1" applyFill="1" applyBorder="1" applyAlignment="1">
      <alignment horizontal="left" vertical="top" wrapText="1" readingOrder="1"/>
    </xf>
    <xf numFmtId="0" fontId="313" fillId="308" borderId="307" xfId="0" applyFont="1" applyFill="1" applyBorder="1" applyAlignment="1">
      <alignment horizontal="left" vertical="top" wrapText="1" readingOrder="1"/>
    </xf>
    <xf numFmtId="0" fontId="314" fillId="309" borderId="308" xfId="0" applyFont="1" applyFill="1" applyBorder="1" applyAlignment="1">
      <alignment horizontal="left" vertical="top" wrapText="1" readingOrder="1"/>
    </xf>
    <xf numFmtId="0" fontId="315" fillId="310" borderId="309" xfId="0" applyFont="1" applyFill="1" applyBorder="1" applyAlignment="1">
      <alignment horizontal="left" vertical="top" wrapText="1" readingOrder="1"/>
    </xf>
    <xf numFmtId="0" fontId="316" fillId="311" borderId="310" xfId="0" applyFont="1" applyFill="1" applyBorder="1" applyAlignment="1">
      <alignment horizontal="left" vertical="top" wrapText="1" readingOrder="1"/>
    </xf>
    <xf numFmtId="0" fontId="317" fillId="312" borderId="311" xfId="0" applyFont="1" applyFill="1" applyBorder="1" applyAlignment="1">
      <alignment horizontal="left" vertical="top" wrapText="1" readingOrder="1"/>
    </xf>
    <xf numFmtId="0" fontId="318" fillId="313" borderId="312" xfId="0" applyFont="1" applyFill="1" applyBorder="1" applyAlignment="1">
      <alignment horizontal="left" vertical="top" wrapText="1" readingOrder="1"/>
    </xf>
    <xf numFmtId="0" fontId="319" fillId="314" borderId="313" xfId="0" applyFont="1" applyFill="1" applyBorder="1" applyAlignment="1">
      <alignment horizontal="left" vertical="top" wrapText="1" readingOrder="1"/>
    </xf>
    <xf numFmtId="0" fontId="320" fillId="315" borderId="314" xfId="0" applyFont="1" applyFill="1" applyBorder="1" applyAlignment="1">
      <alignment horizontal="left" vertical="top" wrapText="1" readingOrder="1"/>
    </xf>
    <xf numFmtId="0" fontId="321" fillId="316" borderId="315" xfId="0" applyFont="1" applyFill="1" applyBorder="1" applyAlignment="1">
      <alignment horizontal="left" vertical="top" wrapText="1" readingOrder="1"/>
    </xf>
    <xf numFmtId="0" fontId="322" fillId="317" borderId="316" xfId="0" applyFont="1" applyFill="1" applyBorder="1" applyAlignment="1">
      <alignment horizontal="left" vertical="top" wrapText="1" readingOrder="1"/>
    </xf>
    <xf numFmtId="0" fontId="323" fillId="318" borderId="317" xfId="0" applyFont="1" applyFill="1" applyBorder="1" applyAlignment="1">
      <alignment horizontal="left" vertical="top" wrapText="1" readingOrder="1"/>
    </xf>
    <xf numFmtId="0" fontId="324" fillId="319" borderId="318" xfId="0" applyFont="1" applyFill="1" applyBorder="1" applyAlignment="1">
      <alignment horizontal="left" vertical="top" wrapText="1" readingOrder="1"/>
    </xf>
    <xf numFmtId="0" fontId="325" fillId="320" borderId="319" xfId="0" applyFont="1" applyFill="1" applyBorder="1" applyAlignment="1">
      <alignment horizontal="left" vertical="top" wrapText="1" readingOrder="1"/>
    </xf>
    <xf numFmtId="0" fontId="326" fillId="321" borderId="320" xfId="0" applyFont="1" applyFill="1" applyBorder="1" applyAlignment="1">
      <alignment horizontal="left" vertical="top" wrapText="1" readingOrder="1"/>
    </xf>
    <xf numFmtId="0" fontId="327" fillId="322" borderId="321" xfId="0" applyFont="1" applyFill="1" applyBorder="1" applyAlignment="1">
      <alignment horizontal="left" vertical="top" wrapText="1" readingOrder="1"/>
    </xf>
    <xf numFmtId="0" fontId="328" fillId="323" borderId="322" xfId="0" applyFont="1" applyFill="1" applyBorder="1" applyAlignment="1">
      <alignment horizontal="left" vertical="top" wrapText="1" readingOrder="1"/>
    </xf>
    <xf numFmtId="0" fontId="329" fillId="324" borderId="323" xfId="0" applyFont="1" applyFill="1" applyBorder="1" applyAlignment="1">
      <alignment horizontal="left" vertical="top" wrapText="1" readingOrder="1"/>
    </xf>
    <xf numFmtId="0" fontId="330" fillId="325" borderId="324" xfId="0" applyFont="1" applyFill="1" applyBorder="1" applyAlignment="1">
      <alignment horizontal="left" vertical="top" wrapText="1" readingOrder="1"/>
    </xf>
    <xf numFmtId="0" fontId="331" fillId="326" borderId="325" xfId="0" applyFont="1" applyFill="1" applyBorder="1" applyAlignment="1">
      <alignment horizontal="left" vertical="top" wrapText="1" readingOrder="1"/>
    </xf>
    <xf numFmtId="0" fontId="332" fillId="327" borderId="326" xfId="0" applyFont="1" applyFill="1" applyBorder="1" applyAlignment="1">
      <alignment horizontal="left" vertical="top" wrapText="1" readingOrder="1"/>
    </xf>
    <xf numFmtId="0" fontId="333" fillId="328" borderId="327" xfId="0" applyFont="1" applyFill="1" applyBorder="1" applyAlignment="1">
      <alignment horizontal="left" vertical="top" wrapText="1" readingOrder="1"/>
    </xf>
    <xf numFmtId="0" fontId="334" fillId="329" borderId="328" xfId="0" applyFont="1" applyFill="1" applyBorder="1" applyAlignment="1">
      <alignment horizontal="left" vertical="top" wrapText="1" readingOrder="1"/>
    </xf>
    <xf numFmtId="0" fontId="335" fillId="330" borderId="329" xfId="0" applyFont="1" applyFill="1" applyBorder="1" applyAlignment="1">
      <alignment horizontal="left" vertical="top" wrapText="1" readingOrder="1"/>
    </xf>
    <xf numFmtId="0" fontId="336" fillId="331" borderId="330" xfId="0" applyFont="1" applyFill="1" applyBorder="1" applyAlignment="1">
      <alignment horizontal="left" vertical="top" wrapText="1" readingOrder="1"/>
    </xf>
    <xf numFmtId="4" fontId="338" fillId="332" borderId="331" xfId="0" applyNumberFormat="1" applyFont="1" applyFill="1" applyBorder="1" applyAlignment="1">
      <alignment horizontal="right" wrapText="1" readingOrder="1"/>
    </xf>
    <xf numFmtId="4" fontId="339" fillId="333" borderId="332" xfId="0" applyNumberFormat="1" applyFont="1" applyFill="1" applyBorder="1" applyAlignment="1">
      <alignment horizontal="right" wrapText="1" readingOrder="1"/>
    </xf>
    <xf numFmtId="4" fontId="340" fillId="334" borderId="333" xfId="0" applyNumberFormat="1" applyFont="1" applyFill="1" applyBorder="1" applyAlignment="1">
      <alignment horizontal="right" wrapText="1" readingOrder="1"/>
    </xf>
    <xf numFmtId="4" fontId="341" fillId="335" borderId="334" xfId="0" applyNumberFormat="1" applyFont="1" applyFill="1" applyBorder="1" applyAlignment="1">
      <alignment horizontal="right" wrapText="1" readingOrder="1"/>
    </xf>
    <xf numFmtId="4" fontId="342" fillId="336" borderId="335" xfId="0" applyNumberFormat="1" applyFont="1" applyFill="1" applyBorder="1" applyAlignment="1">
      <alignment horizontal="right" wrapText="1" readingOrder="1"/>
    </xf>
    <xf numFmtId="4" fontId="343" fillId="337" borderId="336" xfId="0" applyNumberFormat="1" applyFont="1" applyFill="1" applyBorder="1" applyAlignment="1">
      <alignment horizontal="right" wrapText="1" readingOrder="1"/>
    </xf>
    <xf numFmtId="4" fontId="344" fillId="338" borderId="337" xfId="0" applyNumberFormat="1" applyFont="1" applyFill="1" applyBorder="1" applyAlignment="1">
      <alignment horizontal="right" wrapText="1" readingOrder="1"/>
    </xf>
    <xf numFmtId="4" fontId="345" fillId="339" borderId="338" xfId="0" applyNumberFormat="1" applyFont="1" applyFill="1" applyBorder="1" applyAlignment="1">
      <alignment horizontal="right" wrapText="1" readingOrder="1"/>
    </xf>
    <xf numFmtId="4" fontId="346" fillId="340" borderId="339" xfId="0" applyNumberFormat="1" applyFont="1" applyFill="1" applyBorder="1" applyAlignment="1">
      <alignment horizontal="right" wrapText="1" readingOrder="1"/>
    </xf>
    <xf numFmtId="4" fontId="347" fillId="341" borderId="340" xfId="0" applyNumberFormat="1" applyFont="1" applyFill="1" applyBorder="1" applyAlignment="1">
      <alignment horizontal="right" wrapText="1" readingOrder="1"/>
    </xf>
    <xf numFmtId="4" fontId="348" fillId="342" borderId="341" xfId="0" applyNumberFormat="1" applyFont="1" applyFill="1" applyBorder="1" applyAlignment="1">
      <alignment horizontal="right" wrapText="1" readingOrder="1"/>
    </xf>
    <xf numFmtId="4" fontId="349" fillId="343" borderId="342" xfId="0" applyNumberFormat="1" applyFont="1" applyFill="1" applyBorder="1" applyAlignment="1">
      <alignment horizontal="right" wrapText="1" readingOrder="1"/>
    </xf>
    <xf numFmtId="4" fontId="350" fillId="344" borderId="343" xfId="0" applyNumberFormat="1" applyFont="1" applyFill="1" applyBorder="1" applyAlignment="1">
      <alignment horizontal="right" wrapText="1" readingOrder="1"/>
    </xf>
    <xf numFmtId="4" fontId="351" fillId="345" borderId="344" xfId="0" applyNumberFormat="1" applyFont="1" applyFill="1" applyBorder="1" applyAlignment="1">
      <alignment horizontal="right" wrapText="1" readingOrder="1"/>
    </xf>
    <xf numFmtId="4" fontId="352" fillId="346" borderId="345" xfId="0" applyNumberFormat="1" applyFont="1" applyFill="1" applyBorder="1" applyAlignment="1">
      <alignment horizontal="right" wrapText="1" readingOrder="1"/>
    </xf>
    <xf numFmtId="4" fontId="353" fillId="347" borderId="346" xfId="0" applyNumberFormat="1" applyFont="1" applyFill="1" applyBorder="1" applyAlignment="1">
      <alignment horizontal="right" wrapText="1" readingOrder="1"/>
    </xf>
    <xf numFmtId="4" fontId="354" fillId="348" borderId="347" xfId="0" applyNumberFormat="1" applyFont="1" applyFill="1" applyBorder="1" applyAlignment="1">
      <alignment horizontal="right" wrapText="1" readingOrder="1"/>
    </xf>
    <xf numFmtId="4" fontId="355" fillId="349" borderId="348" xfId="0" applyNumberFormat="1" applyFont="1" applyFill="1" applyBorder="1" applyAlignment="1">
      <alignment horizontal="right" wrapText="1" readingOrder="1"/>
    </xf>
    <xf numFmtId="4" fontId="356" fillId="350" borderId="349" xfId="0" applyNumberFormat="1" applyFont="1" applyFill="1" applyBorder="1" applyAlignment="1">
      <alignment horizontal="right" wrapText="1" readingOrder="1"/>
    </xf>
    <xf numFmtId="4" fontId="357" fillId="351" borderId="350" xfId="0" applyNumberFormat="1" applyFont="1" applyFill="1" applyBorder="1" applyAlignment="1">
      <alignment horizontal="right" wrapText="1" readingOrder="1"/>
    </xf>
    <xf numFmtId="4" fontId="358" fillId="352" borderId="351" xfId="0" applyNumberFormat="1" applyFont="1" applyFill="1" applyBorder="1" applyAlignment="1">
      <alignment horizontal="right" wrapText="1" readingOrder="1"/>
    </xf>
    <xf numFmtId="4" fontId="359" fillId="353" borderId="352" xfId="0" applyNumberFormat="1" applyFont="1" applyFill="1" applyBorder="1" applyAlignment="1">
      <alignment horizontal="right" wrapText="1" readingOrder="1"/>
    </xf>
    <xf numFmtId="4" fontId="360" fillId="354" borderId="353" xfId="0" applyNumberFormat="1" applyFont="1" applyFill="1" applyBorder="1" applyAlignment="1">
      <alignment horizontal="right" wrapText="1" readingOrder="1"/>
    </xf>
    <xf numFmtId="4" fontId="361" fillId="355" borderId="354" xfId="0" applyNumberFormat="1" applyFont="1" applyFill="1" applyBorder="1" applyAlignment="1">
      <alignment horizontal="right" wrapText="1" readingOrder="1"/>
    </xf>
    <xf numFmtId="4" fontId="362" fillId="356" borderId="355" xfId="0" applyNumberFormat="1" applyFont="1" applyFill="1" applyBorder="1" applyAlignment="1">
      <alignment horizontal="right" wrapText="1" readingOrder="1"/>
    </xf>
    <xf numFmtId="4" fontId="363" fillId="357" borderId="356" xfId="0" applyNumberFormat="1" applyFont="1" applyFill="1" applyBorder="1" applyAlignment="1">
      <alignment horizontal="right" wrapText="1" readingOrder="1"/>
    </xf>
    <xf numFmtId="4" fontId="364" fillId="358" borderId="357" xfId="0" applyNumberFormat="1" applyFont="1" applyFill="1" applyBorder="1" applyAlignment="1">
      <alignment horizontal="right" wrapText="1" readingOrder="1"/>
    </xf>
    <xf numFmtId="4" fontId="365" fillId="359" borderId="358" xfId="0" applyNumberFormat="1" applyFont="1" applyFill="1" applyBorder="1" applyAlignment="1">
      <alignment horizontal="right" wrapText="1" readingOrder="1"/>
    </xf>
    <xf numFmtId="4" fontId="366" fillId="360" borderId="359" xfId="0" applyNumberFormat="1" applyFont="1" applyFill="1" applyBorder="1" applyAlignment="1">
      <alignment horizontal="right" wrapText="1" readingOrder="1"/>
    </xf>
    <xf numFmtId="4" fontId="367" fillId="361" borderId="360" xfId="0" applyNumberFormat="1" applyFont="1" applyFill="1" applyBorder="1" applyAlignment="1">
      <alignment horizontal="right" wrapText="1" readingOrder="1"/>
    </xf>
    <xf numFmtId="4" fontId="368" fillId="362" borderId="361" xfId="0" applyNumberFormat="1" applyFont="1" applyFill="1" applyBorder="1" applyAlignment="1">
      <alignment horizontal="right" wrapText="1" readingOrder="1"/>
    </xf>
    <xf numFmtId="4" fontId="369" fillId="363" borderId="362" xfId="0" applyNumberFormat="1" applyFont="1" applyFill="1" applyBorder="1" applyAlignment="1">
      <alignment horizontal="right" wrapText="1" readingOrder="1"/>
    </xf>
    <xf numFmtId="4" fontId="370" fillId="364" borderId="363" xfId="0" applyNumberFormat="1" applyFont="1" applyFill="1" applyBorder="1" applyAlignment="1">
      <alignment horizontal="right" wrapText="1" readingOrder="1"/>
    </xf>
    <xf numFmtId="4" fontId="371" fillId="365" borderId="364" xfId="0" applyNumberFormat="1" applyFont="1" applyFill="1" applyBorder="1" applyAlignment="1">
      <alignment horizontal="right" wrapText="1" readingOrder="1"/>
    </xf>
    <xf numFmtId="4" fontId="372" fillId="366" borderId="365" xfId="0" applyNumberFormat="1" applyFont="1" applyFill="1" applyBorder="1" applyAlignment="1">
      <alignment horizontal="right" wrapText="1" readingOrder="1"/>
    </xf>
    <xf numFmtId="4" fontId="373" fillId="367" borderId="366" xfId="0" applyNumberFormat="1" applyFont="1" applyFill="1" applyBorder="1" applyAlignment="1">
      <alignment horizontal="right" wrapText="1" readingOrder="1"/>
    </xf>
    <xf numFmtId="4" fontId="374" fillId="368" borderId="367" xfId="0" applyNumberFormat="1" applyFont="1" applyFill="1" applyBorder="1" applyAlignment="1">
      <alignment horizontal="right" wrapText="1" readingOrder="1"/>
    </xf>
    <xf numFmtId="4" fontId="375" fillId="369" borderId="368" xfId="0" applyNumberFormat="1" applyFont="1" applyFill="1" applyBorder="1" applyAlignment="1">
      <alignment horizontal="right" wrapText="1" readingOrder="1"/>
    </xf>
    <xf numFmtId="4" fontId="376" fillId="370" borderId="369" xfId="0" applyNumberFormat="1" applyFont="1" applyFill="1" applyBorder="1" applyAlignment="1">
      <alignment horizontal="right" wrapText="1" readingOrder="1"/>
    </xf>
    <xf numFmtId="4" fontId="377" fillId="371" borderId="370" xfId="0" applyNumberFormat="1" applyFont="1" applyFill="1" applyBorder="1" applyAlignment="1">
      <alignment horizontal="right" wrapText="1" readingOrder="1"/>
    </xf>
    <xf numFmtId="4" fontId="378" fillId="372" borderId="371" xfId="0" applyNumberFormat="1" applyFont="1" applyFill="1" applyBorder="1" applyAlignment="1">
      <alignment horizontal="right" wrapText="1" readingOrder="1"/>
    </xf>
    <xf numFmtId="4" fontId="379" fillId="373" borderId="372" xfId="0" applyNumberFormat="1" applyFont="1" applyFill="1" applyBorder="1" applyAlignment="1">
      <alignment horizontal="right" wrapText="1" readingOrder="1"/>
    </xf>
    <xf numFmtId="4" fontId="380" fillId="374" borderId="373" xfId="0" applyNumberFormat="1" applyFont="1" applyFill="1" applyBorder="1" applyAlignment="1">
      <alignment horizontal="right" wrapText="1" readingOrder="1"/>
    </xf>
    <xf numFmtId="4" fontId="381" fillId="375" borderId="374" xfId="0" applyNumberFormat="1" applyFont="1" applyFill="1" applyBorder="1" applyAlignment="1">
      <alignment horizontal="right" wrapText="1" readingOrder="1"/>
    </xf>
    <xf numFmtId="4" fontId="382" fillId="376" borderId="375" xfId="0" applyNumberFormat="1" applyFont="1" applyFill="1" applyBorder="1" applyAlignment="1">
      <alignment horizontal="right" wrapText="1" readingOrder="1"/>
    </xf>
    <xf numFmtId="4" fontId="383" fillId="377" borderId="376" xfId="0" applyNumberFormat="1" applyFont="1" applyFill="1" applyBorder="1" applyAlignment="1">
      <alignment horizontal="right" wrapText="1" readingOrder="1"/>
    </xf>
    <xf numFmtId="4" fontId="384" fillId="378" borderId="377" xfId="0" applyNumberFormat="1" applyFont="1" applyFill="1" applyBorder="1" applyAlignment="1">
      <alignment horizontal="right" wrapText="1" readingOrder="1"/>
    </xf>
    <xf numFmtId="4" fontId="385" fillId="379" borderId="378" xfId="0" applyNumberFormat="1" applyFont="1" applyFill="1" applyBorder="1" applyAlignment="1">
      <alignment horizontal="right" wrapText="1" readingOrder="1"/>
    </xf>
    <xf numFmtId="4" fontId="386" fillId="380" borderId="379" xfId="0" applyNumberFormat="1" applyFont="1" applyFill="1" applyBorder="1" applyAlignment="1">
      <alignment horizontal="right" wrapText="1" readingOrder="1"/>
    </xf>
    <xf numFmtId="4" fontId="387" fillId="381" borderId="380" xfId="0" applyNumberFormat="1" applyFont="1" applyFill="1" applyBorder="1" applyAlignment="1">
      <alignment horizontal="right" wrapText="1" readingOrder="1"/>
    </xf>
    <xf numFmtId="4" fontId="388" fillId="382" borderId="381" xfId="0" applyNumberFormat="1" applyFont="1" applyFill="1" applyBorder="1" applyAlignment="1">
      <alignment horizontal="right" wrapText="1" readingOrder="1"/>
    </xf>
    <xf numFmtId="4" fontId="389" fillId="383" borderId="382" xfId="0" applyNumberFormat="1" applyFont="1" applyFill="1" applyBorder="1" applyAlignment="1">
      <alignment horizontal="right" wrapText="1" readingOrder="1"/>
    </xf>
    <xf numFmtId="4" fontId="390" fillId="384" borderId="383" xfId="0" applyNumberFormat="1" applyFont="1" applyFill="1" applyBorder="1" applyAlignment="1">
      <alignment horizontal="right" wrapText="1" readingOrder="1"/>
    </xf>
    <xf numFmtId="4" fontId="391" fillId="385" borderId="384" xfId="0" applyNumberFormat="1" applyFont="1" applyFill="1" applyBorder="1" applyAlignment="1">
      <alignment horizontal="right" wrapText="1" readingOrder="1"/>
    </xf>
    <xf numFmtId="4" fontId="392" fillId="386" borderId="385" xfId="0" applyNumberFormat="1" applyFont="1" applyFill="1" applyBorder="1" applyAlignment="1">
      <alignment horizontal="right" wrapText="1" readingOrder="1"/>
    </xf>
    <xf numFmtId="4" fontId="393" fillId="387" borderId="386" xfId="0" applyNumberFormat="1" applyFont="1" applyFill="1" applyBorder="1" applyAlignment="1">
      <alignment horizontal="right" wrapText="1" readingOrder="1"/>
    </xf>
    <xf numFmtId="4" fontId="394" fillId="388" borderId="387" xfId="0" applyNumberFormat="1" applyFont="1" applyFill="1" applyBorder="1" applyAlignment="1">
      <alignment horizontal="right" wrapText="1" readingOrder="1"/>
    </xf>
    <xf numFmtId="4" fontId="395" fillId="389" borderId="388" xfId="0" applyNumberFormat="1" applyFont="1" applyFill="1" applyBorder="1" applyAlignment="1">
      <alignment horizontal="right" wrapText="1" readingOrder="1"/>
    </xf>
    <xf numFmtId="4" fontId="396" fillId="390" borderId="389" xfId="0" applyNumberFormat="1" applyFont="1" applyFill="1" applyBorder="1" applyAlignment="1">
      <alignment horizontal="right" wrapText="1" readingOrder="1"/>
    </xf>
    <xf numFmtId="4" fontId="397" fillId="391" borderId="390" xfId="0" applyNumberFormat="1" applyFont="1" applyFill="1" applyBorder="1" applyAlignment="1">
      <alignment horizontal="right" wrapText="1" readingOrder="1"/>
    </xf>
    <xf numFmtId="4" fontId="398" fillId="392" borderId="391" xfId="0" applyNumberFormat="1" applyFont="1" applyFill="1" applyBorder="1" applyAlignment="1">
      <alignment horizontal="right" wrapText="1" readingOrder="1"/>
    </xf>
    <xf numFmtId="4" fontId="399" fillId="393" borderId="392" xfId="0" applyNumberFormat="1" applyFont="1" applyFill="1" applyBorder="1" applyAlignment="1">
      <alignment horizontal="right" wrapText="1" readingOrder="1"/>
    </xf>
    <xf numFmtId="4" fontId="400" fillId="394" borderId="393" xfId="0" applyNumberFormat="1" applyFont="1" applyFill="1" applyBorder="1" applyAlignment="1">
      <alignment horizontal="right" wrapText="1" readingOrder="1"/>
    </xf>
    <xf numFmtId="4" fontId="401" fillId="395" borderId="394" xfId="0" applyNumberFormat="1" applyFont="1" applyFill="1" applyBorder="1" applyAlignment="1">
      <alignment horizontal="right" wrapText="1" readingOrder="1"/>
    </xf>
    <xf numFmtId="4" fontId="402" fillId="396" borderId="395" xfId="0" applyNumberFormat="1" applyFont="1" applyFill="1" applyBorder="1" applyAlignment="1">
      <alignment horizontal="right" wrapText="1" readingOrder="1"/>
    </xf>
    <xf numFmtId="4" fontId="403" fillId="397" borderId="396" xfId="0" applyNumberFormat="1" applyFont="1" applyFill="1" applyBorder="1" applyAlignment="1">
      <alignment horizontal="right" wrapText="1" readingOrder="1"/>
    </xf>
    <xf numFmtId="4" fontId="404" fillId="398" borderId="397" xfId="0" applyNumberFormat="1" applyFont="1" applyFill="1" applyBorder="1" applyAlignment="1">
      <alignment horizontal="right" wrapText="1" readingOrder="1"/>
    </xf>
    <xf numFmtId="4" fontId="405" fillId="399" borderId="398" xfId="0" applyNumberFormat="1" applyFont="1" applyFill="1" applyBorder="1" applyAlignment="1">
      <alignment horizontal="right" wrapText="1" readingOrder="1"/>
    </xf>
    <xf numFmtId="4" fontId="406" fillId="400" borderId="399" xfId="0" applyNumberFormat="1" applyFont="1" applyFill="1" applyBorder="1" applyAlignment="1">
      <alignment horizontal="right" wrapText="1" readingOrder="1"/>
    </xf>
    <xf numFmtId="4" fontId="407" fillId="401" borderId="400" xfId="0" applyNumberFormat="1" applyFont="1" applyFill="1" applyBorder="1" applyAlignment="1">
      <alignment horizontal="right" wrapText="1" readingOrder="1"/>
    </xf>
    <xf numFmtId="4" fontId="408" fillId="402" borderId="401" xfId="0" applyNumberFormat="1" applyFont="1" applyFill="1" applyBorder="1" applyAlignment="1">
      <alignment horizontal="right" wrapText="1" readingOrder="1"/>
    </xf>
    <xf numFmtId="4" fontId="409" fillId="403" borderId="402" xfId="0" applyNumberFormat="1" applyFont="1" applyFill="1" applyBorder="1" applyAlignment="1">
      <alignment horizontal="right" wrapText="1" readingOrder="1"/>
    </xf>
    <xf numFmtId="4" fontId="410" fillId="404" borderId="403" xfId="0" applyNumberFormat="1" applyFont="1" applyFill="1" applyBorder="1" applyAlignment="1">
      <alignment horizontal="right" wrapText="1" readingOrder="1"/>
    </xf>
    <xf numFmtId="4" fontId="411" fillId="405" borderId="404" xfId="0" applyNumberFormat="1" applyFont="1" applyFill="1" applyBorder="1" applyAlignment="1">
      <alignment horizontal="right" wrapText="1" readingOrder="1"/>
    </xf>
    <xf numFmtId="4" fontId="412" fillId="406" borderId="405" xfId="0" applyNumberFormat="1" applyFont="1" applyFill="1" applyBorder="1" applyAlignment="1">
      <alignment horizontal="right" wrapText="1" readingOrder="1"/>
    </xf>
    <xf numFmtId="4" fontId="413" fillId="407" borderId="406" xfId="0" applyNumberFormat="1" applyFont="1" applyFill="1" applyBorder="1" applyAlignment="1">
      <alignment horizontal="right" wrapText="1" readingOrder="1"/>
    </xf>
    <xf numFmtId="4" fontId="414" fillId="408" borderId="407" xfId="0" applyNumberFormat="1" applyFont="1" applyFill="1" applyBorder="1" applyAlignment="1">
      <alignment horizontal="right" wrapText="1" readingOrder="1"/>
    </xf>
    <xf numFmtId="4" fontId="415" fillId="409" borderId="408" xfId="0" applyNumberFormat="1" applyFont="1" applyFill="1" applyBorder="1" applyAlignment="1">
      <alignment horizontal="right" wrapText="1" readingOrder="1"/>
    </xf>
    <xf numFmtId="4" fontId="416" fillId="410" borderId="409" xfId="0" applyNumberFormat="1" applyFont="1" applyFill="1" applyBorder="1" applyAlignment="1">
      <alignment horizontal="right" wrapText="1" readingOrder="1"/>
    </xf>
    <xf numFmtId="4" fontId="417" fillId="411" borderId="410" xfId="0" applyNumberFormat="1" applyFont="1" applyFill="1" applyBorder="1" applyAlignment="1">
      <alignment horizontal="right" wrapText="1" readingOrder="1"/>
    </xf>
    <xf numFmtId="4" fontId="418" fillId="412" borderId="411" xfId="0" applyNumberFormat="1" applyFont="1" applyFill="1" applyBorder="1" applyAlignment="1">
      <alignment horizontal="right" wrapText="1" readingOrder="1"/>
    </xf>
    <xf numFmtId="4" fontId="419" fillId="413" borderId="412" xfId="0" applyNumberFormat="1" applyFont="1" applyFill="1" applyBorder="1" applyAlignment="1">
      <alignment horizontal="right" wrapText="1" readingOrder="1"/>
    </xf>
    <xf numFmtId="4" fontId="420" fillId="414" borderId="413" xfId="0" applyNumberFormat="1" applyFont="1" applyFill="1" applyBorder="1" applyAlignment="1">
      <alignment horizontal="right" wrapText="1" readingOrder="1"/>
    </xf>
    <xf numFmtId="4" fontId="421" fillId="415" borderId="414" xfId="0" applyNumberFormat="1" applyFont="1" applyFill="1" applyBorder="1" applyAlignment="1">
      <alignment horizontal="right" wrapText="1" readingOrder="1"/>
    </xf>
    <xf numFmtId="4" fontId="422" fillId="416" borderId="415" xfId="0" applyNumberFormat="1" applyFont="1" applyFill="1" applyBorder="1" applyAlignment="1">
      <alignment horizontal="right" wrapText="1" readingOrder="1"/>
    </xf>
    <xf numFmtId="4" fontId="423" fillId="417" borderId="416" xfId="0" applyNumberFormat="1" applyFont="1" applyFill="1" applyBorder="1" applyAlignment="1">
      <alignment horizontal="right" wrapText="1" readingOrder="1"/>
    </xf>
    <xf numFmtId="4" fontId="424" fillId="418" borderId="417" xfId="0" applyNumberFormat="1" applyFont="1" applyFill="1" applyBorder="1" applyAlignment="1">
      <alignment horizontal="right" wrapText="1" readingOrder="1"/>
    </xf>
    <xf numFmtId="4" fontId="425" fillId="419" borderId="418" xfId="0" applyNumberFormat="1" applyFont="1" applyFill="1" applyBorder="1" applyAlignment="1">
      <alignment horizontal="right" wrapText="1" readingOrder="1"/>
    </xf>
    <xf numFmtId="4" fontId="426" fillId="420" borderId="419" xfId="0" applyNumberFormat="1" applyFont="1" applyFill="1" applyBorder="1" applyAlignment="1">
      <alignment horizontal="right" wrapText="1" readingOrder="1"/>
    </xf>
    <xf numFmtId="4" fontId="427" fillId="421" borderId="420" xfId="0" applyNumberFormat="1" applyFont="1" applyFill="1" applyBorder="1" applyAlignment="1">
      <alignment horizontal="right" wrapText="1" readingOrder="1"/>
    </xf>
    <xf numFmtId="4" fontId="428" fillId="422" borderId="421" xfId="0" applyNumberFormat="1" applyFont="1" applyFill="1" applyBorder="1" applyAlignment="1">
      <alignment horizontal="right" wrapText="1" readingOrder="1"/>
    </xf>
    <xf numFmtId="4" fontId="429" fillId="423" borderId="422" xfId="0" applyNumberFormat="1" applyFont="1" applyFill="1" applyBorder="1" applyAlignment="1">
      <alignment horizontal="right" wrapText="1" readingOrder="1"/>
    </xf>
    <xf numFmtId="4" fontId="430" fillId="424" borderId="423" xfId="0" applyNumberFormat="1" applyFont="1" applyFill="1" applyBorder="1" applyAlignment="1">
      <alignment horizontal="right" wrapText="1" readingOrder="1"/>
    </xf>
    <xf numFmtId="4" fontId="431" fillId="425" borderId="424" xfId="0" applyNumberFormat="1" applyFont="1" applyFill="1" applyBorder="1" applyAlignment="1">
      <alignment horizontal="right" wrapText="1" readingOrder="1"/>
    </xf>
    <xf numFmtId="4" fontId="432" fillId="426" borderId="425" xfId="0" applyNumberFormat="1" applyFont="1" applyFill="1" applyBorder="1" applyAlignment="1">
      <alignment horizontal="right" wrapText="1" readingOrder="1"/>
    </xf>
    <xf numFmtId="4" fontId="433" fillId="427" borderId="426" xfId="0" applyNumberFormat="1" applyFont="1" applyFill="1" applyBorder="1" applyAlignment="1">
      <alignment horizontal="right" wrapText="1" readingOrder="1"/>
    </xf>
    <xf numFmtId="4" fontId="434" fillId="428" borderId="427" xfId="0" applyNumberFormat="1" applyFont="1" applyFill="1" applyBorder="1" applyAlignment="1">
      <alignment horizontal="right" wrapText="1" readingOrder="1"/>
    </xf>
    <xf numFmtId="4" fontId="435" fillId="429" borderId="428" xfId="0" applyNumberFormat="1" applyFont="1" applyFill="1" applyBorder="1" applyAlignment="1">
      <alignment horizontal="right" wrapText="1" readingOrder="1"/>
    </xf>
    <xf numFmtId="4" fontId="436" fillId="430" borderId="429" xfId="0" applyNumberFormat="1" applyFont="1" applyFill="1" applyBorder="1" applyAlignment="1">
      <alignment horizontal="right" wrapText="1" readingOrder="1"/>
    </xf>
    <xf numFmtId="4" fontId="437" fillId="431" borderId="430" xfId="0" applyNumberFormat="1" applyFont="1" applyFill="1" applyBorder="1" applyAlignment="1">
      <alignment horizontal="right" wrapText="1" readingOrder="1"/>
    </xf>
    <xf numFmtId="4" fontId="438" fillId="432" borderId="431" xfId="0" applyNumberFormat="1" applyFont="1" applyFill="1" applyBorder="1" applyAlignment="1">
      <alignment horizontal="right" wrapText="1" readingOrder="1"/>
    </xf>
    <xf numFmtId="4" fontId="439" fillId="433" borderId="432" xfId="0" applyNumberFormat="1" applyFont="1" applyFill="1" applyBorder="1" applyAlignment="1">
      <alignment horizontal="right" wrapText="1" readingOrder="1"/>
    </xf>
    <xf numFmtId="4" fontId="440" fillId="434" borderId="433" xfId="0" applyNumberFormat="1" applyFont="1" applyFill="1" applyBorder="1" applyAlignment="1">
      <alignment horizontal="right" wrapText="1" readingOrder="1"/>
    </xf>
    <xf numFmtId="4" fontId="441" fillId="435" borderId="434" xfId="0" applyNumberFormat="1" applyFont="1" applyFill="1" applyBorder="1" applyAlignment="1">
      <alignment horizontal="right" wrapText="1" readingOrder="1"/>
    </xf>
    <xf numFmtId="4" fontId="442" fillId="436" borderId="435" xfId="0" applyNumberFormat="1" applyFont="1" applyFill="1" applyBorder="1" applyAlignment="1">
      <alignment horizontal="right" wrapText="1" readingOrder="1"/>
    </xf>
    <xf numFmtId="4" fontId="443" fillId="437" borderId="436" xfId="0" applyNumberFormat="1" applyFont="1" applyFill="1" applyBorder="1" applyAlignment="1">
      <alignment horizontal="right" wrapText="1" readingOrder="1"/>
    </xf>
    <xf numFmtId="4" fontId="444" fillId="438" borderId="437" xfId="0" applyNumberFormat="1" applyFont="1" applyFill="1" applyBorder="1" applyAlignment="1">
      <alignment horizontal="right" wrapText="1" readingOrder="1"/>
    </xf>
    <xf numFmtId="4" fontId="445" fillId="439" borderId="438" xfId="0" applyNumberFormat="1" applyFont="1" applyFill="1" applyBorder="1" applyAlignment="1">
      <alignment horizontal="right" wrapText="1" readingOrder="1"/>
    </xf>
    <xf numFmtId="4" fontId="446" fillId="440" borderId="439" xfId="0" applyNumberFormat="1" applyFont="1" applyFill="1" applyBorder="1" applyAlignment="1">
      <alignment horizontal="right" wrapText="1" readingOrder="1"/>
    </xf>
    <xf numFmtId="4" fontId="447" fillId="441" borderId="440" xfId="0" applyNumberFormat="1" applyFont="1" applyFill="1" applyBorder="1" applyAlignment="1">
      <alignment horizontal="right" wrapText="1" readingOrder="1"/>
    </xf>
    <xf numFmtId="4" fontId="448" fillId="444" borderId="441" xfId="0" applyNumberFormat="1" applyFont="1" applyFill="1" applyBorder="1" applyAlignment="1">
      <alignment horizontal="right" wrapText="1" readingOrder="1"/>
    </xf>
    <xf numFmtId="4" fontId="449" fillId="445" borderId="442" xfId="0" applyNumberFormat="1" applyFont="1" applyFill="1" applyBorder="1" applyAlignment="1">
      <alignment horizontal="right" wrapText="1" readingOrder="1"/>
    </xf>
    <xf numFmtId="4" fontId="450" fillId="446" borderId="443" xfId="0" applyNumberFormat="1" applyFont="1" applyFill="1" applyBorder="1" applyAlignment="1">
      <alignment horizontal="right" wrapText="1" readingOrder="1"/>
    </xf>
    <xf numFmtId="4" fontId="451" fillId="447" borderId="444" xfId="0" applyNumberFormat="1" applyFont="1" applyFill="1" applyBorder="1" applyAlignment="1">
      <alignment horizontal="right" wrapText="1" readingOrder="1"/>
    </xf>
    <xf numFmtId="4" fontId="452" fillId="448" borderId="445" xfId="0" applyNumberFormat="1" applyFont="1" applyFill="1" applyBorder="1" applyAlignment="1">
      <alignment horizontal="right" wrapText="1" readingOrder="1"/>
    </xf>
    <xf numFmtId="4" fontId="453" fillId="449" borderId="446" xfId="0" applyNumberFormat="1" applyFont="1" applyFill="1" applyBorder="1" applyAlignment="1">
      <alignment horizontal="right" wrapText="1" readingOrder="1"/>
    </xf>
    <xf numFmtId="4" fontId="454" fillId="450" borderId="447" xfId="0" applyNumberFormat="1" applyFont="1" applyFill="1" applyBorder="1" applyAlignment="1">
      <alignment horizontal="right" wrapText="1" readingOrder="1"/>
    </xf>
    <xf numFmtId="4" fontId="455" fillId="451" borderId="448" xfId="0" applyNumberFormat="1" applyFont="1" applyFill="1" applyBorder="1" applyAlignment="1">
      <alignment horizontal="right" wrapText="1" readingOrder="1"/>
    </xf>
    <xf numFmtId="4" fontId="456" fillId="452" borderId="449" xfId="0" applyNumberFormat="1" applyFont="1" applyFill="1" applyBorder="1" applyAlignment="1">
      <alignment horizontal="right" wrapText="1" readingOrder="1"/>
    </xf>
    <xf numFmtId="4" fontId="457" fillId="453" borderId="450" xfId="0" applyNumberFormat="1" applyFont="1" applyFill="1" applyBorder="1" applyAlignment="1">
      <alignment horizontal="right" wrapText="1" readingOrder="1"/>
    </xf>
    <xf numFmtId="4" fontId="458" fillId="454" borderId="451" xfId="0" applyNumberFormat="1" applyFont="1" applyFill="1" applyBorder="1" applyAlignment="1">
      <alignment horizontal="right" wrapText="1" readingOrder="1"/>
    </xf>
    <xf numFmtId="4" fontId="459" fillId="455" borderId="452" xfId="0" applyNumberFormat="1" applyFont="1" applyFill="1" applyBorder="1" applyAlignment="1">
      <alignment horizontal="right" wrapText="1" readingOrder="1"/>
    </xf>
    <xf numFmtId="4" fontId="460" fillId="456" borderId="453" xfId="0" applyNumberFormat="1" applyFont="1" applyFill="1" applyBorder="1" applyAlignment="1">
      <alignment horizontal="right" wrapText="1" readingOrder="1"/>
    </xf>
    <xf numFmtId="4" fontId="461" fillId="457" borderId="454" xfId="0" applyNumberFormat="1" applyFont="1" applyFill="1" applyBorder="1" applyAlignment="1">
      <alignment horizontal="right" wrapText="1" readingOrder="1"/>
    </xf>
    <xf numFmtId="4" fontId="462" fillId="458" borderId="455" xfId="0" applyNumberFormat="1" applyFont="1" applyFill="1" applyBorder="1" applyAlignment="1">
      <alignment horizontal="right" wrapText="1" readingOrder="1"/>
    </xf>
    <xf numFmtId="4" fontId="463" fillId="459" borderId="456" xfId="0" applyNumberFormat="1" applyFont="1" applyFill="1" applyBorder="1" applyAlignment="1">
      <alignment horizontal="right" wrapText="1" readingOrder="1"/>
    </xf>
    <xf numFmtId="4" fontId="464" fillId="460" borderId="457" xfId="0" applyNumberFormat="1" applyFont="1" applyFill="1" applyBorder="1" applyAlignment="1">
      <alignment horizontal="right" wrapText="1" readingOrder="1"/>
    </xf>
    <xf numFmtId="4" fontId="465" fillId="461" borderId="458" xfId="0" applyNumberFormat="1" applyFont="1" applyFill="1" applyBorder="1" applyAlignment="1">
      <alignment horizontal="right" wrapText="1" readingOrder="1"/>
    </xf>
    <xf numFmtId="4" fontId="466" fillId="462" borderId="459" xfId="0" applyNumberFormat="1" applyFont="1" applyFill="1" applyBorder="1" applyAlignment="1">
      <alignment horizontal="right" wrapText="1" readingOrder="1"/>
    </xf>
    <xf numFmtId="4" fontId="467" fillId="463" borderId="460" xfId="0" applyNumberFormat="1" applyFont="1" applyFill="1" applyBorder="1" applyAlignment="1">
      <alignment horizontal="right" wrapText="1" readingOrder="1"/>
    </xf>
    <xf numFmtId="4" fontId="468" fillId="464" borderId="461" xfId="0" applyNumberFormat="1" applyFont="1" applyFill="1" applyBorder="1" applyAlignment="1">
      <alignment horizontal="right" wrapText="1" readingOrder="1"/>
    </xf>
    <xf numFmtId="4" fontId="469" fillId="465" borderId="462" xfId="0" applyNumberFormat="1" applyFont="1" applyFill="1" applyBorder="1" applyAlignment="1">
      <alignment horizontal="right" wrapText="1" readingOrder="1"/>
    </xf>
    <xf numFmtId="4" fontId="470" fillId="466" borderId="463" xfId="0" applyNumberFormat="1" applyFont="1" applyFill="1" applyBorder="1" applyAlignment="1">
      <alignment horizontal="right" wrapText="1" readingOrder="1"/>
    </xf>
    <xf numFmtId="4" fontId="471" fillId="467" borderId="464" xfId="0" applyNumberFormat="1" applyFont="1" applyFill="1" applyBorder="1" applyAlignment="1">
      <alignment horizontal="right" wrapText="1" readingOrder="1"/>
    </xf>
    <xf numFmtId="4" fontId="472" fillId="468" borderId="465" xfId="0" applyNumberFormat="1" applyFont="1" applyFill="1" applyBorder="1" applyAlignment="1">
      <alignment horizontal="right" wrapText="1" readingOrder="1"/>
    </xf>
    <xf numFmtId="4" fontId="473" fillId="469" borderId="466" xfId="0" applyNumberFormat="1" applyFont="1" applyFill="1" applyBorder="1" applyAlignment="1">
      <alignment horizontal="right" wrapText="1" readingOrder="1"/>
    </xf>
    <xf numFmtId="4" fontId="474" fillId="470" borderId="467" xfId="0" applyNumberFormat="1" applyFont="1" applyFill="1" applyBorder="1" applyAlignment="1">
      <alignment horizontal="right" wrapText="1" readingOrder="1"/>
    </xf>
    <xf numFmtId="4" fontId="475" fillId="471" borderId="468" xfId="0" applyNumberFormat="1" applyFont="1" applyFill="1" applyBorder="1" applyAlignment="1">
      <alignment horizontal="right" wrapText="1" readingOrder="1"/>
    </xf>
    <xf numFmtId="4" fontId="476" fillId="472" borderId="469" xfId="0" applyNumberFormat="1" applyFont="1" applyFill="1" applyBorder="1" applyAlignment="1">
      <alignment horizontal="right" wrapText="1" readingOrder="1"/>
    </xf>
    <xf numFmtId="4" fontId="477" fillId="473" borderId="470" xfId="0" applyNumberFormat="1" applyFont="1" applyFill="1" applyBorder="1" applyAlignment="1">
      <alignment horizontal="right" wrapText="1" readingOrder="1"/>
    </xf>
    <xf numFmtId="4" fontId="478" fillId="474" borderId="471" xfId="0" applyNumberFormat="1" applyFont="1" applyFill="1" applyBorder="1" applyAlignment="1">
      <alignment horizontal="right" wrapText="1" readingOrder="1"/>
    </xf>
    <xf numFmtId="4" fontId="479" fillId="475" borderId="472" xfId="0" applyNumberFormat="1" applyFont="1" applyFill="1" applyBorder="1" applyAlignment="1">
      <alignment horizontal="right" wrapText="1" readingOrder="1"/>
    </xf>
    <xf numFmtId="4" fontId="480" fillId="476" borderId="473" xfId="0" applyNumberFormat="1" applyFont="1" applyFill="1" applyBorder="1" applyAlignment="1">
      <alignment horizontal="right" wrapText="1" readingOrder="1"/>
    </xf>
    <xf numFmtId="4" fontId="481" fillId="477" borderId="474" xfId="0" applyNumberFormat="1" applyFont="1" applyFill="1" applyBorder="1" applyAlignment="1">
      <alignment horizontal="right" wrapText="1" readingOrder="1"/>
    </xf>
    <xf numFmtId="4" fontId="482" fillId="478" borderId="475" xfId="0" applyNumberFormat="1" applyFont="1" applyFill="1" applyBorder="1" applyAlignment="1">
      <alignment horizontal="right" wrapText="1" readingOrder="1"/>
    </xf>
    <xf numFmtId="4" fontId="483" fillId="479" borderId="476" xfId="0" applyNumberFormat="1" applyFont="1" applyFill="1" applyBorder="1" applyAlignment="1">
      <alignment horizontal="right" wrapText="1" readingOrder="1"/>
    </xf>
    <xf numFmtId="4" fontId="484" fillId="480" borderId="477" xfId="0" applyNumberFormat="1" applyFont="1" applyFill="1" applyBorder="1" applyAlignment="1">
      <alignment horizontal="right" wrapText="1" readingOrder="1"/>
    </xf>
    <xf numFmtId="4" fontId="485" fillId="481" borderId="478" xfId="0" applyNumberFormat="1" applyFont="1" applyFill="1" applyBorder="1" applyAlignment="1">
      <alignment horizontal="right" wrapText="1" readingOrder="1"/>
    </xf>
    <xf numFmtId="4" fontId="486" fillId="482" borderId="479" xfId="0" applyNumberFormat="1" applyFont="1" applyFill="1" applyBorder="1" applyAlignment="1">
      <alignment horizontal="right" wrapText="1" readingOrder="1"/>
    </xf>
    <xf numFmtId="4" fontId="487" fillId="483" borderId="480" xfId="0" applyNumberFormat="1" applyFont="1" applyFill="1" applyBorder="1" applyAlignment="1">
      <alignment horizontal="right" wrapText="1" readingOrder="1"/>
    </xf>
    <xf numFmtId="4" fontId="488" fillId="484" borderId="481" xfId="0" applyNumberFormat="1" applyFont="1" applyFill="1" applyBorder="1" applyAlignment="1">
      <alignment horizontal="right" wrapText="1" readingOrder="1"/>
    </xf>
    <xf numFmtId="4" fontId="489" fillId="485" borderId="482" xfId="0" applyNumberFormat="1" applyFont="1" applyFill="1" applyBorder="1" applyAlignment="1">
      <alignment horizontal="right" wrapText="1" readingOrder="1"/>
    </xf>
    <xf numFmtId="4" fontId="490" fillId="486" borderId="483" xfId="0" applyNumberFormat="1" applyFont="1" applyFill="1" applyBorder="1" applyAlignment="1">
      <alignment horizontal="right" wrapText="1" readingOrder="1"/>
    </xf>
    <xf numFmtId="4" fontId="491" fillId="487" borderId="484" xfId="0" applyNumberFormat="1" applyFont="1" applyFill="1" applyBorder="1" applyAlignment="1">
      <alignment horizontal="right" wrapText="1" readingOrder="1"/>
    </xf>
    <xf numFmtId="4" fontId="492" fillId="488" borderId="485" xfId="0" applyNumberFormat="1" applyFont="1" applyFill="1" applyBorder="1" applyAlignment="1">
      <alignment horizontal="right" wrapText="1" readingOrder="1"/>
    </xf>
    <xf numFmtId="4" fontId="493" fillId="489" borderId="486" xfId="0" applyNumberFormat="1" applyFont="1" applyFill="1" applyBorder="1" applyAlignment="1">
      <alignment horizontal="right" wrapText="1" readingOrder="1"/>
    </xf>
    <xf numFmtId="4" fontId="494" fillId="490" borderId="487" xfId="0" applyNumberFormat="1" applyFont="1" applyFill="1" applyBorder="1" applyAlignment="1">
      <alignment horizontal="right" wrapText="1" readingOrder="1"/>
    </xf>
    <xf numFmtId="4" fontId="495" fillId="491" borderId="488" xfId="0" applyNumberFormat="1" applyFont="1" applyFill="1" applyBorder="1" applyAlignment="1">
      <alignment horizontal="right" wrapText="1" readingOrder="1"/>
    </xf>
    <xf numFmtId="4" fontId="496" fillId="492" borderId="489" xfId="0" applyNumberFormat="1" applyFont="1" applyFill="1" applyBorder="1" applyAlignment="1">
      <alignment horizontal="right" wrapText="1" readingOrder="1"/>
    </xf>
    <xf numFmtId="4" fontId="497" fillId="493" borderId="490" xfId="0" applyNumberFormat="1" applyFont="1" applyFill="1" applyBorder="1" applyAlignment="1">
      <alignment horizontal="right" wrapText="1" readingOrder="1"/>
    </xf>
    <xf numFmtId="4" fontId="498" fillId="494" borderId="491" xfId="0" applyNumberFormat="1" applyFont="1" applyFill="1" applyBorder="1" applyAlignment="1">
      <alignment horizontal="right" wrapText="1" readingOrder="1"/>
    </xf>
    <xf numFmtId="4" fontId="499" fillId="495" borderId="492" xfId="0" applyNumberFormat="1" applyFont="1" applyFill="1" applyBorder="1" applyAlignment="1">
      <alignment horizontal="right" wrapText="1" readingOrder="1"/>
    </xf>
    <xf numFmtId="4" fontId="500" fillId="496" borderId="493" xfId="0" applyNumberFormat="1" applyFont="1" applyFill="1" applyBorder="1" applyAlignment="1">
      <alignment horizontal="right" wrapText="1" readingOrder="1"/>
    </xf>
    <xf numFmtId="4" fontId="501" fillId="497" borderId="494" xfId="0" applyNumberFormat="1" applyFont="1" applyFill="1" applyBorder="1" applyAlignment="1">
      <alignment horizontal="right" wrapText="1" readingOrder="1"/>
    </xf>
    <xf numFmtId="4" fontId="502" fillId="498" borderId="495" xfId="0" applyNumberFormat="1" applyFont="1" applyFill="1" applyBorder="1" applyAlignment="1">
      <alignment horizontal="right" wrapText="1" readingOrder="1"/>
    </xf>
    <xf numFmtId="4" fontId="503" fillId="499" borderId="496" xfId="0" applyNumberFormat="1" applyFont="1" applyFill="1" applyBorder="1" applyAlignment="1">
      <alignment horizontal="right" wrapText="1" readingOrder="1"/>
    </xf>
    <xf numFmtId="4" fontId="504" fillId="500" borderId="497" xfId="0" applyNumberFormat="1" applyFont="1" applyFill="1" applyBorder="1" applyAlignment="1">
      <alignment horizontal="right" wrapText="1" readingOrder="1"/>
    </xf>
    <xf numFmtId="4" fontId="505" fillId="501" borderId="498" xfId="0" applyNumberFormat="1" applyFont="1" applyFill="1" applyBorder="1" applyAlignment="1">
      <alignment horizontal="right" wrapText="1" readingOrder="1"/>
    </xf>
    <xf numFmtId="4" fontId="506" fillId="502" borderId="499" xfId="0" applyNumberFormat="1" applyFont="1" applyFill="1" applyBorder="1" applyAlignment="1">
      <alignment horizontal="right" wrapText="1" readingOrder="1"/>
    </xf>
    <xf numFmtId="4" fontId="507" fillId="503" borderId="500" xfId="0" applyNumberFormat="1" applyFont="1" applyFill="1" applyBorder="1" applyAlignment="1">
      <alignment horizontal="right" wrapText="1" readingOrder="1"/>
    </xf>
    <xf numFmtId="4" fontId="508" fillId="504" borderId="501" xfId="0" applyNumberFormat="1" applyFont="1" applyFill="1" applyBorder="1" applyAlignment="1">
      <alignment horizontal="right" wrapText="1" readingOrder="1"/>
    </xf>
    <xf numFmtId="4" fontId="509" fillId="505" borderId="502" xfId="0" applyNumberFormat="1" applyFont="1" applyFill="1" applyBorder="1" applyAlignment="1">
      <alignment horizontal="right" wrapText="1" readingOrder="1"/>
    </xf>
    <xf numFmtId="4" fontId="510" fillId="506" borderId="503" xfId="0" applyNumberFormat="1" applyFont="1" applyFill="1" applyBorder="1" applyAlignment="1">
      <alignment horizontal="right" wrapText="1" readingOrder="1"/>
    </xf>
    <xf numFmtId="4" fontId="511" fillId="507" borderId="504" xfId="0" applyNumberFormat="1" applyFont="1" applyFill="1" applyBorder="1" applyAlignment="1">
      <alignment horizontal="right" wrapText="1" readingOrder="1"/>
    </xf>
    <xf numFmtId="4" fontId="512" fillId="508" borderId="505" xfId="0" applyNumberFormat="1" applyFont="1" applyFill="1" applyBorder="1" applyAlignment="1">
      <alignment horizontal="right" wrapText="1" readingOrder="1"/>
    </xf>
    <xf numFmtId="4" fontId="513" fillId="509" borderId="506" xfId="0" applyNumberFormat="1" applyFont="1" applyFill="1" applyBorder="1" applyAlignment="1">
      <alignment horizontal="right" wrapText="1" readingOrder="1"/>
    </xf>
    <xf numFmtId="4" fontId="514" fillId="510" borderId="507" xfId="0" applyNumberFormat="1" applyFont="1" applyFill="1" applyBorder="1" applyAlignment="1">
      <alignment horizontal="right" wrapText="1" readingOrder="1"/>
    </xf>
    <xf numFmtId="4" fontId="515" fillId="511" borderId="508" xfId="0" applyNumberFormat="1" applyFont="1" applyFill="1" applyBorder="1" applyAlignment="1">
      <alignment horizontal="right" wrapText="1" readingOrder="1"/>
    </xf>
    <xf numFmtId="4" fontId="516" fillId="512" borderId="509" xfId="0" applyNumberFormat="1" applyFont="1" applyFill="1" applyBorder="1" applyAlignment="1">
      <alignment horizontal="right" wrapText="1" readingOrder="1"/>
    </xf>
    <xf numFmtId="4" fontId="517" fillId="513" borderId="510" xfId="0" applyNumberFormat="1" applyFont="1" applyFill="1" applyBorder="1" applyAlignment="1">
      <alignment horizontal="right" wrapText="1" readingOrder="1"/>
    </xf>
    <xf numFmtId="4" fontId="518" fillId="514" borderId="511" xfId="0" applyNumberFormat="1" applyFont="1" applyFill="1" applyBorder="1" applyAlignment="1">
      <alignment horizontal="right" wrapText="1" readingOrder="1"/>
    </xf>
    <xf numFmtId="4" fontId="519" fillId="515" borderId="512" xfId="0" applyNumberFormat="1" applyFont="1" applyFill="1" applyBorder="1" applyAlignment="1">
      <alignment horizontal="right" wrapText="1" readingOrder="1"/>
    </xf>
    <xf numFmtId="4" fontId="520" fillId="516" borderId="513" xfId="0" applyNumberFormat="1" applyFont="1" applyFill="1" applyBorder="1" applyAlignment="1">
      <alignment horizontal="right" wrapText="1" readingOrder="1"/>
    </xf>
    <xf numFmtId="4" fontId="521" fillId="517" borderId="514" xfId="0" applyNumberFormat="1" applyFont="1" applyFill="1" applyBorder="1" applyAlignment="1">
      <alignment horizontal="right" wrapText="1" readingOrder="1"/>
    </xf>
    <xf numFmtId="4" fontId="522" fillId="518" borderId="515" xfId="0" applyNumberFormat="1" applyFont="1" applyFill="1" applyBorder="1" applyAlignment="1">
      <alignment horizontal="right" wrapText="1" readingOrder="1"/>
    </xf>
    <xf numFmtId="4" fontId="523" fillId="519" borderId="516" xfId="0" applyNumberFormat="1" applyFont="1" applyFill="1" applyBorder="1" applyAlignment="1">
      <alignment horizontal="right" wrapText="1" readingOrder="1"/>
    </xf>
    <xf numFmtId="4" fontId="524" fillId="520" borderId="517" xfId="0" applyNumberFormat="1" applyFont="1" applyFill="1" applyBorder="1" applyAlignment="1">
      <alignment horizontal="right" wrapText="1" readingOrder="1"/>
    </xf>
    <xf numFmtId="4" fontId="525" fillId="521" borderId="518" xfId="0" applyNumberFormat="1" applyFont="1" applyFill="1" applyBorder="1" applyAlignment="1">
      <alignment horizontal="right" wrapText="1" readingOrder="1"/>
    </xf>
    <xf numFmtId="4" fontId="526" fillId="522" borderId="519" xfId="0" applyNumberFormat="1" applyFont="1" applyFill="1" applyBorder="1" applyAlignment="1">
      <alignment horizontal="right" wrapText="1" readingOrder="1"/>
    </xf>
    <xf numFmtId="4" fontId="527" fillId="523" borderId="520" xfId="0" applyNumberFormat="1" applyFont="1" applyFill="1" applyBorder="1" applyAlignment="1">
      <alignment horizontal="right" wrapText="1" readingOrder="1"/>
    </xf>
    <xf numFmtId="4" fontId="528" fillId="524" borderId="521" xfId="0" applyNumberFormat="1" applyFont="1" applyFill="1" applyBorder="1" applyAlignment="1">
      <alignment horizontal="right" wrapText="1" readingOrder="1"/>
    </xf>
    <xf numFmtId="4" fontId="529" fillId="525" borderId="522" xfId="0" applyNumberFormat="1" applyFont="1" applyFill="1" applyBorder="1" applyAlignment="1">
      <alignment horizontal="right" wrapText="1" readingOrder="1"/>
    </xf>
    <xf numFmtId="4" fontId="530" fillId="526" borderId="523" xfId="0" applyNumberFormat="1" applyFont="1" applyFill="1" applyBorder="1" applyAlignment="1">
      <alignment horizontal="right" wrapText="1" readingOrder="1"/>
    </xf>
    <xf numFmtId="4" fontId="531" fillId="527" borderId="524" xfId="0" applyNumberFormat="1" applyFont="1" applyFill="1" applyBorder="1" applyAlignment="1">
      <alignment horizontal="right" wrapText="1" readingOrder="1"/>
    </xf>
    <xf numFmtId="4" fontId="532" fillId="528" borderId="525" xfId="0" applyNumberFormat="1" applyFont="1" applyFill="1" applyBorder="1" applyAlignment="1">
      <alignment horizontal="right" wrapText="1" readingOrder="1"/>
    </xf>
    <xf numFmtId="4" fontId="533" fillId="529" borderId="526" xfId="0" applyNumberFormat="1" applyFont="1" applyFill="1" applyBorder="1" applyAlignment="1">
      <alignment horizontal="right" wrapText="1" readingOrder="1"/>
    </xf>
    <xf numFmtId="4" fontId="534" fillId="530" borderId="527" xfId="0" applyNumberFormat="1" applyFont="1" applyFill="1" applyBorder="1" applyAlignment="1">
      <alignment horizontal="right" wrapText="1" readingOrder="1"/>
    </xf>
    <xf numFmtId="4" fontId="535" fillId="531" borderId="528" xfId="0" applyNumberFormat="1" applyFont="1" applyFill="1" applyBorder="1" applyAlignment="1">
      <alignment horizontal="right" wrapText="1" readingOrder="1"/>
    </xf>
    <xf numFmtId="4" fontId="536" fillId="532" borderId="529" xfId="0" applyNumberFormat="1" applyFont="1" applyFill="1" applyBorder="1" applyAlignment="1">
      <alignment horizontal="right" wrapText="1" readingOrder="1"/>
    </xf>
    <xf numFmtId="4" fontId="537" fillId="533" borderId="530" xfId="0" applyNumberFormat="1" applyFont="1" applyFill="1" applyBorder="1" applyAlignment="1">
      <alignment horizontal="right" wrapText="1" readingOrder="1"/>
    </xf>
    <xf numFmtId="4" fontId="538" fillId="534" borderId="531" xfId="0" applyNumberFormat="1" applyFont="1" applyFill="1" applyBorder="1" applyAlignment="1">
      <alignment horizontal="right" wrapText="1" readingOrder="1"/>
    </xf>
    <xf numFmtId="4" fontId="539" fillId="535" borderId="532" xfId="0" applyNumberFormat="1" applyFont="1" applyFill="1" applyBorder="1" applyAlignment="1">
      <alignment horizontal="right" wrapText="1" readingOrder="1"/>
    </xf>
    <xf numFmtId="4" fontId="540" fillId="536" borderId="533" xfId="0" applyNumberFormat="1" applyFont="1" applyFill="1" applyBorder="1" applyAlignment="1">
      <alignment horizontal="right" wrapText="1" readingOrder="1"/>
    </xf>
    <xf numFmtId="4" fontId="541" fillId="537" borderId="534" xfId="0" applyNumberFormat="1" applyFont="1" applyFill="1" applyBorder="1" applyAlignment="1">
      <alignment horizontal="right" wrapText="1" readingOrder="1"/>
    </xf>
    <xf numFmtId="4" fontId="542" fillId="538" borderId="535" xfId="0" applyNumberFormat="1" applyFont="1" applyFill="1" applyBorder="1" applyAlignment="1">
      <alignment horizontal="right" wrapText="1" readingOrder="1"/>
    </xf>
    <xf numFmtId="4" fontId="543" fillId="539" borderId="536" xfId="0" applyNumberFormat="1" applyFont="1" applyFill="1" applyBorder="1" applyAlignment="1">
      <alignment horizontal="right" wrapText="1" readingOrder="1"/>
    </xf>
    <xf numFmtId="4" fontId="544" fillId="540" borderId="537" xfId="0" applyNumberFormat="1" applyFont="1" applyFill="1" applyBorder="1" applyAlignment="1">
      <alignment horizontal="right" wrapText="1" readingOrder="1"/>
    </xf>
    <xf numFmtId="4" fontId="545" fillId="541" borderId="538" xfId="0" applyNumberFormat="1" applyFont="1" applyFill="1" applyBorder="1" applyAlignment="1">
      <alignment horizontal="right" wrapText="1" readingOrder="1"/>
    </xf>
    <xf numFmtId="4" fontId="546" fillId="542" borderId="539" xfId="0" applyNumberFormat="1" applyFont="1" applyFill="1" applyBorder="1" applyAlignment="1">
      <alignment horizontal="right" wrapText="1" readingOrder="1"/>
    </xf>
    <xf numFmtId="4" fontId="547" fillId="543" borderId="540" xfId="0" applyNumberFormat="1" applyFont="1" applyFill="1" applyBorder="1" applyAlignment="1">
      <alignment horizontal="right" wrapText="1" readingOrder="1"/>
    </xf>
    <xf numFmtId="4" fontId="548" fillId="544" borderId="541" xfId="0" applyNumberFormat="1" applyFont="1" applyFill="1" applyBorder="1" applyAlignment="1">
      <alignment horizontal="right" wrapText="1" readingOrder="1"/>
    </xf>
    <xf numFmtId="4" fontId="549" fillId="545" borderId="542" xfId="0" applyNumberFormat="1" applyFont="1" applyFill="1" applyBorder="1" applyAlignment="1">
      <alignment horizontal="right" wrapText="1" readingOrder="1"/>
    </xf>
    <xf numFmtId="4" fontId="550" fillId="546" borderId="543" xfId="0" applyNumberFormat="1" applyFont="1" applyFill="1" applyBorder="1" applyAlignment="1">
      <alignment horizontal="right" wrapText="1" readingOrder="1"/>
    </xf>
    <xf numFmtId="4" fontId="551" fillId="547" borderId="544" xfId="0" applyNumberFormat="1" applyFont="1" applyFill="1" applyBorder="1" applyAlignment="1">
      <alignment horizontal="right" wrapText="1" readingOrder="1"/>
    </xf>
    <xf numFmtId="4" fontId="552" fillId="548" borderId="545" xfId="0" applyNumberFormat="1" applyFont="1" applyFill="1" applyBorder="1" applyAlignment="1">
      <alignment horizontal="right" wrapText="1" readingOrder="1"/>
    </xf>
    <xf numFmtId="4" fontId="553" fillId="549" borderId="546" xfId="0" applyNumberFormat="1" applyFont="1" applyFill="1" applyBorder="1" applyAlignment="1">
      <alignment horizontal="right" wrapText="1" readingOrder="1"/>
    </xf>
    <xf numFmtId="4" fontId="554" fillId="550" borderId="547" xfId="0" applyNumberFormat="1" applyFont="1" applyFill="1" applyBorder="1" applyAlignment="1">
      <alignment horizontal="right" wrapText="1" readingOrder="1"/>
    </xf>
    <xf numFmtId="4" fontId="555" fillId="551" borderId="548" xfId="0" applyNumberFormat="1" applyFont="1" applyFill="1" applyBorder="1" applyAlignment="1">
      <alignment horizontal="right" wrapText="1" readingOrder="1"/>
    </xf>
    <xf numFmtId="4" fontId="556" fillId="552" borderId="549" xfId="0" applyNumberFormat="1" applyFont="1" applyFill="1" applyBorder="1" applyAlignment="1">
      <alignment horizontal="right" wrapText="1" readingOrder="1"/>
    </xf>
    <xf numFmtId="4" fontId="557" fillId="553" borderId="550" xfId="0" applyNumberFormat="1" applyFont="1" applyFill="1" applyBorder="1" applyAlignment="1">
      <alignment horizontal="right" wrapText="1" readingOrder="1"/>
    </xf>
    <xf numFmtId="3" fontId="0" fillId="0" borderId="0" xfId="0" applyNumberFormat="1"/>
    <xf numFmtId="4" fontId="448" fillId="444" borderId="551" xfId="0" applyNumberFormat="1" applyFont="1" applyFill="1" applyBorder="1" applyAlignment="1">
      <alignment horizontal="right" wrapText="1" readingOrder="1"/>
    </xf>
    <xf numFmtId="4" fontId="449" fillId="445" borderId="551" xfId="0" applyNumberFormat="1" applyFont="1" applyFill="1" applyBorder="1" applyAlignment="1">
      <alignment horizontal="right" wrapText="1" readingOrder="1"/>
    </xf>
    <xf numFmtId="4" fontId="450" fillId="446" borderId="551" xfId="0" applyNumberFormat="1" applyFont="1" applyFill="1" applyBorder="1" applyAlignment="1">
      <alignment horizontal="right" wrapText="1" readingOrder="1"/>
    </xf>
    <xf numFmtId="4" fontId="451" fillId="447" borderId="551" xfId="0" applyNumberFormat="1" applyFont="1" applyFill="1" applyBorder="1" applyAlignment="1">
      <alignment horizontal="right" wrapText="1" readingOrder="1"/>
    </xf>
    <xf numFmtId="4" fontId="452" fillId="448" borderId="551" xfId="0" applyNumberFormat="1" applyFont="1" applyFill="1" applyBorder="1" applyAlignment="1">
      <alignment horizontal="right" wrapText="1" readingOrder="1"/>
    </xf>
    <xf numFmtId="4" fontId="453" fillId="449" borderId="551" xfId="0" applyNumberFormat="1" applyFont="1" applyFill="1" applyBorder="1" applyAlignment="1">
      <alignment horizontal="right" wrapText="1" readingOrder="1"/>
    </xf>
    <xf numFmtId="4" fontId="454" fillId="450" borderId="551" xfId="0" applyNumberFormat="1" applyFont="1" applyFill="1" applyBorder="1" applyAlignment="1">
      <alignment horizontal="right" wrapText="1" readingOrder="1"/>
    </xf>
    <xf numFmtId="4" fontId="455" fillId="451" borderId="551" xfId="0" applyNumberFormat="1" applyFont="1" applyFill="1" applyBorder="1" applyAlignment="1">
      <alignment horizontal="right" wrapText="1" readingOrder="1"/>
    </xf>
    <xf numFmtId="4" fontId="456" fillId="452" borderId="551" xfId="0" applyNumberFormat="1" applyFont="1" applyFill="1" applyBorder="1" applyAlignment="1">
      <alignment horizontal="right" wrapText="1" readingOrder="1"/>
    </xf>
    <xf numFmtId="4" fontId="457" fillId="453" borderId="551" xfId="0" applyNumberFormat="1" applyFont="1" applyFill="1" applyBorder="1" applyAlignment="1">
      <alignment horizontal="right" wrapText="1" readingOrder="1"/>
    </xf>
    <xf numFmtId="4" fontId="458" fillId="454" borderId="551" xfId="0" applyNumberFormat="1" applyFont="1" applyFill="1" applyBorder="1" applyAlignment="1">
      <alignment horizontal="right" wrapText="1" readingOrder="1"/>
    </xf>
    <xf numFmtId="4" fontId="459" fillId="455" borderId="551" xfId="0" applyNumberFormat="1" applyFont="1" applyFill="1" applyBorder="1" applyAlignment="1">
      <alignment horizontal="right" wrapText="1" readingOrder="1"/>
    </xf>
    <xf numFmtId="4" fontId="460" fillId="456" borderId="551" xfId="0" applyNumberFormat="1" applyFont="1" applyFill="1" applyBorder="1" applyAlignment="1">
      <alignment horizontal="right" wrapText="1" readingOrder="1"/>
    </xf>
    <xf numFmtId="4" fontId="461" fillId="457" borderId="551" xfId="0" applyNumberFormat="1" applyFont="1" applyFill="1" applyBorder="1" applyAlignment="1">
      <alignment horizontal="right" wrapText="1" readingOrder="1"/>
    </xf>
    <xf numFmtId="4" fontId="462" fillId="458" borderId="551" xfId="0" applyNumberFormat="1" applyFont="1" applyFill="1" applyBorder="1" applyAlignment="1">
      <alignment horizontal="right" wrapText="1" readingOrder="1"/>
    </xf>
    <xf numFmtId="4" fontId="463" fillId="459" borderId="551" xfId="0" applyNumberFormat="1" applyFont="1" applyFill="1" applyBorder="1" applyAlignment="1">
      <alignment horizontal="right" wrapText="1" readingOrder="1"/>
    </xf>
    <xf numFmtId="4" fontId="464" fillId="460" borderId="551" xfId="0" applyNumberFormat="1" applyFont="1" applyFill="1" applyBorder="1" applyAlignment="1">
      <alignment horizontal="right" wrapText="1" readingOrder="1"/>
    </xf>
    <xf numFmtId="4" fontId="465" fillId="461" borderId="551" xfId="0" applyNumberFormat="1" applyFont="1" applyFill="1" applyBorder="1" applyAlignment="1">
      <alignment horizontal="right" wrapText="1" readingOrder="1"/>
    </xf>
    <xf numFmtId="4" fontId="466" fillId="462" borderId="551" xfId="0" applyNumberFormat="1" applyFont="1" applyFill="1" applyBorder="1" applyAlignment="1">
      <alignment horizontal="right" wrapText="1" readingOrder="1"/>
    </xf>
    <xf numFmtId="4" fontId="467" fillId="463" borderId="551" xfId="0" applyNumberFormat="1" applyFont="1" applyFill="1" applyBorder="1" applyAlignment="1">
      <alignment horizontal="right" wrapText="1" readingOrder="1"/>
    </xf>
    <xf numFmtId="4" fontId="468" fillId="464" borderId="551" xfId="0" applyNumberFormat="1" applyFont="1" applyFill="1" applyBorder="1" applyAlignment="1">
      <alignment horizontal="right" wrapText="1" readingOrder="1"/>
    </xf>
    <xf numFmtId="4" fontId="469" fillId="465" borderId="551" xfId="0" applyNumberFormat="1" applyFont="1" applyFill="1" applyBorder="1" applyAlignment="1">
      <alignment horizontal="right" wrapText="1" readingOrder="1"/>
    </xf>
    <xf numFmtId="4" fontId="470" fillId="466" borderId="551" xfId="0" applyNumberFormat="1" applyFont="1" applyFill="1" applyBorder="1" applyAlignment="1">
      <alignment horizontal="right" wrapText="1" readingOrder="1"/>
    </xf>
    <xf numFmtId="4" fontId="471" fillId="467" borderId="551" xfId="0" applyNumberFormat="1" applyFont="1" applyFill="1" applyBorder="1" applyAlignment="1">
      <alignment horizontal="right" wrapText="1" readingOrder="1"/>
    </xf>
    <xf numFmtId="4" fontId="472" fillId="468" borderId="551" xfId="0" applyNumberFormat="1" applyFont="1" applyFill="1" applyBorder="1" applyAlignment="1">
      <alignment horizontal="right" wrapText="1" readingOrder="1"/>
    </xf>
    <xf numFmtId="4" fontId="473" fillId="469" borderId="551" xfId="0" applyNumberFormat="1" applyFont="1" applyFill="1" applyBorder="1" applyAlignment="1">
      <alignment horizontal="right" wrapText="1" readingOrder="1"/>
    </xf>
    <xf numFmtId="4" fontId="474" fillId="470" borderId="551" xfId="0" applyNumberFormat="1" applyFont="1" applyFill="1" applyBorder="1" applyAlignment="1">
      <alignment horizontal="right" wrapText="1" readingOrder="1"/>
    </xf>
    <xf numFmtId="4" fontId="475" fillId="471" borderId="551" xfId="0" applyNumberFormat="1" applyFont="1" applyFill="1" applyBorder="1" applyAlignment="1">
      <alignment horizontal="right" wrapText="1" readingOrder="1"/>
    </xf>
    <xf numFmtId="4" fontId="476" fillId="472" borderId="551" xfId="0" applyNumberFormat="1" applyFont="1" applyFill="1" applyBorder="1" applyAlignment="1">
      <alignment horizontal="right" wrapText="1" readingOrder="1"/>
    </xf>
    <xf numFmtId="4" fontId="477" fillId="473" borderId="551" xfId="0" applyNumberFormat="1" applyFont="1" applyFill="1" applyBorder="1" applyAlignment="1">
      <alignment horizontal="right" wrapText="1" readingOrder="1"/>
    </xf>
    <xf numFmtId="4" fontId="478" fillId="474" borderId="551" xfId="0" applyNumberFormat="1" applyFont="1" applyFill="1" applyBorder="1" applyAlignment="1">
      <alignment horizontal="right" wrapText="1" readingOrder="1"/>
    </xf>
    <xf numFmtId="4" fontId="479" fillId="475" borderId="551" xfId="0" applyNumberFormat="1" applyFont="1" applyFill="1" applyBorder="1" applyAlignment="1">
      <alignment horizontal="right" wrapText="1" readingOrder="1"/>
    </xf>
    <xf numFmtId="4" fontId="480" fillId="476" borderId="551" xfId="0" applyNumberFormat="1" applyFont="1" applyFill="1" applyBorder="1" applyAlignment="1">
      <alignment horizontal="right" wrapText="1" readingOrder="1"/>
    </xf>
    <xf numFmtId="4" fontId="481" fillId="477" borderId="551" xfId="0" applyNumberFormat="1" applyFont="1" applyFill="1" applyBorder="1" applyAlignment="1">
      <alignment horizontal="right" wrapText="1" readingOrder="1"/>
    </xf>
    <xf numFmtId="4" fontId="482" fillId="478" borderId="551" xfId="0" applyNumberFormat="1" applyFont="1" applyFill="1" applyBorder="1" applyAlignment="1">
      <alignment horizontal="right" wrapText="1" readingOrder="1"/>
    </xf>
    <xf numFmtId="4" fontId="483" fillId="479" borderId="551" xfId="0" applyNumberFormat="1" applyFont="1" applyFill="1" applyBorder="1" applyAlignment="1">
      <alignment horizontal="right" wrapText="1" readingOrder="1"/>
    </xf>
    <xf numFmtId="4" fontId="484" fillId="480" borderId="551" xfId="0" applyNumberFormat="1" applyFont="1" applyFill="1" applyBorder="1" applyAlignment="1">
      <alignment horizontal="right" wrapText="1" readingOrder="1"/>
    </xf>
    <xf numFmtId="4" fontId="485" fillId="481" borderId="551" xfId="0" applyNumberFormat="1" applyFont="1" applyFill="1" applyBorder="1" applyAlignment="1">
      <alignment horizontal="right" wrapText="1" readingOrder="1"/>
    </xf>
    <xf numFmtId="4" fontId="486" fillId="482" borderId="551" xfId="0" applyNumberFormat="1" applyFont="1" applyFill="1" applyBorder="1" applyAlignment="1">
      <alignment horizontal="right" wrapText="1" readingOrder="1"/>
    </xf>
    <xf numFmtId="4" fontId="487" fillId="483" borderId="551" xfId="0" applyNumberFormat="1" applyFont="1" applyFill="1" applyBorder="1" applyAlignment="1">
      <alignment horizontal="right" wrapText="1" readingOrder="1"/>
    </xf>
    <xf numFmtId="4" fontId="488" fillId="484" borderId="551" xfId="0" applyNumberFormat="1" applyFont="1" applyFill="1" applyBorder="1" applyAlignment="1">
      <alignment horizontal="right" wrapText="1" readingOrder="1"/>
    </xf>
    <xf numFmtId="4" fontId="489" fillId="485" borderId="551" xfId="0" applyNumberFormat="1" applyFont="1" applyFill="1" applyBorder="1" applyAlignment="1">
      <alignment horizontal="right" wrapText="1" readingOrder="1"/>
    </xf>
    <xf numFmtId="4" fontId="490" fillId="486" borderId="551" xfId="0" applyNumberFormat="1" applyFont="1" applyFill="1" applyBorder="1" applyAlignment="1">
      <alignment horizontal="right" wrapText="1" readingOrder="1"/>
    </xf>
    <xf numFmtId="4" fontId="491" fillId="487" borderId="551" xfId="0" applyNumberFormat="1" applyFont="1" applyFill="1" applyBorder="1" applyAlignment="1">
      <alignment horizontal="right" wrapText="1" readingOrder="1"/>
    </xf>
    <xf numFmtId="4" fontId="492" fillId="488" borderId="551" xfId="0" applyNumberFormat="1" applyFont="1" applyFill="1" applyBorder="1" applyAlignment="1">
      <alignment horizontal="right" wrapText="1" readingOrder="1"/>
    </xf>
    <xf numFmtId="4" fontId="493" fillId="489" borderId="551" xfId="0" applyNumberFormat="1" applyFont="1" applyFill="1" applyBorder="1" applyAlignment="1">
      <alignment horizontal="right" wrapText="1" readingOrder="1"/>
    </xf>
    <xf numFmtId="4" fontId="494" fillId="490" borderId="551" xfId="0" applyNumberFormat="1" applyFont="1" applyFill="1" applyBorder="1" applyAlignment="1">
      <alignment horizontal="right" wrapText="1" readingOrder="1"/>
    </xf>
    <xf numFmtId="4" fontId="495" fillId="491" borderId="551" xfId="0" applyNumberFormat="1" applyFont="1" applyFill="1" applyBorder="1" applyAlignment="1">
      <alignment horizontal="right" wrapText="1" readingOrder="1"/>
    </xf>
    <xf numFmtId="4" fontId="496" fillId="492" borderId="551" xfId="0" applyNumberFormat="1" applyFont="1" applyFill="1" applyBorder="1" applyAlignment="1">
      <alignment horizontal="right" wrapText="1" readingOrder="1"/>
    </xf>
    <xf numFmtId="4" fontId="497" fillId="493" borderId="551" xfId="0" applyNumberFormat="1" applyFont="1" applyFill="1" applyBorder="1" applyAlignment="1">
      <alignment horizontal="right" wrapText="1" readingOrder="1"/>
    </xf>
    <xf numFmtId="4" fontId="498" fillId="494" borderId="551" xfId="0" applyNumberFormat="1" applyFont="1" applyFill="1" applyBorder="1" applyAlignment="1">
      <alignment horizontal="right" wrapText="1" readingOrder="1"/>
    </xf>
    <xf numFmtId="4" fontId="499" fillId="495" borderId="551" xfId="0" applyNumberFormat="1" applyFont="1" applyFill="1" applyBorder="1" applyAlignment="1">
      <alignment horizontal="right" wrapText="1" readingOrder="1"/>
    </xf>
    <xf numFmtId="4" fontId="500" fillId="496" borderId="551" xfId="0" applyNumberFormat="1" applyFont="1" applyFill="1" applyBorder="1" applyAlignment="1">
      <alignment horizontal="right" wrapText="1" readingOrder="1"/>
    </xf>
    <xf numFmtId="4" fontId="501" fillId="497" borderId="551" xfId="0" applyNumberFormat="1" applyFont="1" applyFill="1" applyBorder="1" applyAlignment="1">
      <alignment horizontal="right" wrapText="1" readingOrder="1"/>
    </xf>
    <xf numFmtId="4" fontId="502" fillId="498" borderId="551" xfId="0" applyNumberFormat="1" applyFont="1" applyFill="1" applyBorder="1" applyAlignment="1">
      <alignment horizontal="right" wrapText="1" readingOrder="1"/>
    </xf>
    <xf numFmtId="4" fontId="503" fillId="499" borderId="551" xfId="0" applyNumberFormat="1" applyFont="1" applyFill="1" applyBorder="1" applyAlignment="1">
      <alignment horizontal="right" wrapText="1" readingOrder="1"/>
    </xf>
    <xf numFmtId="4" fontId="504" fillId="500" borderId="551" xfId="0" applyNumberFormat="1" applyFont="1" applyFill="1" applyBorder="1" applyAlignment="1">
      <alignment horizontal="right" wrapText="1" readingOrder="1"/>
    </xf>
    <xf numFmtId="4" fontId="505" fillId="501" borderId="551" xfId="0" applyNumberFormat="1" applyFont="1" applyFill="1" applyBorder="1" applyAlignment="1">
      <alignment horizontal="right" wrapText="1" readingOrder="1"/>
    </xf>
    <xf numFmtId="4" fontId="506" fillId="502" borderId="551" xfId="0" applyNumberFormat="1" applyFont="1" applyFill="1" applyBorder="1" applyAlignment="1">
      <alignment horizontal="right" wrapText="1" readingOrder="1"/>
    </xf>
    <xf numFmtId="4" fontId="507" fillId="503" borderId="551" xfId="0" applyNumberFormat="1" applyFont="1" applyFill="1" applyBorder="1" applyAlignment="1">
      <alignment horizontal="right" wrapText="1" readingOrder="1"/>
    </xf>
    <xf numFmtId="4" fontId="508" fillId="504" borderId="551" xfId="0" applyNumberFormat="1" applyFont="1" applyFill="1" applyBorder="1" applyAlignment="1">
      <alignment horizontal="right" wrapText="1" readingOrder="1"/>
    </xf>
    <xf numFmtId="4" fontId="509" fillId="505" borderId="551" xfId="0" applyNumberFormat="1" applyFont="1" applyFill="1" applyBorder="1" applyAlignment="1">
      <alignment horizontal="right" wrapText="1" readingOrder="1"/>
    </xf>
    <xf numFmtId="4" fontId="510" fillId="506" borderId="551" xfId="0" applyNumberFormat="1" applyFont="1" applyFill="1" applyBorder="1" applyAlignment="1">
      <alignment horizontal="right" wrapText="1" readingOrder="1"/>
    </xf>
    <xf numFmtId="4" fontId="511" fillId="507" borderId="551" xfId="0" applyNumberFormat="1" applyFont="1" applyFill="1" applyBorder="1" applyAlignment="1">
      <alignment horizontal="right" wrapText="1" readingOrder="1"/>
    </xf>
    <xf numFmtId="4" fontId="512" fillId="508" borderId="551" xfId="0" applyNumberFormat="1" applyFont="1" applyFill="1" applyBorder="1" applyAlignment="1">
      <alignment horizontal="right" wrapText="1" readingOrder="1"/>
    </xf>
    <xf numFmtId="4" fontId="513" fillId="509" borderId="551" xfId="0" applyNumberFormat="1" applyFont="1" applyFill="1" applyBorder="1" applyAlignment="1">
      <alignment horizontal="right" wrapText="1" readingOrder="1"/>
    </xf>
    <xf numFmtId="4" fontId="514" fillId="510" borderId="551" xfId="0" applyNumberFormat="1" applyFont="1" applyFill="1" applyBorder="1" applyAlignment="1">
      <alignment horizontal="right" wrapText="1" readingOrder="1"/>
    </xf>
    <xf numFmtId="4" fontId="515" fillId="511" borderId="551" xfId="0" applyNumberFormat="1" applyFont="1" applyFill="1" applyBorder="1" applyAlignment="1">
      <alignment horizontal="right" wrapText="1" readingOrder="1"/>
    </xf>
    <xf numFmtId="4" fontId="516" fillId="512" borderId="551" xfId="0" applyNumberFormat="1" applyFont="1" applyFill="1" applyBorder="1" applyAlignment="1">
      <alignment horizontal="right" wrapText="1" readingOrder="1"/>
    </xf>
    <xf numFmtId="4" fontId="517" fillId="513" borderId="551" xfId="0" applyNumberFormat="1" applyFont="1" applyFill="1" applyBorder="1" applyAlignment="1">
      <alignment horizontal="right" wrapText="1" readingOrder="1"/>
    </xf>
    <xf numFmtId="4" fontId="518" fillId="514" borderId="551" xfId="0" applyNumberFormat="1" applyFont="1" applyFill="1" applyBorder="1" applyAlignment="1">
      <alignment horizontal="right" wrapText="1" readingOrder="1"/>
    </xf>
    <xf numFmtId="4" fontId="519" fillId="515" borderId="551" xfId="0" applyNumberFormat="1" applyFont="1" applyFill="1" applyBorder="1" applyAlignment="1">
      <alignment horizontal="right" wrapText="1" readingOrder="1"/>
    </xf>
    <xf numFmtId="4" fontId="520" fillId="516" borderId="551" xfId="0" applyNumberFormat="1" applyFont="1" applyFill="1" applyBorder="1" applyAlignment="1">
      <alignment horizontal="right" wrapText="1" readingOrder="1"/>
    </xf>
    <xf numFmtId="4" fontId="521" fillId="517" borderId="551" xfId="0" applyNumberFormat="1" applyFont="1" applyFill="1" applyBorder="1" applyAlignment="1">
      <alignment horizontal="right" wrapText="1" readingOrder="1"/>
    </xf>
    <xf numFmtId="4" fontId="522" fillId="518" borderId="551" xfId="0" applyNumberFormat="1" applyFont="1" applyFill="1" applyBorder="1" applyAlignment="1">
      <alignment horizontal="right" wrapText="1" readingOrder="1"/>
    </xf>
    <xf numFmtId="4" fontId="523" fillId="519" borderId="551" xfId="0" applyNumberFormat="1" applyFont="1" applyFill="1" applyBorder="1" applyAlignment="1">
      <alignment horizontal="right" wrapText="1" readingOrder="1"/>
    </xf>
    <xf numFmtId="4" fontId="524" fillId="520" borderId="551" xfId="0" applyNumberFormat="1" applyFont="1" applyFill="1" applyBorder="1" applyAlignment="1">
      <alignment horizontal="right" wrapText="1" readingOrder="1"/>
    </xf>
    <xf numFmtId="4" fontId="525" fillId="521" borderId="551" xfId="0" applyNumberFormat="1" applyFont="1" applyFill="1" applyBorder="1" applyAlignment="1">
      <alignment horizontal="right" wrapText="1" readingOrder="1"/>
    </xf>
    <xf numFmtId="4" fontId="526" fillId="522" borderId="551" xfId="0" applyNumberFormat="1" applyFont="1" applyFill="1" applyBorder="1" applyAlignment="1">
      <alignment horizontal="right" wrapText="1" readingOrder="1"/>
    </xf>
    <xf numFmtId="4" fontId="527" fillId="523" borderId="551" xfId="0" applyNumberFormat="1" applyFont="1" applyFill="1" applyBorder="1" applyAlignment="1">
      <alignment horizontal="right" wrapText="1" readingOrder="1"/>
    </xf>
    <xf numFmtId="4" fontId="528" fillId="524" borderId="551" xfId="0" applyNumberFormat="1" applyFont="1" applyFill="1" applyBorder="1" applyAlignment="1">
      <alignment horizontal="right" wrapText="1" readingOrder="1"/>
    </xf>
    <xf numFmtId="4" fontId="529" fillId="525" borderId="551" xfId="0" applyNumberFormat="1" applyFont="1" applyFill="1" applyBorder="1" applyAlignment="1">
      <alignment horizontal="right" wrapText="1" readingOrder="1"/>
    </xf>
    <xf numFmtId="4" fontId="530" fillId="526" borderId="551" xfId="0" applyNumberFormat="1" applyFont="1" applyFill="1" applyBorder="1" applyAlignment="1">
      <alignment horizontal="right" wrapText="1" readingOrder="1"/>
    </xf>
    <xf numFmtId="4" fontId="531" fillId="527" borderId="551" xfId="0" applyNumberFormat="1" applyFont="1" applyFill="1" applyBorder="1" applyAlignment="1">
      <alignment horizontal="right" wrapText="1" readingOrder="1"/>
    </xf>
    <xf numFmtId="4" fontId="532" fillId="528" borderId="551" xfId="0" applyNumberFormat="1" applyFont="1" applyFill="1" applyBorder="1" applyAlignment="1">
      <alignment horizontal="right" wrapText="1" readingOrder="1"/>
    </xf>
    <xf numFmtId="4" fontId="533" fillId="529" borderId="551" xfId="0" applyNumberFormat="1" applyFont="1" applyFill="1" applyBorder="1" applyAlignment="1">
      <alignment horizontal="right" wrapText="1" readingOrder="1"/>
    </xf>
    <xf numFmtId="4" fontId="534" fillId="530" borderId="551" xfId="0" applyNumberFormat="1" applyFont="1" applyFill="1" applyBorder="1" applyAlignment="1">
      <alignment horizontal="right" wrapText="1" readingOrder="1"/>
    </xf>
    <xf numFmtId="4" fontId="535" fillId="531" borderId="551" xfId="0" applyNumberFormat="1" applyFont="1" applyFill="1" applyBorder="1" applyAlignment="1">
      <alignment horizontal="right" wrapText="1" readingOrder="1"/>
    </xf>
    <xf numFmtId="4" fontId="536" fillId="532" borderId="551" xfId="0" applyNumberFormat="1" applyFont="1" applyFill="1" applyBorder="1" applyAlignment="1">
      <alignment horizontal="right" wrapText="1" readingOrder="1"/>
    </xf>
    <xf numFmtId="4" fontId="537" fillId="533" borderId="551" xfId="0" applyNumberFormat="1" applyFont="1" applyFill="1" applyBorder="1" applyAlignment="1">
      <alignment horizontal="right" wrapText="1" readingOrder="1"/>
    </xf>
    <xf numFmtId="4" fontId="538" fillId="534" borderId="551" xfId="0" applyNumberFormat="1" applyFont="1" applyFill="1" applyBorder="1" applyAlignment="1">
      <alignment horizontal="right" wrapText="1" readingOrder="1"/>
    </xf>
    <xf numFmtId="4" fontId="539" fillId="535" borderId="551" xfId="0" applyNumberFormat="1" applyFont="1" applyFill="1" applyBorder="1" applyAlignment="1">
      <alignment horizontal="right" wrapText="1" readingOrder="1"/>
    </xf>
    <xf numFmtId="4" fontId="540" fillId="536" borderId="551" xfId="0" applyNumberFormat="1" applyFont="1" applyFill="1" applyBorder="1" applyAlignment="1">
      <alignment horizontal="right" wrapText="1" readingOrder="1"/>
    </xf>
    <xf numFmtId="4" fontId="541" fillId="537" borderId="551" xfId="0" applyNumberFormat="1" applyFont="1" applyFill="1" applyBorder="1" applyAlignment="1">
      <alignment horizontal="right" wrapText="1" readingOrder="1"/>
    </xf>
    <xf numFmtId="4" fontId="542" fillId="538" borderId="551" xfId="0" applyNumberFormat="1" applyFont="1" applyFill="1" applyBorder="1" applyAlignment="1">
      <alignment horizontal="right" wrapText="1" readingOrder="1"/>
    </xf>
    <xf numFmtId="4" fontId="543" fillId="539" borderId="551" xfId="0" applyNumberFormat="1" applyFont="1" applyFill="1" applyBorder="1" applyAlignment="1">
      <alignment horizontal="right" wrapText="1" readingOrder="1"/>
    </xf>
    <xf numFmtId="4" fontId="544" fillId="540" borderId="551" xfId="0" applyNumberFormat="1" applyFont="1" applyFill="1" applyBorder="1" applyAlignment="1">
      <alignment horizontal="right" wrapText="1" readingOrder="1"/>
    </xf>
    <xf numFmtId="4" fontId="545" fillId="541" borderId="551" xfId="0" applyNumberFormat="1" applyFont="1" applyFill="1" applyBorder="1" applyAlignment="1">
      <alignment horizontal="right" wrapText="1" readingOrder="1"/>
    </xf>
    <xf numFmtId="4" fontId="546" fillId="542" borderId="551" xfId="0" applyNumberFormat="1" applyFont="1" applyFill="1" applyBorder="1" applyAlignment="1">
      <alignment horizontal="right" wrapText="1" readingOrder="1"/>
    </xf>
    <xf numFmtId="4" fontId="547" fillId="543" borderId="551" xfId="0" applyNumberFormat="1" applyFont="1" applyFill="1" applyBorder="1" applyAlignment="1">
      <alignment horizontal="right" wrapText="1" readingOrder="1"/>
    </xf>
    <xf numFmtId="4" fontId="548" fillId="544" borderId="551" xfId="0" applyNumberFormat="1" applyFont="1" applyFill="1" applyBorder="1" applyAlignment="1">
      <alignment horizontal="right" wrapText="1" readingOrder="1"/>
    </xf>
    <xf numFmtId="4" fontId="549" fillId="545" borderId="551" xfId="0" applyNumberFormat="1" applyFont="1" applyFill="1" applyBorder="1" applyAlignment="1">
      <alignment horizontal="right" wrapText="1" readingOrder="1"/>
    </xf>
    <xf numFmtId="4" fontId="550" fillId="546" borderId="551" xfId="0" applyNumberFormat="1" applyFont="1" applyFill="1" applyBorder="1" applyAlignment="1">
      <alignment horizontal="right" wrapText="1" readingOrder="1"/>
    </xf>
    <xf numFmtId="4" fontId="551" fillId="547" borderId="551" xfId="0" applyNumberFormat="1" applyFont="1" applyFill="1" applyBorder="1" applyAlignment="1">
      <alignment horizontal="right" wrapText="1" readingOrder="1"/>
    </xf>
    <xf numFmtId="4" fontId="552" fillId="548" borderId="551" xfId="0" applyNumberFormat="1" applyFont="1" applyFill="1" applyBorder="1" applyAlignment="1">
      <alignment horizontal="right" wrapText="1" readingOrder="1"/>
    </xf>
    <xf numFmtId="4" fontId="553" fillId="549" borderId="551" xfId="0" applyNumberFormat="1" applyFont="1" applyFill="1" applyBorder="1" applyAlignment="1">
      <alignment horizontal="right" wrapText="1" readingOrder="1"/>
    </xf>
    <xf numFmtId="4" fontId="554" fillId="550" borderId="551" xfId="0" applyNumberFormat="1" applyFont="1" applyFill="1" applyBorder="1" applyAlignment="1">
      <alignment horizontal="right" wrapText="1" readingOrder="1"/>
    </xf>
    <xf numFmtId="4" fontId="555" fillId="551" borderId="551" xfId="0" applyNumberFormat="1" applyFont="1" applyFill="1" applyBorder="1" applyAlignment="1">
      <alignment horizontal="right" wrapText="1" readingOrder="1"/>
    </xf>
    <xf numFmtId="4" fontId="556" fillId="552" borderId="551" xfId="0" applyNumberFormat="1" applyFont="1" applyFill="1" applyBorder="1" applyAlignment="1">
      <alignment horizontal="right" wrapText="1" readingOrder="1"/>
    </xf>
    <xf numFmtId="4" fontId="557" fillId="553" borderId="551" xfId="0" applyNumberFormat="1" applyFont="1" applyFill="1" applyBorder="1" applyAlignment="1">
      <alignment horizontal="right" wrapText="1" readingOrder="1"/>
    </xf>
    <xf numFmtId="0" fontId="0" fillId="554" borderId="0" xfId="0" applyFill="1"/>
    <xf numFmtId="164" fontId="0" fillId="0" borderId="0" xfId="0" applyNumberFormat="1"/>
    <xf numFmtId="0" fontId="558" fillId="553" borderId="551" xfId="0" applyFont="1" applyFill="1" applyBorder="1" applyAlignment="1">
      <alignment horizontal="left" readingOrder="1"/>
    </xf>
    <xf numFmtId="0" fontId="226" fillId="553" borderId="551" xfId="0" applyFont="1" applyFill="1" applyBorder="1" applyAlignment="1">
      <alignment horizontal="left" readingOrder="1"/>
    </xf>
    <xf numFmtId="0" fontId="4" fillId="221" borderId="550" xfId="0" applyFont="1" applyFill="1" applyBorder="1" applyAlignment="1">
      <alignment horizontal="center" vertical="top" wrapText="1" readingOrder="1"/>
    </xf>
    <xf numFmtId="0" fontId="225" fillId="442" borderId="550" xfId="0" applyFont="1" applyFill="1" applyBorder="1" applyAlignment="1">
      <alignment horizontal="left" vertical="top" wrapText="1" readingOrder="1"/>
    </xf>
    <xf numFmtId="0" fontId="226" fillId="443" borderId="550" xfId="0" applyFont="1" applyFill="1" applyBorder="1" applyAlignment="1">
      <alignment horizontal="left" vertical="top" wrapText="1" readingOrder="1"/>
    </xf>
    <xf numFmtId="0" fontId="337" fillId="442" borderId="550" xfId="0" applyFont="1" applyFill="1" applyBorder="1" applyAlignment="1">
      <alignment horizontal="left" vertical="top" wrapText="1" readingOrder="1"/>
    </xf>
    <xf numFmtId="0" fontId="226" fillId="443" borderId="550" xfId="0" applyFont="1" applyFill="1" applyBorder="1" applyAlignment="1">
      <alignment horizontal="right" vertical="top" wrapText="1" readingOrder="1"/>
    </xf>
    <xf numFmtId="165" fontId="226" fillId="553" borderId="550" xfId="0" applyNumberFormat="1" applyFont="1" applyFill="1" applyBorder="1" applyAlignment="1">
      <alignment horizontal="right" wrapText="1" readingOrder="1"/>
    </xf>
    <xf numFmtId="0" fontId="226" fillId="553" borderId="550" xfId="0" applyFont="1" applyFill="1" applyBorder="1" applyAlignment="1">
      <alignment horizontal="right" wrapText="1" readingOrder="1"/>
    </xf>
    <xf numFmtId="0" fontId="559" fillId="553" borderId="551" xfId="0" applyFont="1" applyFill="1" applyBorder="1" applyAlignment="1">
      <alignment readingOrder="1"/>
    </xf>
    <xf numFmtId="0" fontId="559" fillId="553" borderId="551" xfId="0" applyFont="1" applyFill="1" applyBorder="1"/>
    <xf numFmtId="166" fontId="0" fillId="0" borderId="0" xfId="0" applyNumberFormat="1"/>
    <xf numFmtId="167" fontId="0" fillId="0" borderId="0" xfId="0" applyNumberFormat="1"/>
    <xf numFmtId="167" fontId="0" fillId="554" borderId="0" xfId="0" applyNumberFormat="1" applyFill="1"/>
    <xf numFmtId="0" fontId="558" fillId="0" borderId="0" xfId="0" applyFont="1" applyAlignment="1">
      <alignment horizontal="left" readingOrder="1"/>
    </xf>
    <xf numFmtId="0" fontId="226" fillId="0" borderId="0" xfId="0" applyFont="1" applyAlignment="1">
      <alignment horizontal="left" readingOrder="1"/>
    </xf>
    <xf numFmtId="0" fontId="226" fillId="0" borderId="550" xfId="0" applyFont="1" applyBorder="1" applyAlignment="1">
      <alignment horizontal="right" wrapText="1" readingOrder="1"/>
    </xf>
    <xf numFmtId="165" fontId="226" fillId="0" borderId="550" xfId="0" applyNumberFormat="1" applyFont="1" applyBorder="1" applyAlignment="1">
      <alignment horizontal="right" wrapText="1" readingOrder="1"/>
    </xf>
    <xf numFmtId="0" fontId="559" fillId="0" borderId="0" xfId="0" applyFont="1" applyAlignment="1">
      <alignment readingOrder="1"/>
    </xf>
    <xf numFmtId="0" fontId="559" fillId="0" borderId="0" xfId="0" applyFont="1"/>
    <xf numFmtId="165" fontId="0" fillId="0" borderId="0" xfId="0" applyNumberFormat="1"/>
    <xf numFmtId="0" fontId="560" fillId="0" borderId="551" xfId="0" applyFont="1" applyBorder="1"/>
    <xf numFmtId="167" fontId="560" fillId="0" borderId="551" xfId="0" applyNumberFormat="1" applyFont="1" applyBorder="1"/>
    <xf numFmtId="0" fontId="0" fillId="0" borderId="551" xfId="0" applyBorder="1"/>
    <xf numFmtId="0" fontId="0" fillId="0" borderId="552" xfId="0" applyBorder="1"/>
    <xf numFmtId="0" fontId="562" fillId="0" borderId="553" xfId="0" applyFont="1" applyBorder="1" applyAlignment="1">
      <alignment horizontal="center"/>
    </xf>
    <xf numFmtId="0" fontId="562" fillId="0" borderId="553" xfId="0" applyFont="1" applyBorder="1" applyAlignment="1">
      <alignment horizontal="centerContinuous"/>
    </xf>
    <xf numFmtId="0" fontId="2" fillId="553" borderId="551" xfId="1"/>
    <xf numFmtId="0" fontId="559" fillId="553" borderId="551" xfId="1" applyFont="1"/>
    <xf numFmtId="4" fontId="226" fillId="553" borderId="550" xfId="1" applyNumberFormat="1" applyFont="1" applyBorder="1" applyAlignment="1">
      <alignment horizontal="right" wrapText="1" readingOrder="1"/>
    </xf>
    <xf numFmtId="0" fontId="226" fillId="443" borderId="550" xfId="1" applyFont="1" applyFill="1" applyBorder="1" applyAlignment="1">
      <alignment horizontal="left" vertical="top" wrapText="1" readingOrder="1"/>
    </xf>
    <xf numFmtId="0" fontId="4" fillId="221" borderId="550" xfId="1" applyFont="1" applyFill="1" applyBorder="1" applyAlignment="1">
      <alignment horizontal="center" vertical="top" wrapText="1" readingOrder="1"/>
    </xf>
    <xf numFmtId="4" fontId="2" fillId="553" borderId="551" xfId="1" applyNumberFormat="1"/>
    <xf numFmtId="0" fontId="226" fillId="553" borderId="550" xfId="1" applyFont="1" applyBorder="1" applyAlignment="1">
      <alignment horizontal="left" vertical="top" wrapText="1" readingOrder="1"/>
    </xf>
    <xf numFmtId="0" fontId="226" fillId="443" borderId="550" xfId="1" applyFont="1" applyFill="1" applyBorder="1" applyAlignment="1">
      <alignment horizontal="right" vertical="top" wrapText="1" readingOrder="1"/>
    </xf>
    <xf numFmtId="0" fontId="3" fillId="221" borderId="550" xfId="1" applyFont="1" applyFill="1" applyBorder="1" applyAlignment="1">
      <alignment horizontal="left" vertical="top" wrapText="1" readingOrder="1"/>
    </xf>
    <xf numFmtId="0" fontId="337" fillId="442" borderId="550" xfId="1" applyFont="1" applyFill="1" applyBorder="1" applyAlignment="1">
      <alignment horizontal="left" vertical="top" wrapText="1" readingOrder="1"/>
    </xf>
    <xf numFmtId="0" fontId="225" fillId="442" borderId="550" xfId="1" applyFont="1" applyFill="1" applyBorder="1" applyAlignment="1">
      <alignment horizontal="left" vertical="top" wrapText="1" readingOrder="1"/>
    </xf>
    <xf numFmtId="0" fontId="559" fillId="553" borderId="551" xfId="1" applyFont="1" applyAlignment="1">
      <alignment readingOrder="1"/>
    </xf>
    <xf numFmtId="0" fontId="1" fillId="553" borderId="551" xfId="1" applyFont="1"/>
    <xf numFmtId="0" fontId="4" fillId="221" borderId="550" xfId="1" applyFont="1" applyFill="1" applyBorder="1" applyAlignment="1">
      <alignment horizontal="center" vertical="top" wrapText="1" readingOrder="1"/>
    </xf>
    <xf numFmtId="0" fontId="3" fillId="221" borderId="550" xfId="1" applyFont="1" applyFill="1" applyBorder="1" applyAlignment="1">
      <alignment horizontal="left" vertical="top" wrapText="1" readingOrder="1"/>
    </xf>
    <xf numFmtId="0" fontId="5" fillId="2" borderId="1" xfId="0" applyFont="1" applyFill="1" applyBorder="1" applyAlignment="1">
      <alignment horizontal="center" vertical="top" wrapText="1" readingOrder="1"/>
    </xf>
    <xf numFmtId="0" fontId="6" fillId="3" borderId="2" xfId="0" applyFont="1" applyFill="1" applyBorder="1" applyAlignment="1">
      <alignment horizontal="center" vertical="top" wrapText="1" readingOrder="1"/>
    </xf>
    <xf numFmtId="0" fontId="7" fillId="4" borderId="3" xfId="0" applyFont="1" applyFill="1" applyBorder="1" applyAlignment="1">
      <alignment horizontal="center" vertical="top" wrapText="1" readingOrder="1"/>
    </xf>
    <xf numFmtId="0" fontId="8" fillId="5" borderId="4" xfId="0" applyFont="1" applyFill="1" applyBorder="1" applyAlignment="1">
      <alignment horizontal="center" vertical="top" wrapText="1" readingOrder="1"/>
    </xf>
    <xf numFmtId="0" fontId="9" fillId="6" borderId="5" xfId="0" applyFont="1" applyFill="1" applyBorder="1" applyAlignment="1">
      <alignment horizontal="center" vertical="top" wrapText="1" readingOrder="1"/>
    </xf>
    <xf numFmtId="0" fontId="10" fillId="7" borderId="6" xfId="0" applyFont="1" applyFill="1" applyBorder="1" applyAlignment="1">
      <alignment horizontal="center" vertical="top" wrapText="1" readingOrder="1"/>
    </xf>
    <xf numFmtId="0" fontId="11" fillId="8" borderId="7" xfId="0" applyFont="1" applyFill="1" applyBorder="1" applyAlignment="1">
      <alignment horizontal="center" vertical="top" wrapText="1" readingOrder="1"/>
    </xf>
    <xf numFmtId="0" fontId="12" fillId="9" borderId="8" xfId="0" applyFont="1" applyFill="1" applyBorder="1" applyAlignment="1">
      <alignment horizontal="center" vertical="top" wrapText="1" readingOrder="1"/>
    </xf>
    <xf numFmtId="0" fontId="13" fillId="10" borderId="9" xfId="0" applyFont="1" applyFill="1" applyBorder="1" applyAlignment="1">
      <alignment horizontal="center" vertical="top" wrapText="1" readingOrder="1"/>
    </xf>
    <xf numFmtId="0" fontId="14" fillId="11" borderId="10" xfId="0" applyFont="1" applyFill="1" applyBorder="1" applyAlignment="1">
      <alignment horizontal="center" vertical="top" wrapText="1" readingOrder="1"/>
    </xf>
    <xf numFmtId="0" fontId="15" fillId="12" borderId="11" xfId="0" applyFont="1" applyFill="1" applyBorder="1" applyAlignment="1">
      <alignment horizontal="center" vertical="top" wrapText="1" readingOrder="1"/>
    </xf>
    <xf numFmtId="0" fontId="16" fillId="13" borderId="12" xfId="0" applyFont="1" applyFill="1" applyBorder="1" applyAlignment="1">
      <alignment horizontal="center" vertical="top" wrapText="1" readingOrder="1"/>
    </xf>
    <xf numFmtId="0" fontId="17" fillId="14" borderId="13" xfId="0" applyFont="1" applyFill="1" applyBorder="1" applyAlignment="1">
      <alignment horizontal="center" vertical="top" wrapText="1" readingOrder="1"/>
    </xf>
    <xf numFmtId="0" fontId="18" fillId="15" borderId="14" xfId="0" applyFont="1" applyFill="1" applyBorder="1" applyAlignment="1">
      <alignment horizontal="center" vertical="top" wrapText="1" readingOrder="1"/>
    </xf>
    <xf numFmtId="0" fontId="19" fillId="16" borderId="15" xfId="0" applyFont="1" applyFill="1" applyBorder="1" applyAlignment="1">
      <alignment horizontal="center" vertical="top" wrapText="1" readingOrder="1"/>
    </xf>
    <xf numFmtId="0" fontId="20" fillId="17" borderId="16" xfId="0" applyFont="1" applyFill="1" applyBorder="1" applyAlignment="1">
      <alignment horizontal="center" vertical="top" wrapText="1" readingOrder="1"/>
    </xf>
    <xf numFmtId="0" fontId="21" fillId="18" borderId="17" xfId="0" applyFont="1" applyFill="1" applyBorder="1" applyAlignment="1">
      <alignment horizontal="center" vertical="top" wrapText="1" readingOrder="1"/>
    </xf>
    <xf numFmtId="0" fontId="22" fillId="19" borderId="18" xfId="0" applyFont="1" applyFill="1" applyBorder="1" applyAlignment="1">
      <alignment horizontal="center" vertical="top" wrapText="1" readingOrder="1"/>
    </xf>
    <xf numFmtId="0" fontId="23" fillId="20" borderId="19" xfId="0" applyFont="1" applyFill="1" applyBorder="1" applyAlignment="1">
      <alignment horizontal="center" vertical="top" wrapText="1" readingOrder="1"/>
    </xf>
    <xf numFmtId="0" fontId="24" fillId="21" borderId="20" xfId="0" applyFont="1" applyFill="1" applyBorder="1" applyAlignment="1">
      <alignment horizontal="center" vertical="top" wrapText="1" readingOrder="1"/>
    </xf>
    <xf numFmtId="0" fontId="25" fillId="22" borderId="21" xfId="0" applyFont="1" applyFill="1" applyBorder="1" applyAlignment="1">
      <alignment horizontal="center" vertical="top" wrapText="1" readingOrder="1"/>
    </xf>
    <xf numFmtId="0" fontId="26" fillId="23" borderId="22" xfId="0" applyFont="1" applyFill="1" applyBorder="1" applyAlignment="1">
      <alignment horizontal="center" vertical="top" wrapText="1" readingOrder="1"/>
    </xf>
    <xf numFmtId="0" fontId="27" fillId="24" borderId="23" xfId="0" applyFont="1" applyFill="1" applyBorder="1" applyAlignment="1">
      <alignment horizontal="center" vertical="top" wrapText="1" readingOrder="1"/>
    </xf>
    <xf numFmtId="0" fontId="28" fillId="25" borderId="24" xfId="0" applyFont="1" applyFill="1" applyBorder="1" applyAlignment="1">
      <alignment horizontal="center" vertical="top" wrapText="1" readingOrder="1"/>
    </xf>
    <xf numFmtId="0" fontId="29" fillId="26" borderId="25" xfId="0" applyFont="1" applyFill="1" applyBorder="1" applyAlignment="1">
      <alignment horizontal="center" vertical="top" wrapText="1" readingOrder="1"/>
    </xf>
    <xf numFmtId="0" fontId="30" fillId="27" borderId="26" xfId="0" applyFont="1" applyFill="1" applyBorder="1" applyAlignment="1">
      <alignment horizontal="center" vertical="top" wrapText="1" readingOrder="1"/>
    </xf>
    <xf numFmtId="0" fontId="31" fillId="28" borderId="27" xfId="0" applyFont="1" applyFill="1" applyBorder="1" applyAlignment="1">
      <alignment horizontal="center" vertical="top" wrapText="1" readingOrder="1"/>
    </xf>
    <xf numFmtId="0" fontId="32" fillId="29" borderId="28" xfId="0" applyFont="1" applyFill="1" applyBorder="1" applyAlignment="1">
      <alignment horizontal="center" vertical="top" wrapText="1" readingOrder="1"/>
    </xf>
    <xf numFmtId="0" fontId="33" fillId="30" borderId="29" xfId="0" applyFont="1" applyFill="1" applyBorder="1" applyAlignment="1">
      <alignment horizontal="center" vertical="top" wrapText="1" readingOrder="1"/>
    </xf>
    <xf numFmtId="0" fontId="34" fillId="31" borderId="30" xfId="0" applyFont="1" applyFill="1" applyBorder="1" applyAlignment="1">
      <alignment horizontal="center" vertical="top" wrapText="1" readingOrder="1"/>
    </xf>
    <xf numFmtId="0" fontId="35" fillId="32" borderId="31" xfId="0" applyFont="1" applyFill="1" applyBorder="1" applyAlignment="1">
      <alignment horizontal="center" vertical="top" wrapText="1" readingOrder="1"/>
    </xf>
    <xf numFmtId="0" fontId="36" fillId="33" borderId="32" xfId="0" applyFont="1" applyFill="1" applyBorder="1" applyAlignment="1">
      <alignment horizontal="center" vertical="top" wrapText="1" readingOrder="1"/>
    </xf>
    <xf numFmtId="0" fontId="37" fillId="34" borderId="33" xfId="0" applyFont="1" applyFill="1" applyBorder="1" applyAlignment="1">
      <alignment horizontal="center" vertical="top" wrapText="1" readingOrder="1"/>
    </xf>
    <xf numFmtId="0" fontId="38" fillId="35" borderId="34" xfId="0" applyFont="1" applyFill="1" applyBorder="1" applyAlignment="1">
      <alignment horizontal="center" vertical="top" wrapText="1" readingOrder="1"/>
    </xf>
    <xf numFmtId="0" fontId="39" fillId="36" borderId="35" xfId="0" applyFont="1" applyFill="1" applyBorder="1" applyAlignment="1">
      <alignment horizontal="center" vertical="top" wrapText="1" readingOrder="1"/>
    </xf>
    <xf numFmtId="0" fontId="40" fillId="37" borderId="36" xfId="0" applyFont="1" applyFill="1" applyBorder="1" applyAlignment="1">
      <alignment horizontal="center" vertical="top" wrapText="1" readingOrder="1"/>
    </xf>
    <xf numFmtId="0" fontId="41" fillId="38" borderId="37" xfId="0" applyFont="1" applyFill="1" applyBorder="1" applyAlignment="1">
      <alignment horizontal="center" vertical="top" wrapText="1" readingOrder="1"/>
    </xf>
    <xf numFmtId="0" fontId="42" fillId="39" borderId="38" xfId="0" applyFont="1" applyFill="1" applyBorder="1" applyAlignment="1">
      <alignment horizontal="center" vertical="top" wrapText="1" readingOrder="1"/>
    </xf>
    <xf numFmtId="0" fontId="43" fillId="40" borderId="39" xfId="0" applyFont="1" applyFill="1" applyBorder="1" applyAlignment="1">
      <alignment horizontal="center" vertical="top" wrapText="1" readingOrder="1"/>
    </xf>
    <xf numFmtId="0" fontId="44" fillId="41" borderId="40" xfId="0" applyFont="1" applyFill="1" applyBorder="1" applyAlignment="1">
      <alignment horizontal="center" vertical="top" wrapText="1" readingOrder="1"/>
    </xf>
    <xf numFmtId="0" fontId="45" fillId="42" borderId="41" xfId="0" applyFont="1" applyFill="1" applyBorder="1" applyAlignment="1">
      <alignment horizontal="center" vertical="top" wrapText="1" readingOrder="1"/>
    </xf>
    <xf numFmtId="0" fontId="46" fillId="43" borderId="42" xfId="0" applyFont="1" applyFill="1" applyBorder="1" applyAlignment="1">
      <alignment horizontal="center" vertical="top" wrapText="1" readingOrder="1"/>
    </xf>
    <xf numFmtId="0" fontId="47" fillId="44" borderId="43" xfId="0" applyFont="1" applyFill="1" applyBorder="1" applyAlignment="1">
      <alignment horizontal="center" vertical="top" wrapText="1" readingOrder="1"/>
    </xf>
    <xf numFmtId="0" fontId="48" fillId="45" borderId="44" xfId="0" applyFont="1" applyFill="1" applyBorder="1" applyAlignment="1">
      <alignment horizontal="center" vertical="top" wrapText="1" readingOrder="1"/>
    </xf>
    <xf numFmtId="0" fontId="49" fillId="46" borderId="45" xfId="0" applyFont="1" applyFill="1" applyBorder="1" applyAlignment="1">
      <alignment horizontal="center" vertical="top" wrapText="1" readingOrder="1"/>
    </xf>
    <xf numFmtId="0" fontId="50" fillId="47" borderId="46" xfId="0" applyFont="1" applyFill="1" applyBorder="1" applyAlignment="1">
      <alignment horizontal="center" vertical="top" wrapText="1" readingOrder="1"/>
    </xf>
    <xf numFmtId="0" fontId="51" fillId="48" borderId="47" xfId="0" applyFont="1" applyFill="1" applyBorder="1" applyAlignment="1">
      <alignment horizontal="center" vertical="top" wrapText="1" readingOrder="1"/>
    </xf>
    <xf numFmtId="0" fontId="52" fillId="49" borderId="48" xfId="0" applyFont="1" applyFill="1" applyBorder="1" applyAlignment="1">
      <alignment horizontal="center" vertical="top" wrapText="1" readingOrder="1"/>
    </xf>
    <xf numFmtId="0" fontId="53" fillId="50" borderId="49" xfId="0" applyFont="1" applyFill="1" applyBorder="1" applyAlignment="1">
      <alignment horizontal="center" vertical="top" wrapText="1" readingOrder="1"/>
    </xf>
    <xf numFmtId="0" fontId="54" fillId="51" borderId="50" xfId="0" applyFont="1" applyFill="1" applyBorder="1" applyAlignment="1">
      <alignment horizontal="center" vertical="top" wrapText="1" readingOrder="1"/>
    </xf>
    <xf numFmtId="0" fontId="55" fillId="52" borderId="51" xfId="0" applyFont="1" applyFill="1" applyBorder="1" applyAlignment="1">
      <alignment horizontal="center" vertical="top" wrapText="1" readingOrder="1"/>
    </xf>
    <xf numFmtId="0" fontId="56" fillId="53" borderId="52" xfId="0" applyFont="1" applyFill="1" applyBorder="1" applyAlignment="1">
      <alignment horizontal="center" vertical="top" wrapText="1" readingOrder="1"/>
    </xf>
    <xf numFmtId="0" fontId="57" fillId="54" borderId="53" xfId="0" applyFont="1" applyFill="1" applyBorder="1" applyAlignment="1">
      <alignment horizontal="center" vertical="top" wrapText="1" readingOrder="1"/>
    </xf>
    <xf numFmtId="0" fontId="58" fillId="55" borderId="54" xfId="0" applyFont="1" applyFill="1" applyBorder="1" applyAlignment="1">
      <alignment horizontal="center" vertical="top" wrapText="1" readingOrder="1"/>
    </xf>
    <xf numFmtId="0" fontId="59" fillId="56" borderId="55" xfId="0" applyFont="1" applyFill="1" applyBorder="1" applyAlignment="1">
      <alignment horizontal="center" vertical="top" wrapText="1" readingOrder="1"/>
    </xf>
    <xf numFmtId="0" fontId="60" fillId="57" borderId="56" xfId="0" applyFont="1" applyFill="1" applyBorder="1" applyAlignment="1">
      <alignment horizontal="center" vertical="top" wrapText="1" readingOrder="1"/>
    </xf>
    <xf numFmtId="0" fontId="61" fillId="58" borderId="57" xfId="0" applyFont="1" applyFill="1" applyBorder="1" applyAlignment="1">
      <alignment horizontal="center" vertical="top" wrapText="1" readingOrder="1"/>
    </xf>
    <xf numFmtId="0" fontId="62" fillId="59" borderId="58" xfId="0" applyFont="1" applyFill="1" applyBorder="1" applyAlignment="1">
      <alignment horizontal="center" vertical="top" wrapText="1" readingOrder="1"/>
    </xf>
    <xf numFmtId="0" fontId="63" fillId="60" borderId="59" xfId="0" applyFont="1" applyFill="1" applyBorder="1" applyAlignment="1">
      <alignment horizontal="center" vertical="top" wrapText="1" readingOrder="1"/>
    </xf>
    <xf numFmtId="0" fontId="64" fillId="61" borderId="60" xfId="0" applyFont="1" applyFill="1" applyBorder="1" applyAlignment="1">
      <alignment horizontal="center" vertical="top" wrapText="1" readingOrder="1"/>
    </xf>
    <xf numFmtId="0" fontId="65" fillId="62" borderId="61" xfId="0" applyFont="1" applyFill="1" applyBorder="1" applyAlignment="1">
      <alignment horizontal="center" vertical="top" wrapText="1" readingOrder="1"/>
    </xf>
    <xf numFmtId="0" fontId="66" fillId="63" borderId="62" xfId="0" applyFont="1" applyFill="1" applyBorder="1" applyAlignment="1">
      <alignment horizontal="center" vertical="top" wrapText="1" readingOrder="1"/>
    </xf>
    <xf numFmtId="0" fontId="67" fillId="64" borderId="63" xfId="0" applyFont="1" applyFill="1" applyBorder="1" applyAlignment="1">
      <alignment horizontal="center" vertical="top" wrapText="1" readingOrder="1"/>
    </xf>
    <xf numFmtId="0" fontId="68" fillId="65" borderId="64" xfId="0" applyFont="1" applyFill="1" applyBorder="1" applyAlignment="1">
      <alignment horizontal="center" vertical="top" wrapText="1" readingOrder="1"/>
    </xf>
    <xf numFmtId="0" fontId="69" fillId="66" borderId="65" xfId="0" applyFont="1" applyFill="1" applyBorder="1" applyAlignment="1">
      <alignment horizontal="center" vertical="top" wrapText="1" readingOrder="1"/>
    </xf>
    <xf numFmtId="0" fontId="70" fillId="67" borderId="66" xfId="0" applyFont="1" applyFill="1" applyBorder="1" applyAlignment="1">
      <alignment horizontal="center" vertical="top" wrapText="1" readingOrder="1"/>
    </xf>
    <xf numFmtId="0" fontId="71" fillId="68" borderId="67" xfId="0" applyFont="1" applyFill="1" applyBorder="1" applyAlignment="1">
      <alignment horizontal="center" vertical="top" wrapText="1" readingOrder="1"/>
    </xf>
    <xf numFmtId="0" fontId="72" fillId="69" borderId="68" xfId="0" applyFont="1" applyFill="1" applyBorder="1" applyAlignment="1">
      <alignment horizontal="center" vertical="top" wrapText="1" readingOrder="1"/>
    </xf>
    <xf numFmtId="0" fontId="73" fillId="70" borderId="69" xfId="0" applyFont="1" applyFill="1" applyBorder="1" applyAlignment="1">
      <alignment horizontal="center" vertical="top" wrapText="1" readingOrder="1"/>
    </xf>
    <xf numFmtId="0" fontId="74" fillId="71" borderId="70" xfId="0" applyFont="1" applyFill="1" applyBorder="1" applyAlignment="1">
      <alignment horizontal="center" vertical="top" wrapText="1" readingOrder="1"/>
    </xf>
    <xf numFmtId="0" fontId="75" fillId="72" borderId="71" xfId="0" applyFont="1" applyFill="1" applyBorder="1" applyAlignment="1">
      <alignment horizontal="center" vertical="top" wrapText="1" readingOrder="1"/>
    </xf>
    <xf numFmtId="0" fontId="76" fillId="73" borderId="72" xfId="0" applyFont="1" applyFill="1" applyBorder="1" applyAlignment="1">
      <alignment horizontal="center" vertical="top" wrapText="1" readingOrder="1"/>
    </xf>
    <xf numFmtId="0" fontId="77" fillId="74" borderId="73" xfId="0" applyFont="1" applyFill="1" applyBorder="1" applyAlignment="1">
      <alignment horizontal="center" vertical="top" wrapText="1" readingOrder="1"/>
    </xf>
    <xf numFmtId="0" fontId="78" fillId="75" borderId="74" xfId="0" applyFont="1" applyFill="1" applyBorder="1" applyAlignment="1">
      <alignment horizontal="center" vertical="top" wrapText="1" readingOrder="1"/>
    </xf>
    <xf numFmtId="0" fontId="79" fillId="76" borderId="75" xfId="0" applyFont="1" applyFill="1" applyBorder="1" applyAlignment="1">
      <alignment horizontal="center" vertical="top" wrapText="1" readingOrder="1"/>
    </xf>
    <xf numFmtId="0" fontId="80" fillId="77" borderId="76" xfId="0" applyFont="1" applyFill="1" applyBorder="1" applyAlignment="1">
      <alignment horizontal="center" vertical="top" wrapText="1" readingOrder="1"/>
    </xf>
    <xf numFmtId="0" fontId="81" fillId="78" borderId="77" xfId="0" applyFont="1" applyFill="1" applyBorder="1" applyAlignment="1">
      <alignment horizontal="center" vertical="top" wrapText="1" readingOrder="1"/>
    </xf>
    <xf numFmtId="0" fontId="82" fillId="79" borderId="78" xfId="0" applyFont="1" applyFill="1" applyBorder="1" applyAlignment="1">
      <alignment horizontal="center" vertical="top" wrapText="1" readingOrder="1"/>
    </xf>
    <xf numFmtId="0" fontId="83" fillId="80" borderId="79" xfId="0" applyFont="1" applyFill="1" applyBorder="1" applyAlignment="1">
      <alignment horizontal="center" vertical="top" wrapText="1" readingOrder="1"/>
    </xf>
    <xf numFmtId="0" fontId="84" fillId="81" borderId="80" xfId="0" applyFont="1" applyFill="1" applyBorder="1" applyAlignment="1">
      <alignment horizontal="center" vertical="top" wrapText="1" readingOrder="1"/>
    </xf>
    <xf numFmtId="0" fontId="85" fillId="82" borderId="81" xfId="0" applyFont="1" applyFill="1" applyBorder="1" applyAlignment="1">
      <alignment horizontal="center" vertical="top" wrapText="1" readingOrder="1"/>
    </xf>
    <xf numFmtId="0" fontId="86" fillId="83" borderId="82" xfId="0" applyFont="1" applyFill="1" applyBorder="1" applyAlignment="1">
      <alignment horizontal="center" vertical="top" wrapText="1" readingOrder="1"/>
    </xf>
    <xf numFmtId="0" fontId="87" fillId="84" borderId="83" xfId="0" applyFont="1" applyFill="1" applyBorder="1" applyAlignment="1">
      <alignment horizontal="center" vertical="top" wrapText="1" readingOrder="1"/>
    </xf>
    <xf numFmtId="0" fontId="88" fillId="85" borderId="84" xfId="0" applyFont="1" applyFill="1" applyBorder="1" applyAlignment="1">
      <alignment horizontal="center" vertical="top" wrapText="1" readingOrder="1"/>
    </xf>
    <xf numFmtId="0" fontId="89" fillId="86" borderId="85" xfId="0" applyFont="1" applyFill="1" applyBorder="1" applyAlignment="1">
      <alignment horizontal="center" vertical="top" wrapText="1" readingOrder="1"/>
    </xf>
    <xf numFmtId="0" fontId="90" fillId="87" borderId="86" xfId="0" applyFont="1" applyFill="1" applyBorder="1" applyAlignment="1">
      <alignment horizontal="center" vertical="top" wrapText="1" readingOrder="1"/>
    </xf>
    <xf numFmtId="0" fontId="91" fillId="88" borderId="87" xfId="0" applyFont="1" applyFill="1" applyBorder="1" applyAlignment="1">
      <alignment horizontal="center" vertical="top" wrapText="1" readingOrder="1"/>
    </xf>
    <xf numFmtId="0" fontId="92" fillId="89" borderId="88" xfId="0" applyFont="1" applyFill="1" applyBorder="1" applyAlignment="1">
      <alignment horizontal="center" vertical="top" wrapText="1" readingOrder="1"/>
    </xf>
    <xf numFmtId="0" fontId="93" fillId="90" borderId="89" xfId="0" applyFont="1" applyFill="1" applyBorder="1" applyAlignment="1">
      <alignment horizontal="center" vertical="top" wrapText="1" readingOrder="1"/>
    </xf>
    <xf numFmtId="0" fontId="94" fillId="91" borderId="90" xfId="0" applyFont="1" applyFill="1" applyBorder="1" applyAlignment="1">
      <alignment horizontal="center" vertical="top" wrapText="1" readingOrder="1"/>
    </xf>
    <xf numFmtId="0" fontId="95" fillId="92" borderId="91" xfId="0" applyFont="1" applyFill="1" applyBorder="1" applyAlignment="1">
      <alignment horizontal="center" vertical="top" wrapText="1" readingOrder="1"/>
    </xf>
    <xf numFmtId="0" fontId="96" fillId="93" borderId="92" xfId="0" applyFont="1" applyFill="1" applyBorder="1" applyAlignment="1">
      <alignment horizontal="center" vertical="top" wrapText="1" readingOrder="1"/>
    </xf>
    <xf numFmtId="0" fontId="97" fillId="94" borderId="93" xfId="0" applyFont="1" applyFill="1" applyBorder="1" applyAlignment="1">
      <alignment horizontal="center" vertical="top" wrapText="1" readingOrder="1"/>
    </xf>
    <xf numFmtId="0" fontId="98" fillId="95" borderId="94" xfId="0" applyFont="1" applyFill="1" applyBorder="1" applyAlignment="1">
      <alignment horizontal="center" vertical="top" wrapText="1" readingOrder="1"/>
    </xf>
    <xf numFmtId="0" fontId="99" fillId="96" borderId="95" xfId="0" applyFont="1" applyFill="1" applyBorder="1" applyAlignment="1">
      <alignment horizontal="center" vertical="top" wrapText="1" readingOrder="1"/>
    </xf>
    <xf numFmtId="0" fontId="100" fillId="97" borderId="96" xfId="0" applyFont="1" applyFill="1" applyBorder="1" applyAlignment="1">
      <alignment horizontal="center" vertical="top" wrapText="1" readingOrder="1"/>
    </xf>
    <xf numFmtId="0" fontId="101" fillId="98" borderId="97" xfId="0" applyFont="1" applyFill="1" applyBorder="1" applyAlignment="1">
      <alignment horizontal="center" vertical="top" wrapText="1" readingOrder="1"/>
    </xf>
    <xf numFmtId="0" fontId="102" fillId="99" borderId="98" xfId="0" applyFont="1" applyFill="1" applyBorder="1" applyAlignment="1">
      <alignment horizontal="center" vertical="top" wrapText="1" readingOrder="1"/>
    </xf>
    <xf numFmtId="0" fontId="103" fillId="100" borderId="99" xfId="0" applyFont="1" applyFill="1" applyBorder="1" applyAlignment="1">
      <alignment horizontal="center" vertical="top" wrapText="1" readingOrder="1"/>
    </xf>
    <xf numFmtId="0" fontId="104" fillId="101" borderId="100" xfId="0" applyFont="1" applyFill="1" applyBorder="1" applyAlignment="1">
      <alignment horizontal="center" vertical="top" wrapText="1" readingOrder="1"/>
    </xf>
    <xf numFmtId="0" fontId="105" fillId="102" borderId="101" xfId="0" applyFont="1" applyFill="1" applyBorder="1" applyAlignment="1">
      <alignment horizontal="center" vertical="top" wrapText="1" readingOrder="1"/>
    </xf>
    <xf numFmtId="0" fontId="106" fillId="103" borderId="102" xfId="0" applyFont="1" applyFill="1" applyBorder="1" applyAlignment="1">
      <alignment horizontal="center" vertical="top" wrapText="1" readingOrder="1"/>
    </xf>
    <xf numFmtId="0" fontId="107" fillId="104" borderId="103" xfId="0" applyFont="1" applyFill="1" applyBorder="1" applyAlignment="1">
      <alignment horizontal="center" vertical="top" wrapText="1" readingOrder="1"/>
    </xf>
    <xf numFmtId="0" fontId="108" fillId="105" borderId="104" xfId="0" applyFont="1" applyFill="1" applyBorder="1" applyAlignment="1">
      <alignment horizontal="center" vertical="top" wrapText="1" readingOrder="1"/>
    </xf>
    <xf numFmtId="0" fontId="109" fillId="106" borderId="105" xfId="0" applyFont="1" applyFill="1" applyBorder="1" applyAlignment="1">
      <alignment horizontal="center" vertical="top" wrapText="1" readingOrder="1"/>
    </xf>
    <xf numFmtId="0" fontId="110" fillId="107" borderId="106" xfId="0" applyFont="1" applyFill="1" applyBorder="1" applyAlignment="1">
      <alignment horizontal="center" vertical="top" wrapText="1" readingOrder="1"/>
    </xf>
    <xf numFmtId="0" fontId="111" fillId="108" borderId="107" xfId="0" applyFont="1" applyFill="1" applyBorder="1" applyAlignment="1">
      <alignment horizontal="center" vertical="top" wrapText="1" readingOrder="1"/>
    </xf>
    <xf numFmtId="0" fontId="112" fillId="109" borderId="108" xfId="0" applyFont="1" applyFill="1" applyBorder="1" applyAlignment="1">
      <alignment horizontal="center" vertical="top" wrapText="1" readingOrder="1"/>
    </xf>
    <xf numFmtId="0" fontId="113" fillId="110" borderId="109" xfId="0" applyFont="1" applyFill="1" applyBorder="1" applyAlignment="1">
      <alignment horizontal="center" vertical="top" wrapText="1" readingOrder="1"/>
    </xf>
    <xf numFmtId="0" fontId="114" fillId="111" borderId="110" xfId="0" applyFont="1" applyFill="1" applyBorder="1" applyAlignment="1">
      <alignment horizontal="center" vertical="top" wrapText="1" readingOrder="1"/>
    </xf>
    <xf numFmtId="0" fontId="4" fillId="221" borderId="550" xfId="0" applyFont="1" applyFill="1" applyBorder="1" applyAlignment="1">
      <alignment horizontal="center" vertical="top" wrapText="1" readingOrder="1"/>
    </xf>
    <xf numFmtId="0" fontId="3" fillId="221" borderId="550" xfId="0" applyFont="1" applyFill="1" applyBorder="1" applyAlignment="1">
      <alignment horizontal="left" vertical="top" wrapText="1" readingOrder="1"/>
    </xf>
    <xf numFmtId="0" fontId="4" fillId="555" borderId="550" xfId="0" applyFont="1" applyFill="1" applyBorder="1" applyAlignment="1">
      <alignment horizontal="center" vertical="top" wrapText="1" readingOrder="1"/>
    </xf>
  </cellXfs>
  <cellStyles count="2">
    <cellStyle name="Normal" xfId="0" builtinId="0"/>
    <cellStyle name="Normal 2" xfId="1" xr:uid="{B92F9FCC-C516-7A47-B4D4-6B801B9E63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AB2BBE-50EE-794F-B978-42A22029A368}" name="Table15" displayName="Table15" ref="B1:H1048576" totalsRowShown="0">
  <autoFilter ref="B1:H1048576" xr:uid="{DB0B0161-AD76-2E48-A161-942A6037B8CB}">
    <filterColumn colId="1">
      <filters>
        <filter val="2020"/>
      </filters>
    </filterColumn>
  </autoFilter>
  <tableColumns count="7">
    <tableColumn id="1" xr3:uid="{78291301-F7D3-AA41-99AD-4F139750E2B9}" name="Equivalised disposable income group"/>
    <tableColumn id="2" xr3:uid="{591950C5-77F3-4342-8450-1DDC3D089050}" name="Time period"/>
    <tableColumn id="3" xr3:uid="{649212AC-9C1F-E547-8B18-BCBA681F8B08}" name="Transaction"/>
    <tableColumn id="4" xr3:uid="{DFA9D16D-F4F7-8F43-9F4E-3D75127D1BE0}" name="Balance of primary incomes, gross / National income, gross"/>
    <tableColumn id="5" xr3:uid="{DD75AF5F-75C5-7342-AAD4-3FEA9CB6908C}" name="Disposable income, gross"/>
    <tableColumn id="6" xr3:uid="{C36A91D6-2175-2E45-81E2-C2BBF1503C57}" name="Primary Income Shares "/>
    <tableColumn id="7" xr3:uid="{FD6A4FE2-1F67-C74C-BA86-C81B2635A4E0}" name="Disposable Income Shares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5C27F1-FD97-0147-BB4B-A4A9DA8D7FCF}" name="Table1" displayName="Table1" ref="A1:C1048576" totalsRowShown="0">
  <autoFilter ref="A1:C1048576" xr:uid="{C05C27F1-FD97-0147-BB4B-A4A9DA8D7FCF}">
    <filterColumn colId="1">
      <filters>
        <filter val="-1.01237082"/>
        <filter val="-1.088426945"/>
        <filter val="-1.103079431"/>
        <filter val="-1.109196663"/>
        <filter val="-1.111041441"/>
        <filter val="-1.113454836"/>
        <filter val="-1.113477581"/>
        <filter val="-1.113817096"/>
        <filter val="-1.117515866"/>
        <filter val="-1.118082716"/>
        <filter val="-1.118580307"/>
        <filter val="-1.120316293"/>
        <filter val="-1.126024606"/>
        <filter val="-1.126134278"/>
        <filter val="-1.127828951"/>
        <filter val="-1.12874065"/>
        <filter val="-1.130750534"/>
        <filter val="-1.134383742"/>
        <filter val="-1.137575644"/>
        <filter val="-1.14025577"/>
        <filter val="-1.143054556"/>
        <filter val="-1.294018968"/>
        <filter val="-1.326090204"/>
        <filter val="-1.337988352"/>
        <filter val="-1.338550867"/>
        <filter val="-1.343666615"/>
        <filter val="-1.345173599"/>
        <filter val="-1.347510661"/>
        <filter val="-1.34781094"/>
        <filter val="-1.354344145"/>
        <filter val="-1.354880527"/>
        <filter val="-1.356816301"/>
        <filter val="-1.359451838"/>
        <filter val="-1.362837667"/>
        <filter val="-1.365344875"/>
        <filter val="-1.369913759"/>
        <filter val="-1.372646234"/>
        <filter val="-1.373708398"/>
        <filter val="-1.374408235"/>
        <filter val="-1.37782655"/>
        <filter val="-1.37971273"/>
        <filter val="-1.387135342"/>
        <filter val="-1.896252022"/>
        <filter val="-1.899058068"/>
        <filter val="-1.931803088"/>
        <filter val="-1.93298412"/>
        <filter val="-1.934485927"/>
        <filter val="-1.93530302"/>
        <filter val="-1.943636745"/>
        <filter val="-1.957859999"/>
        <filter val="-1.978962016"/>
        <filter val="-1.993698243"/>
        <filter val="-1.996799734"/>
        <filter val="-2.031064472"/>
        <filter val="-2.046817451"/>
        <filter val="-2.062967969"/>
        <filter val="-2.06490658"/>
        <filter val="-2.071142054"/>
        <filter val="-2.094056725"/>
        <filter val="-2.100429865"/>
        <filter val="-2.189247086"/>
        <filter val="-2.195105916"/>
        <filter val="-2.228436033"/>
      </filters>
    </filterColumn>
  </autoFilter>
  <tableColumns count="3">
    <tableColumn id="1" xr3:uid="{577978E5-9ADE-8F42-9B46-3FF6188145FA}" name="Time"/>
    <tableColumn id="2" xr3:uid="{5FD96E23-6FBA-7B48-AED7-371B9643BEB2}" name="LN of LHS of the equation"/>
    <tableColumn id="3" xr3:uid="{13F1A9EC-25DD-BB45-BC87-A8445695118D}" name="LN of Primary Income Sh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E88CF3-F4DC-4545-98D4-B9F418569E0A}" name="Table2" displayName="Table2" ref="A1:C64" totalsRowShown="0">
  <autoFilter ref="A1:C64" xr:uid="{7AE88CF3-F4DC-4545-98D4-B9F418569E0A}"/>
  <tableColumns count="3">
    <tableColumn id="1" xr3:uid="{3C0C2B94-409D-AA4C-8300-D9BA50DF157C}" name="Time"/>
    <tableColumn id="2" xr3:uid="{ADF2D4CA-91DE-2B4F-A221-BA2295731634}" name="LHS of the equation"/>
    <tableColumn id="3" xr3:uid="{1C9D7B81-5735-F649-A070-72F34CDEFFD3}" name="LN of Primary Income Sh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fs%5b0%5d=Topic%2C1%7CTaxation%23TAX%23%7CGlobal%20tax%20revenues%23TAX_GTR%23&amp;pg=0&amp;fc=Topic&amp;bp=true&amp;snb=150&amp;df%5bds%5d=dsDisseminateFinalDMZ&amp;df%5bid%5d=DSD_REV_COMP_GLOBAL%40DF_RSGLOBAL&amp;df%5bag%5d=OECD.CTP.TPS&amp;dq=CAN..S13%2BS1._T..PT_B1GQ.A&amp;to%5bTIME_PERIOD%5d=false&amp;pd=1999%2C2020&amp;vw=tb" TargetMode="External"/><Relationship Id="rId1" Type="http://schemas.openxmlformats.org/officeDocument/2006/relationships/hyperlink" Target="https://www.oecd.org/en/about/terms-conditions.html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fs%5b0%5d=T%2Co&amp;fs%5b1%5d=R%2Ce&amp;fs%5b2%5d=M%2Ce&amp;pg=0&amp;fc=Measure&amp;snb=1&amp;vw=tb&amp;df%5bds%5d=dsDisseminateFinalDMZ&amp;df%5bid%5d=DSD_TAX_PIT%2540DF_PIT_CENT&amp;df%5bag%5d=OECD.CTP.TPS&amp;df%5bvs%5d=1.0&amp;dq=CAN.A..PIT..S1311.S.S_C0....&amp;pd=2000%2C2020&amp;to%5bTIME_PERIOD%5d=false" TargetMode="External"/><Relationship Id="rId1" Type="http://schemas.openxmlformats.org/officeDocument/2006/relationships/hyperlink" Target="https://www.oecd.org/en/about/terms-conditio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33E4C-42C8-794A-BCEA-532EBE04E887}">
  <dimension ref="B1:K136"/>
  <sheetViews>
    <sheetView workbookViewId="0">
      <selection activeCell="J69" sqref="J69"/>
    </sheetView>
  </sheetViews>
  <sheetFormatPr baseColWidth="10" defaultRowHeight="16" zeroHeight="1" x14ac:dyDescent="0.2"/>
  <cols>
    <col min="1" max="1" width="10.83203125" style="581"/>
    <col min="2" max="2" width="31.6640625" style="581" customWidth="1"/>
    <col min="3" max="3" width="12.83203125" style="581" customWidth="1"/>
    <col min="4" max="4" width="22.33203125" style="581" customWidth="1"/>
    <col min="5" max="5" width="48" style="581" customWidth="1"/>
    <col min="6" max="6" width="30.33203125" style="581" customWidth="1"/>
    <col min="7" max="7" width="23.33203125" style="581" bestFit="1" customWidth="1"/>
    <col min="8" max="8" width="26.1640625" style="581" bestFit="1" customWidth="1"/>
    <col min="9" max="16384" width="10.83203125" style="581"/>
  </cols>
  <sheetData>
    <row r="1" spans="2:8" x14ac:dyDescent="0.2">
      <c r="B1" s="589" t="s">
        <v>0</v>
      </c>
      <c r="C1" s="589" t="s">
        <v>7</v>
      </c>
      <c r="D1" s="591" t="s">
        <v>30</v>
      </c>
      <c r="E1" s="590" t="s">
        <v>33</v>
      </c>
      <c r="F1" s="590" t="s">
        <v>35</v>
      </c>
      <c r="G1" s="581" t="s">
        <v>135</v>
      </c>
      <c r="H1" s="581" t="s">
        <v>134</v>
      </c>
    </row>
    <row r="2" spans="2:8" hidden="1" x14ac:dyDescent="0.2">
      <c r="B2" s="589" t="s">
        <v>0</v>
      </c>
      <c r="C2" s="589" t="s">
        <v>7</v>
      </c>
      <c r="D2" s="591" t="s">
        <v>31</v>
      </c>
      <c r="E2" s="590" t="s">
        <v>34</v>
      </c>
      <c r="F2" s="590" t="s">
        <v>34</v>
      </c>
    </row>
    <row r="3" spans="2:8" hidden="1" x14ac:dyDescent="0.2">
      <c r="B3" s="589" t="s">
        <v>0</v>
      </c>
      <c r="C3" s="589" t="s">
        <v>7</v>
      </c>
      <c r="D3" s="584" t="s">
        <v>32</v>
      </c>
      <c r="E3" s="588" t="s">
        <v>32</v>
      </c>
      <c r="F3" s="588" t="s">
        <v>32</v>
      </c>
    </row>
    <row r="4" spans="2:8" hidden="1" x14ac:dyDescent="0.2">
      <c r="B4" s="585" t="s">
        <v>1</v>
      </c>
      <c r="C4" s="585" t="s">
        <v>8</v>
      </c>
      <c r="D4" s="587" t="s">
        <v>32</v>
      </c>
      <c r="E4" s="583">
        <v>680011</v>
      </c>
      <c r="F4" s="583">
        <v>546261</v>
      </c>
    </row>
    <row r="5" spans="2:8" hidden="1" x14ac:dyDescent="0.2">
      <c r="B5" s="585" t="s">
        <v>1</v>
      </c>
      <c r="C5" s="585" t="s">
        <v>9</v>
      </c>
      <c r="D5" s="587" t="s">
        <v>32</v>
      </c>
      <c r="E5" s="583">
        <v>729949</v>
      </c>
      <c r="F5" s="583">
        <v>579683</v>
      </c>
    </row>
    <row r="6" spans="2:8" hidden="1" x14ac:dyDescent="0.2">
      <c r="B6" s="585" t="s">
        <v>1</v>
      </c>
      <c r="C6" s="585" t="s">
        <v>10</v>
      </c>
      <c r="D6" s="587" t="s">
        <v>32</v>
      </c>
      <c r="E6" s="583">
        <v>757652</v>
      </c>
      <c r="F6" s="583">
        <v>615286</v>
      </c>
    </row>
    <row r="7" spans="2:8" hidden="1" x14ac:dyDescent="0.2">
      <c r="B7" s="585" t="s">
        <v>1</v>
      </c>
      <c r="C7" s="585" t="s">
        <v>11</v>
      </c>
      <c r="D7" s="587" t="s">
        <v>32</v>
      </c>
      <c r="E7" s="583">
        <v>780576</v>
      </c>
      <c r="F7" s="583">
        <v>642584</v>
      </c>
    </row>
    <row r="8" spans="2:8" hidden="1" x14ac:dyDescent="0.2">
      <c r="B8" s="585" t="s">
        <v>1</v>
      </c>
      <c r="C8" s="585" t="s">
        <v>12</v>
      </c>
      <c r="D8" s="587" t="s">
        <v>32</v>
      </c>
      <c r="E8" s="583">
        <v>806727</v>
      </c>
      <c r="F8" s="583">
        <v>663239</v>
      </c>
    </row>
    <row r="9" spans="2:8" hidden="1" x14ac:dyDescent="0.2">
      <c r="B9" s="585" t="s">
        <v>1</v>
      </c>
      <c r="C9" s="585" t="s">
        <v>13</v>
      </c>
      <c r="D9" s="587" t="s">
        <v>32</v>
      </c>
      <c r="E9" s="583">
        <v>851508</v>
      </c>
      <c r="F9" s="583">
        <v>695238</v>
      </c>
    </row>
    <row r="10" spans="2:8" hidden="1" x14ac:dyDescent="0.2">
      <c r="B10" s="585" t="s">
        <v>1</v>
      </c>
      <c r="C10" s="585" t="s">
        <v>14</v>
      </c>
      <c r="D10" s="587" t="s">
        <v>32</v>
      </c>
      <c r="E10" s="583">
        <v>897931</v>
      </c>
      <c r="F10" s="583">
        <v>721510</v>
      </c>
    </row>
    <row r="11" spans="2:8" hidden="1" x14ac:dyDescent="0.2">
      <c r="B11" s="585" t="s">
        <v>1</v>
      </c>
      <c r="C11" s="585" t="s">
        <v>15</v>
      </c>
      <c r="D11" s="587" t="s">
        <v>32</v>
      </c>
      <c r="E11" s="583">
        <v>952796</v>
      </c>
      <c r="F11" s="583">
        <v>774375</v>
      </c>
    </row>
    <row r="12" spans="2:8" hidden="1" x14ac:dyDescent="0.2">
      <c r="B12" s="585" t="s">
        <v>1</v>
      </c>
      <c r="C12" s="585" t="s">
        <v>16</v>
      </c>
      <c r="D12" s="587" t="s">
        <v>32</v>
      </c>
      <c r="E12" s="583">
        <v>1013760</v>
      </c>
      <c r="F12" s="583">
        <v>816321</v>
      </c>
    </row>
    <row r="13" spans="2:8" hidden="1" x14ac:dyDescent="0.2">
      <c r="B13" s="585" t="s">
        <v>1</v>
      </c>
      <c r="C13" s="585" t="s">
        <v>17</v>
      </c>
      <c r="D13" s="587" t="s">
        <v>32</v>
      </c>
      <c r="E13" s="583">
        <v>1058117</v>
      </c>
      <c r="F13" s="583">
        <v>862404</v>
      </c>
    </row>
    <row r="14" spans="2:8" hidden="1" x14ac:dyDescent="0.2">
      <c r="B14" s="585" t="s">
        <v>1</v>
      </c>
      <c r="C14" s="585" t="s">
        <v>18</v>
      </c>
      <c r="D14" s="587" t="s">
        <v>32</v>
      </c>
      <c r="E14" s="583">
        <v>1051774</v>
      </c>
      <c r="F14" s="583">
        <v>884783</v>
      </c>
    </row>
    <row r="15" spans="2:8" hidden="1" x14ac:dyDescent="0.2">
      <c r="B15" s="585" t="s">
        <v>1</v>
      </c>
      <c r="C15" s="585" t="s">
        <v>19</v>
      </c>
      <c r="D15" s="587" t="s">
        <v>32</v>
      </c>
      <c r="E15" s="583">
        <v>1085446</v>
      </c>
      <c r="F15" s="583">
        <v>928091</v>
      </c>
    </row>
    <row r="16" spans="2:8" hidden="1" x14ac:dyDescent="0.2">
      <c r="B16" s="585" t="s">
        <v>1</v>
      </c>
      <c r="C16" s="585" t="s">
        <v>20</v>
      </c>
      <c r="D16" s="587" t="s">
        <v>32</v>
      </c>
      <c r="E16" s="583">
        <v>1146410</v>
      </c>
      <c r="F16" s="583">
        <v>962102</v>
      </c>
    </row>
    <row r="17" spans="2:11" hidden="1" x14ac:dyDescent="0.2">
      <c r="B17" s="585" t="s">
        <v>1</v>
      </c>
      <c r="C17" s="585" t="s">
        <v>21</v>
      </c>
      <c r="D17" s="587" t="s">
        <v>32</v>
      </c>
      <c r="E17" s="583">
        <v>1199161</v>
      </c>
      <c r="F17" s="583">
        <v>1001254</v>
      </c>
    </row>
    <row r="18" spans="2:11" hidden="1" x14ac:dyDescent="0.2">
      <c r="B18" s="585" t="s">
        <v>1</v>
      </c>
      <c r="C18" s="585" t="s">
        <v>22</v>
      </c>
      <c r="D18" s="587" t="s">
        <v>32</v>
      </c>
      <c r="E18" s="583">
        <v>1246003</v>
      </c>
      <c r="F18" s="583">
        <v>1046791</v>
      </c>
    </row>
    <row r="19" spans="2:11" hidden="1" x14ac:dyDescent="0.2">
      <c r="B19" s="585" t="s">
        <v>1</v>
      </c>
      <c r="C19" s="585" t="s">
        <v>23</v>
      </c>
      <c r="D19" s="587" t="s">
        <v>32</v>
      </c>
      <c r="E19" s="583">
        <v>1294344</v>
      </c>
      <c r="F19" s="583">
        <v>1081654</v>
      </c>
    </row>
    <row r="20" spans="2:11" hidden="1" x14ac:dyDescent="0.2">
      <c r="B20" s="585" t="s">
        <v>1</v>
      </c>
      <c r="C20" s="585" t="s">
        <v>24</v>
      </c>
      <c r="D20" s="587" t="s">
        <v>32</v>
      </c>
      <c r="E20" s="583">
        <v>1344921</v>
      </c>
      <c r="F20" s="583">
        <v>1129875</v>
      </c>
    </row>
    <row r="21" spans="2:11" hidden="1" x14ac:dyDescent="0.2">
      <c r="B21" s="585" t="s">
        <v>1</v>
      </c>
      <c r="C21" s="585" t="s">
        <v>25</v>
      </c>
      <c r="D21" s="587" t="s">
        <v>32</v>
      </c>
      <c r="E21" s="583">
        <v>1340820</v>
      </c>
      <c r="F21" s="583">
        <v>1132763</v>
      </c>
    </row>
    <row r="22" spans="2:11" hidden="1" x14ac:dyDescent="0.2">
      <c r="B22" s="585" t="s">
        <v>1</v>
      </c>
      <c r="C22" s="585" t="s">
        <v>26</v>
      </c>
      <c r="D22" s="587" t="s">
        <v>32</v>
      </c>
      <c r="E22" s="583">
        <v>1402006</v>
      </c>
      <c r="F22" s="583">
        <v>1189611</v>
      </c>
    </row>
    <row r="23" spans="2:11" hidden="1" x14ac:dyDescent="0.2">
      <c r="B23" s="585" t="s">
        <v>1</v>
      </c>
      <c r="C23" s="585" t="s">
        <v>27</v>
      </c>
      <c r="D23" s="587" t="s">
        <v>32</v>
      </c>
      <c r="E23" s="583">
        <v>1449987</v>
      </c>
      <c r="F23" s="583">
        <v>1224919</v>
      </c>
    </row>
    <row r="24" spans="2:11" hidden="1" x14ac:dyDescent="0.2">
      <c r="B24" s="585" t="s">
        <v>1</v>
      </c>
      <c r="C24" s="585" t="s">
        <v>28</v>
      </c>
      <c r="D24" s="587" t="s">
        <v>32</v>
      </c>
      <c r="E24" s="583">
        <v>1514375</v>
      </c>
      <c r="F24" s="583">
        <v>1280362</v>
      </c>
    </row>
    <row r="25" spans="2:11" x14ac:dyDescent="0.2">
      <c r="B25" s="585" t="s">
        <v>1</v>
      </c>
      <c r="C25" s="585" t="s">
        <v>29</v>
      </c>
      <c r="D25" s="587" t="s">
        <v>32</v>
      </c>
      <c r="E25" s="583">
        <v>1502695</v>
      </c>
      <c r="F25" s="583">
        <v>1387360</v>
      </c>
    </row>
    <row r="26" spans="2:11" ht="32" hidden="1" x14ac:dyDescent="0.2">
      <c r="B26" s="585" t="s">
        <v>2</v>
      </c>
      <c r="C26" s="585" t="s">
        <v>8</v>
      </c>
      <c r="D26" s="584" t="s">
        <v>32</v>
      </c>
      <c r="E26" s="583">
        <v>20875</v>
      </c>
      <c r="F26" s="583">
        <v>34499</v>
      </c>
      <c r="G26" s="581">
        <f t="shared" ref="G26:G47" si="0">E26/E4</f>
        <v>3.0698032825939581E-2</v>
      </c>
      <c r="H26" s="581">
        <f t="shared" ref="H26:H47" si="1">F26/F4</f>
        <v>6.3154792306241894E-2</v>
      </c>
      <c r="K26" s="586"/>
    </row>
    <row r="27" spans="2:11" ht="32" hidden="1" x14ac:dyDescent="0.2">
      <c r="B27" s="585" t="s">
        <v>2</v>
      </c>
      <c r="C27" s="585" t="s">
        <v>9</v>
      </c>
      <c r="D27" s="584" t="s">
        <v>32</v>
      </c>
      <c r="E27" s="583">
        <v>23133</v>
      </c>
      <c r="F27" s="583">
        <v>35458</v>
      </c>
      <c r="G27" s="581">
        <f t="shared" si="0"/>
        <v>3.1691255142482555E-2</v>
      </c>
      <c r="H27" s="581">
        <f t="shared" si="1"/>
        <v>6.1167914187581836E-2</v>
      </c>
    </row>
    <row r="28" spans="2:11" ht="32" hidden="1" x14ac:dyDescent="0.2">
      <c r="B28" s="585" t="s">
        <v>2</v>
      </c>
      <c r="C28" s="585" t="s">
        <v>10</v>
      </c>
      <c r="D28" s="584" t="s">
        <v>32</v>
      </c>
      <c r="E28" s="583">
        <v>22510</v>
      </c>
      <c r="F28" s="583">
        <v>39157</v>
      </c>
      <c r="G28" s="581">
        <f t="shared" si="0"/>
        <v>2.9710209964469176E-2</v>
      </c>
      <c r="H28" s="581">
        <f t="shared" si="1"/>
        <v>6.3640323361818726E-2</v>
      </c>
    </row>
    <row r="29" spans="2:11" ht="32" hidden="1" x14ac:dyDescent="0.2">
      <c r="B29" s="585" t="s">
        <v>2</v>
      </c>
      <c r="C29" s="585" t="s">
        <v>11</v>
      </c>
      <c r="D29" s="584" t="s">
        <v>32</v>
      </c>
      <c r="E29" s="583">
        <v>23216</v>
      </c>
      <c r="F29" s="583">
        <v>40052</v>
      </c>
      <c r="G29" s="581">
        <f t="shared" si="0"/>
        <v>2.9742139138277373E-2</v>
      </c>
      <c r="H29" s="581">
        <f t="shared" si="1"/>
        <v>6.232959426316248E-2</v>
      </c>
    </row>
    <row r="30" spans="2:11" ht="32" hidden="1" x14ac:dyDescent="0.2">
      <c r="B30" s="585" t="s">
        <v>2</v>
      </c>
      <c r="C30" s="585" t="s">
        <v>12</v>
      </c>
      <c r="D30" s="584" t="s">
        <v>32</v>
      </c>
      <c r="E30" s="583">
        <v>24101</v>
      </c>
      <c r="F30" s="583">
        <v>42088</v>
      </c>
      <c r="G30" s="581">
        <f t="shared" si="0"/>
        <v>2.9875038271930901E-2</v>
      </c>
      <c r="H30" s="581">
        <f t="shared" si="1"/>
        <v>6.3458270698797864E-2</v>
      </c>
    </row>
    <row r="31" spans="2:11" ht="32" hidden="1" x14ac:dyDescent="0.2">
      <c r="B31" s="585" t="s">
        <v>2</v>
      </c>
      <c r="C31" s="585" t="s">
        <v>13</v>
      </c>
      <c r="D31" s="584" t="s">
        <v>32</v>
      </c>
      <c r="E31" s="583">
        <v>25078</v>
      </c>
      <c r="F31" s="583">
        <v>42850</v>
      </c>
      <c r="G31" s="581">
        <f t="shared" si="0"/>
        <v>2.9451279377292992E-2</v>
      </c>
      <c r="H31" s="581">
        <f t="shared" si="1"/>
        <v>6.1633570086790421E-2</v>
      </c>
    </row>
    <row r="32" spans="2:11" ht="32" hidden="1" x14ac:dyDescent="0.2">
      <c r="B32" s="585" t="s">
        <v>2</v>
      </c>
      <c r="C32" s="585" t="s">
        <v>14</v>
      </c>
      <c r="D32" s="584" t="s">
        <v>32</v>
      </c>
      <c r="E32" s="583">
        <v>25178</v>
      </c>
      <c r="F32" s="583">
        <v>42545</v>
      </c>
      <c r="G32" s="581">
        <f t="shared" si="0"/>
        <v>2.804001643778865E-2</v>
      </c>
      <c r="H32" s="581">
        <f t="shared" si="1"/>
        <v>5.8966611689373671E-2</v>
      </c>
    </row>
    <row r="33" spans="2:8" ht="32" hidden="1" x14ac:dyDescent="0.2">
      <c r="B33" s="585" t="s">
        <v>2</v>
      </c>
      <c r="C33" s="585" t="s">
        <v>15</v>
      </c>
      <c r="D33" s="584" t="s">
        <v>32</v>
      </c>
      <c r="E33" s="583">
        <v>28224</v>
      </c>
      <c r="F33" s="583">
        <v>47335</v>
      </c>
      <c r="G33" s="581">
        <f t="shared" si="0"/>
        <v>2.9622290605754012E-2</v>
      </c>
      <c r="H33" s="581">
        <f t="shared" si="1"/>
        <v>6.1126715092816787E-2</v>
      </c>
    </row>
    <row r="34" spans="2:8" ht="32" hidden="1" x14ac:dyDescent="0.2">
      <c r="B34" s="585" t="s">
        <v>2</v>
      </c>
      <c r="C34" s="585" t="s">
        <v>16</v>
      </c>
      <c r="D34" s="584" t="s">
        <v>32</v>
      </c>
      <c r="E34" s="583">
        <v>31136</v>
      </c>
      <c r="F34" s="583">
        <v>51170</v>
      </c>
      <c r="G34" s="581">
        <f t="shared" si="0"/>
        <v>3.0713383838383838E-2</v>
      </c>
      <c r="H34" s="581">
        <f t="shared" si="1"/>
        <v>6.2683674681895965E-2</v>
      </c>
    </row>
    <row r="35" spans="2:8" ht="32" hidden="1" x14ac:dyDescent="0.2">
      <c r="B35" s="585" t="s">
        <v>2</v>
      </c>
      <c r="C35" s="585" t="s">
        <v>17</v>
      </c>
      <c r="D35" s="584" t="s">
        <v>32</v>
      </c>
      <c r="E35" s="583">
        <v>31503</v>
      </c>
      <c r="F35" s="583">
        <v>52821</v>
      </c>
      <c r="G35" s="581">
        <f t="shared" si="0"/>
        <v>2.9772699994424057E-2</v>
      </c>
      <c r="H35" s="581">
        <f t="shared" si="1"/>
        <v>6.1248556361055841E-2</v>
      </c>
    </row>
    <row r="36" spans="2:8" ht="32" hidden="1" x14ac:dyDescent="0.2">
      <c r="B36" s="585" t="s">
        <v>2</v>
      </c>
      <c r="C36" s="585" t="s">
        <v>18</v>
      </c>
      <c r="D36" s="584" t="s">
        <v>32</v>
      </c>
      <c r="E36" s="583">
        <v>30481</v>
      </c>
      <c r="F36" s="583">
        <v>55537</v>
      </c>
      <c r="G36" s="581">
        <f t="shared" si="0"/>
        <v>2.8980560462608888E-2</v>
      </c>
      <c r="H36" s="581">
        <f t="shared" si="1"/>
        <v>6.2769063148817278E-2</v>
      </c>
    </row>
    <row r="37" spans="2:8" ht="32" hidden="1" x14ac:dyDescent="0.2">
      <c r="B37" s="585" t="s">
        <v>2</v>
      </c>
      <c r="C37" s="585" t="s">
        <v>19</v>
      </c>
      <c r="D37" s="584" t="s">
        <v>32</v>
      </c>
      <c r="E37" s="583">
        <v>31055</v>
      </c>
      <c r="F37" s="583">
        <v>58113</v>
      </c>
      <c r="G37" s="581">
        <f t="shared" si="0"/>
        <v>2.861035924403425E-2</v>
      </c>
      <c r="H37" s="581">
        <f t="shared" si="1"/>
        <v>6.2615627131391211E-2</v>
      </c>
    </row>
    <row r="38" spans="2:8" ht="32" hidden="1" x14ac:dyDescent="0.2">
      <c r="B38" s="585" t="s">
        <v>2</v>
      </c>
      <c r="C38" s="585" t="s">
        <v>20</v>
      </c>
      <c r="D38" s="584" t="s">
        <v>32</v>
      </c>
      <c r="E38" s="583">
        <v>33318</v>
      </c>
      <c r="F38" s="583">
        <v>61040</v>
      </c>
      <c r="G38" s="581">
        <f t="shared" si="0"/>
        <v>2.9062900707425791E-2</v>
      </c>
      <c r="H38" s="581">
        <f t="shared" si="1"/>
        <v>6.3444416496379802E-2</v>
      </c>
    </row>
    <row r="39" spans="2:8" ht="32" hidden="1" x14ac:dyDescent="0.2">
      <c r="B39" s="585" t="s">
        <v>2</v>
      </c>
      <c r="C39" s="585" t="s">
        <v>21</v>
      </c>
      <c r="D39" s="584" t="s">
        <v>32</v>
      </c>
      <c r="E39" s="583">
        <v>35867</v>
      </c>
      <c r="F39" s="583">
        <v>65634</v>
      </c>
      <c r="G39" s="581">
        <f t="shared" si="0"/>
        <v>2.9910078796758735E-2</v>
      </c>
      <c r="H39" s="581">
        <f t="shared" si="1"/>
        <v>6.5551798045251256E-2</v>
      </c>
    </row>
    <row r="40" spans="2:8" ht="32" hidden="1" x14ac:dyDescent="0.2">
      <c r="B40" s="585" t="s">
        <v>2</v>
      </c>
      <c r="C40" s="585" t="s">
        <v>22</v>
      </c>
      <c r="D40" s="584" t="s">
        <v>32</v>
      </c>
      <c r="E40" s="583">
        <v>36169</v>
      </c>
      <c r="F40" s="583">
        <v>65502</v>
      </c>
      <c r="G40" s="581">
        <f t="shared" si="0"/>
        <v>2.902801999674158E-2</v>
      </c>
      <c r="H40" s="581">
        <f t="shared" si="1"/>
        <v>6.2574095497573062E-2</v>
      </c>
    </row>
    <row r="41" spans="2:8" ht="32" hidden="1" x14ac:dyDescent="0.2">
      <c r="B41" s="585" t="s">
        <v>2</v>
      </c>
      <c r="C41" s="585" t="s">
        <v>23</v>
      </c>
      <c r="D41" s="584" t="s">
        <v>32</v>
      </c>
      <c r="E41" s="583">
        <v>36680</v>
      </c>
      <c r="F41" s="583">
        <v>67552</v>
      </c>
      <c r="G41" s="581">
        <f t="shared" si="0"/>
        <v>2.8338679670937558E-2</v>
      </c>
      <c r="H41" s="581">
        <f t="shared" si="1"/>
        <v>6.2452503295878349E-2</v>
      </c>
    </row>
    <row r="42" spans="2:8" ht="32" hidden="1" x14ac:dyDescent="0.2">
      <c r="B42" s="585" t="s">
        <v>2</v>
      </c>
      <c r="C42" s="585" t="s">
        <v>24</v>
      </c>
      <c r="D42" s="584" t="s">
        <v>32</v>
      </c>
      <c r="E42" s="583">
        <v>35542</v>
      </c>
      <c r="F42" s="583">
        <v>66938</v>
      </c>
      <c r="G42" s="581">
        <f t="shared" si="0"/>
        <v>2.6426831018327469E-2</v>
      </c>
      <c r="H42" s="581">
        <f t="shared" si="1"/>
        <v>5.9243721650625067E-2</v>
      </c>
    </row>
    <row r="43" spans="2:8" ht="32" hidden="1" x14ac:dyDescent="0.2">
      <c r="B43" s="585" t="s">
        <v>2</v>
      </c>
      <c r="C43" s="585" t="s">
        <v>25</v>
      </c>
      <c r="D43" s="584" t="s">
        <v>32</v>
      </c>
      <c r="E43" s="583">
        <v>38022</v>
      </c>
      <c r="F43" s="583">
        <v>69928</v>
      </c>
      <c r="G43" s="581">
        <f t="shared" si="0"/>
        <v>2.8357273907012127E-2</v>
      </c>
      <c r="H43" s="581">
        <f t="shared" si="1"/>
        <v>6.1732242313705513E-2</v>
      </c>
    </row>
    <row r="44" spans="2:8" ht="32" hidden="1" x14ac:dyDescent="0.2">
      <c r="B44" s="585" t="s">
        <v>2</v>
      </c>
      <c r="C44" s="585" t="s">
        <v>26</v>
      </c>
      <c r="D44" s="584" t="s">
        <v>32</v>
      </c>
      <c r="E44" s="583">
        <v>40337</v>
      </c>
      <c r="F44" s="583">
        <v>72637</v>
      </c>
      <c r="G44" s="581">
        <f t="shared" si="0"/>
        <v>2.877091824143406E-2</v>
      </c>
      <c r="H44" s="581">
        <f t="shared" si="1"/>
        <v>6.1059455569930005E-2</v>
      </c>
    </row>
    <row r="45" spans="2:8" ht="32" hidden="1" x14ac:dyDescent="0.2">
      <c r="B45" s="585" t="s">
        <v>2</v>
      </c>
      <c r="C45" s="585" t="s">
        <v>27</v>
      </c>
      <c r="D45" s="584" t="s">
        <v>32</v>
      </c>
      <c r="E45" s="583">
        <v>43340</v>
      </c>
      <c r="F45" s="583">
        <v>76603</v>
      </c>
      <c r="G45" s="581">
        <f t="shared" si="0"/>
        <v>2.9889923151035148E-2</v>
      </c>
      <c r="H45" s="581">
        <f t="shared" si="1"/>
        <v>6.2537196337063922E-2</v>
      </c>
    </row>
    <row r="46" spans="2:8" ht="32" hidden="1" x14ac:dyDescent="0.2">
      <c r="B46" s="585" t="s">
        <v>2</v>
      </c>
      <c r="C46" s="585" t="s">
        <v>28</v>
      </c>
      <c r="D46" s="584" t="s">
        <v>32</v>
      </c>
      <c r="E46" s="583">
        <v>44680</v>
      </c>
      <c r="F46" s="583">
        <v>80065</v>
      </c>
      <c r="G46" s="581">
        <f t="shared" si="0"/>
        <v>2.9503920759389186E-2</v>
      </c>
      <c r="H46" s="581">
        <f t="shared" si="1"/>
        <v>6.2533096108756736E-2</v>
      </c>
    </row>
    <row r="47" spans="2:8" ht="32" x14ac:dyDescent="0.2">
      <c r="B47" s="585" t="s">
        <v>2</v>
      </c>
      <c r="C47" s="585" t="s">
        <v>29</v>
      </c>
      <c r="D47" s="584" t="s">
        <v>32</v>
      </c>
      <c r="E47" s="583">
        <v>45358</v>
      </c>
      <c r="F47" s="583">
        <v>102290</v>
      </c>
      <c r="G47" s="581">
        <f t="shared" si="0"/>
        <v>3.0184435297914747E-2</v>
      </c>
      <c r="H47" s="581">
        <f t="shared" si="1"/>
        <v>7.3729961942105876E-2</v>
      </c>
    </row>
    <row r="48" spans="2:8" ht="32" hidden="1" x14ac:dyDescent="0.2">
      <c r="B48" s="585" t="s">
        <v>3</v>
      </c>
      <c r="C48" s="585" t="s">
        <v>8</v>
      </c>
      <c r="D48" s="584" t="s">
        <v>32</v>
      </c>
      <c r="E48" s="583">
        <v>58900</v>
      </c>
      <c r="F48" s="583">
        <v>68716</v>
      </c>
      <c r="G48" s="581">
        <f t="shared" ref="G48:G69" si="2">E48/E4</f>
        <v>8.6616245913669038E-2</v>
      </c>
      <c r="H48" s="581">
        <f t="shared" ref="H48:H69" si="3">F48/F4</f>
        <v>0.12579334786850974</v>
      </c>
    </row>
    <row r="49" spans="2:8" ht="32" hidden="1" x14ac:dyDescent="0.2">
      <c r="B49" s="585" t="s">
        <v>3</v>
      </c>
      <c r="C49" s="585" t="s">
        <v>9</v>
      </c>
      <c r="D49" s="584" t="s">
        <v>32</v>
      </c>
      <c r="E49" s="583">
        <v>64430</v>
      </c>
      <c r="F49" s="583">
        <v>71662</v>
      </c>
      <c r="G49" s="581">
        <f t="shared" si="2"/>
        <v>8.8266440532146773E-2</v>
      </c>
      <c r="H49" s="581">
        <f t="shared" si="3"/>
        <v>0.12362273863473656</v>
      </c>
    </row>
    <row r="50" spans="2:8" ht="32" hidden="1" x14ac:dyDescent="0.2">
      <c r="B50" s="585" t="s">
        <v>3</v>
      </c>
      <c r="C50" s="585" t="s">
        <v>10</v>
      </c>
      <c r="D50" s="584" t="s">
        <v>32</v>
      </c>
      <c r="E50" s="583">
        <v>67954</v>
      </c>
      <c r="F50" s="583">
        <v>78344</v>
      </c>
      <c r="G50" s="581">
        <f t="shared" si="2"/>
        <v>8.9690253572880421E-2</v>
      </c>
      <c r="H50" s="581">
        <f t="shared" si="3"/>
        <v>0.12732940453707706</v>
      </c>
    </row>
    <row r="51" spans="2:8" ht="32" hidden="1" x14ac:dyDescent="0.2">
      <c r="B51" s="585" t="s">
        <v>3</v>
      </c>
      <c r="C51" s="585" t="s">
        <v>11</v>
      </c>
      <c r="D51" s="584" t="s">
        <v>32</v>
      </c>
      <c r="E51" s="583">
        <v>68701</v>
      </c>
      <c r="F51" s="583">
        <v>80977</v>
      </c>
      <c r="G51" s="581">
        <f t="shared" si="2"/>
        <v>8.8013210757184435E-2</v>
      </c>
      <c r="H51" s="581">
        <f t="shared" si="3"/>
        <v>0.12601776577070078</v>
      </c>
    </row>
    <row r="52" spans="2:8" ht="32" hidden="1" x14ac:dyDescent="0.2">
      <c r="B52" s="585" t="s">
        <v>3</v>
      </c>
      <c r="C52" s="585" t="s">
        <v>12</v>
      </c>
      <c r="D52" s="584" t="s">
        <v>32</v>
      </c>
      <c r="E52" s="583">
        <v>68628</v>
      </c>
      <c r="F52" s="583">
        <v>82309</v>
      </c>
      <c r="G52" s="581">
        <f t="shared" si="2"/>
        <v>8.506967040894875E-2</v>
      </c>
      <c r="H52" s="581">
        <f t="shared" si="3"/>
        <v>0.12410156821296697</v>
      </c>
    </row>
    <row r="53" spans="2:8" ht="32" hidden="1" x14ac:dyDescent="0.2">
      <c r="B53" s="585" t="s">
        <v>3</v>
      </c>
      <c r="C53" s="585" t="s">
        <v>13</v>
      </c>
      <c r="D53" s="584" t="s">
        <v>32</v>
      </c>
      <c r="E53" s="583">
        <v>70814</v>
      </c>
      <c r="F53" s="583">
        <v>85376</v>
      </c>
      <c r="G53" s="581">
        <f t="shared" si="2"/>
        <v>8.3163047205663365E-2</v>
      </c>
      <c r="H53" s="581">
        <f t="shared" si="3"/>
        <v>0.12280111271248119</v>
      </c>
    </row>
    <row r="54" spans="2:8" ht="32" hidden="1" x14ac:dyDescent="0.2">
      <c r="B54" s="585" t="s">
        <v>3</v>
      </c>
      <c r="C54" s="585" t="s">
        <v>14</v>
      </c>
      <c r="D54" s="584" t="s">
        <v>32</v>
      </c>
      <c r="E54" s="583">
        <v>74778</v>
      </c>
      <c r="F54" s="583">
        <v>88958</v>
      </c>
      <c r="G54" s="581">
        <f t="shared" si="2"/>
        <v>8.3278113797162587E-2</v>
      </c>
      <c r="H54" s="581">
        <f t="shared" si="3"/>
        <v>0.12329420243655667</v>
      </c>
    </row>
    <row r="55" spans="2:8" ht="32" hidden="1" x14ac:dyDescent="0.2">
      <c r="B55" s="585" t="s">
        <v>3</v>
      </c>
      <c r="C55" s="585" t="s">
        <v>15</v>
      </c>
      <c r="D55" s="584" t="s">
        <v>32</v>
      </c>
      <c r="E55" s="583">
        <v>81367</v>
      </c>
      <c r="F55" s="583">
        <v>95636</v>
      </c>
      <c r="G55" s="581">
        <f t="shared" si="2"/>
        <v>8.5398133493423567E-2</v>
      </c>
      <c r="H55" s="581">
        <f t="shared" si="3"/>
        <v>0.12350088781275222</v>
      </c>
    </row>
    <row r="56" spans="2:8" ht="32" hidden="1" x14ac:dyDescent="0.2">
      <c r="B56" s="585" t="s">
        <v>3</v>
      </c>
      <c r="C56" s="585" t="s">
        <v>16</v>
      </c>
      <c r="D56" s="584" t="s">
        <v>32</v>
      </c>
      <c r="E56" s="583">
        <v>88965</v>
      </c>
      <c r="F56" s="583">
        <v>102488</v>
      </c>
      <c r="G56" s="581">
        <f t="shared" si="2"/>
        <v>8.7757457386363633E-2</v>
      </c>
      <c r="H56" s="581">
        <f t="shared" si="3"/>
        <v>0.12554865059210776</v>
      </c>
    </row>
    <row r="57" spans="2:8" ht="32" hidden="1" x14ac:dyDescent="0.2">
      <c r="B57" s="585" t="s">
        <v>3</v>
      </c>
      <c r="C57" s="585" t="s">
        <v>17</v>
      </c>
      <c r="D57" s="584" t="s">
        <v>32</v>
      </c>
      <c r="E57" s="583">
        <v>92085</v>
      </c>
      <c r="F57" s="583">
        <v>106771</v>
      </c>
      <c r="G57" s="581">
        <f t="shared" si="2"/>
        <v>8.7027238008651212E-2</v>
      </c>
      <c r="H57" s="581">
        <f t="shared" si="3"/>
        <v>0.12380624394135463</v>
      </c>
    </row>
    <row r="58" spans="2:8" ht="32" hidden="1" x14ac:dyDescent="0.2">
      <c r="B58" s="585" t="s">
        <v>3</v>
      </c>
      <c r="C58" s="585" t="s">
        <v>18</v>
      </c>
      <c r="D58" s="584" t="s">
        <v>32</v>
      </c>
      <c r="E58" s="583">
        <v>89367</v>
      </c>
      <c r="F58" s="583">
        <v>109843</v>
      </c>
      <c r="G58" s="581">
        <f t="shared" si="2"/>
        <v>8.4967873326399018E-2</v>
      </c>
      <c r="H58" s="581">
        <f t="shared" si="3"/>
        <v>0.12414682470165</v>
      </c>
    </row>
    <row r="59" spans="2:8" ht="32" hidden="1" x14ac:dyDescent="0.2">
      <c r="B59" s="585" t="s">
        <v>3</v>
      </c>
      <c r="C59" s="585" t="s">
        <v>19</v>
      </c>
      <c r="D59" s="584" t="s">
        <v>32</v>
      </c>
      <c r="E59" s="583">
        <v>94078</v>
      </c>
      <c r="F59" s="583">
        <v>116568</v>
      </c>
      <c r="G59" s="581">
        <f t="shared" si="2"/>
        <v>8.6672206632112517E-2</v>
      </c>
      <c r="H59" s="581">
        <f t="shared" si="3"/>
        <v>0.12559975261046599</v>
      </c>
    </row>
    <row r="60" spans="2:8" ht="32" hidden="1" x14ac:dyDescent="0.2">
      <c r="B60" s="585" t="s">
        <v>3</v>
      </c>
      <c r="C60" s="585" t="s">
        <v>20</v>
      </c>
      <c r="D60" s="584" t="s">
        <v>32</v>
      </c>
      <c r="E60" s="583">
        <v>96369</v>
      </c>
      <c r="F60" s="583">
        <v>117882</v>
      </c>
      <c r="G60" s="581">
        <f t="shared" si="2"/>
        <v>8.4061548660601351E-2</v>
      </c>
      <c r="H60" s="581">
        <f t="shared" si="3"/>
        <v>0.12252547027238277</v>
      </c>
    </row>
    <row r="61" spans="2:8" ht="32" hidden="1" x14ac:dyDescent="0.2">
      <c r="B61" s="585" t="s">
        <v>3</v>
      </c>
      <c r="C61" s="585" t="s">
        <v>21</v>
      </c>
      <c r="D61" s="584" t="s">
        <v>32</v>
      </c>
      <c r="E61" s="583">
        <v>106288</v>
      </c>
      <c r="F61" s="583">
        <v>125628</v>
      </c>
      <c r="G61" s="581">
        <f t="shared" si="2"/>
        <v>8.8635304183508304E-2</v>
      </c>
      <c r="H61" s="581">
        <f t="shared" si="3"/>
        <v>0.12547065979262007</v>
      </c>
    </row>
    <row r="62" spans="2:8" ht="32" hidden="1" x14ac:dyDescent="0.2">
      <c r="B62" s="585" t="s">
        <v>3</v>
      </c>
      <c r="C62" s="585" t="s">
        <v>22</v>
      </c>
      <c r="D62" s="584" t="s">
        <v>32</v>
      </c>
      <c r="E62" s="583">
        <v>105940</v>
      </c>
      <c r="F62" s="583">
        <v>128224</v>
      </c>
      <c r="G62" s="581">
        <f t="shared" si="2"/>
        <v>8.5023872334175757E-2</v>
      </c>
      <c r="H62" s="581">
        <f t="shared" si="3"/>
        <v>0.12249245551404243</v>
      </c>
    </row>
    <row r="63" spans="2:8" ht="32" hidden="1" x14ac:dyDescent="0.2">
      <c r="B63" s="585" t="s">
        <v>3</v>
      </c>
      <c r="C63" s="585" t="s">
        <v>23</v>
      </c>
      <c r="D63" s="584" t="s">
        <v>32</v>
      </c>
      <c r="E63" s="583">
        <v>114183</v>
      </c>
      <c r="F63" s="583">
        <v>133327</v>
      </c>
      <c r="G63" s="581">
        <f t="shared" si="2"/>
        <v>8.8216888246092223E-2</v>
      </c>
      <c r="H63" s="581">
        <f t="shared" si="3"/>
        <v>0.12326215222242973</v>
      </c>
    </row>
    <row r="64" spans="2:8" ht="32" hidden="1" x14ac:dyDescent="0.2">
      <c r="B64" s="585" t="s">
        <v>3</v>
      </c>
      <c r="C64" s="585" t="s">
        <v>24</v>
      </c>
      <c r="D64" s="584" t="s">
        <v>32</v>
      </c>
      <c r="E64" s="583">
        <v>117857</v>
      </c>
      <c r="F64" s="583">
        <v>138869</v>
      </c>
      <c r="G64" s="581">
        <f t="shared" si="2"/>
        <v>8.7631169414411708E-2</v>
      </c>
      <c r="H64" s="581">
        <f t="shared" si="3"/>
        <v>0.12290651620754509</v>
      </c>
    </row>
    <row r="65" spans="2:8" ht="32" hidden="1" x14ac:dyDescent="0.2">
      <c r="B65" s="585" t="s">
        <v>3</v>
      </c>
      <c r="C65" s="585" t="s">
        <v>25</v>
      </c>
      <c r="D65" s="584" t="s">
        <v>32</v>
      </c>
      <c r="E65" s="583">
        <v>127706</v>
      </c>
      <c r="F65" s="583">
        <v>148711</v>
      </c>
      <c r="G65" s="581">
        <f t="shared" si="2"/>
        <v>9.5244701003863314E-2</v>
      </c>
      <c r="H65" s="581">
        <f t="shared" si="3"/>
        <v>0.13128165379695489</v>
      </c>
    </row>
    <row r="66" spans="2:8" ht="32" hidden="1" x14ac:dyDescent="0.2">
      <c r="B66" s="585" t="s">
        <v>3</v>
      </c>
      <c r="C66" s="585" t="s">
        <v>26</v>
      </c>
      <c r="D66" s="584" t="s">
        <v>32</v>
      </c>
      <c r="E66" s="583">
        <v>128150</v>
      </c>
      <c r="F66" s="583">
        <v>153787</v>
      </c>
      <c r="G66" s="581">
        <f t="shared" si="2"/>
        <v>9.1404744344888683E-2</v>
      </c>
      <c r="H66" s="581">
        <f t="shared" si="3"/>
        <v>0.12927503192219977</v>
      </c>
    </row>
    <row r="67" spans="2:8" ht="32" hidden="1" x14ac:dyDescent="0.2">
      <c r="B67" s="585" t="s">
        <v>3</v>
      </c>
      <c r="C67" s="585" t="s">
        <v>27</v>
      </c>
      <c r="D67" s="584" t="s">
        <v>32</v>
      </c>
      <c r="E67" s="583">
        <v>128827</v>
      </c>
      <c r="F67" s="583">
        <v>156572</v>
      </c>
      <c r="G67" s="581">
        <f t="shared" si="2"/>
        <v>8.8847003455893053E-2</v>
      </c>
      <c r="H67" s="581">
        <f t="shared" si="3"/>
        <v>0.12782232947647967</v>
      </c>
    </row>
    <row r="68" spans="2:8" ht="32" hidden="1" x14ac:dyDescent="0.2">
      <c r="B68" s="585" t="s">
        <v>3</v>
      </c>
      <c r="C68" s="585" t="s">
        <v>28</v>
      </c>
      <c r="D68" s="584" t="s">
        <v>32</v>
      </c>
      <c r="E68" s="583">
        <v>132999</v>
      </c>
      <c r="F68" s="583">
        <v>162418</v>
      </c>
      <c r="G68" s="581">
        <f t="shared" si="2"/>
        <v>8.7824349979364419E-2</v>
      </c>
      <c r="H68" s="581">
        <f t="shared" si="3"/>
        <v>0.12685318683309876</v>
      </c>
    </row>
    <row r="69" spans="2:8" ht="32" x14ac:dyDescent="0.2">
      <c r="B69" s="585" t="s">
        <v>3</v>
      </c>
      <c r="C69" s="585" t="s">
        <v>29</v>
      </c>
      <c r="D69" s="584" t="s">
        <v>32</v>
      </c>
      <c r="E69" s="583">
        <v>132389</v>
      </c>
      <c r="F69" s="583">
        <v>187131</v>
      </c>
      <c r="G69" s="581">
        <f t="shared" si="2"/>
        <v>8.810104512226366E-2</v>
      </c>
      <c r="H69" s="581">
        <f t="shared" si="3"/>
        <v>0.13488279898512281</v>
      </c>
    </row>
    <row r="70" spans="2:8" ht="32" hidden="1" x14ac:dyDescent="0.2">
      <c r="B70" s="585" t="s">
        <v>4</v>
      </c>
      <c r="C70" s="585" t="s">
        <v>8</v>
      </c>
      <c r="D70" s="584" t="s">
        <v>32</v>
      </c>
      <c r="E70" s="583">
        <v>109716</v>
      </c>
      <c r="F70" s="583">
        <v>95888</v>
      </c>
      <c r="G70" s="581">
        <f t="shared" ref="G70:G91" si="4">E70/E4</f>
        <v>0.16134444883979818</v>
      </c>
      <c r="H70" s="581">
        <f t="shared" ref="H70:H91" si="5">F70/F4</f>
        <v>0.17553513796518513</v>
      </c>
    </row>
    <row r="71" spans="2:8" ht="32" hidden="1" x14ac:dyDescent="0.2">
      <c r="B71" s="585" t="s">
        <v>4</v>
      </c>
      <c r="C71" s="585" t="s">
        <v>9</v>
      </c>
      <c r="D71" s="584" t="s">
        <v>32</v>
      </c>
      <c r="E71" s="583">
        <v>113132</v>
      </c>
      <c r="F71" s="583">
        <v>99140</v>
      </c>
      <c r="G71" s="581">
        <f t="shared" si="4"/>
        <v>0.15498617026668987</v>
      </c>
      <c r="H71" s="581">
        <f t="shared" si="5"/>
        <v>0.17102450822259752</v>
      </c>
    </row>
    <row r="72" spans="2:8" ht="32" hidden="1" x14ac:dyDescent="0.2">
      <c r="B72" s="585" t="s">
        <v>4</v>
      </c>
      <c r="C72" s="585" t="s">
        <v>10</v>
      </c>
      <c r="D72" s="584" t="s">
        <v>32</v>
      </c>
      <c r="E72" s="583">
        <v>119221</v>
      </c>
      <c r="F72" s="583">
        <v>105164</v>
      </c>
      <c r="G72" s="581">
        <f t="shared" si="4"/>
        <v>0.15735588370386405</v>
      </c>
      <c r="H72" s="581">
        <f t="shared" si="5"/>
        <v>0.17091888975208278</v>
      </c>
    </row>
    <row r="73" spans="2:8" ht="32" hidden="1" x14ac:dyDescent="0.2">
      <c r="B73" s="585" t="s">
        <v>4</v>
      </c>
      <c r="C73" s="585" t="s">
        <v>11</v>
      </c>
      <c r="D73" s="584" t="s">
        <v>32</v>
      </c>
      <c r="E73" s="583">
        <v>118558</v>
      </c>
      <c r="F73" s="583">
        <v>107920</v>
      </c>
      <c r="G73" s="581">
        <f t="shared" si="4"/>
        <v>0.15188527446398556</v>
      </c>
      <c r="H73" s="581">
        <f t="shared" si="5"/>
        <v>0.16794691433337899</v>
      </c>
    </row>
    <row r="74" spans="2:8" ht="32" hidden="1" x14ac:dyDescent="0.2">
      <c r="B74" s="585" t="s">
        <v>4</v>
      </c>
      <c r="C74" s="585" t="s">
        <v>12</v>
      </c>
      <c r="D74" s="584" t="s">
        <v>32</v>
      </c>
      <c r="E74" s="583">
        <v>126539</v>
      </c>
      <c r="F74" s="583">
        <v>113036</v>
      </c>
      <c r="G74" s="581">
        <f t="shared" si="4"/>
        <v>0.15685479722384399</v>
      </c>
      <c r="H74" s="581">
        <f t="shared" si="5"/>
        <v>0.170430267218906</v>
      </c>
    </row>
    <row r="75" spans="2:8" ht="32" hidden="1" x14ac:dyDescent="0.2">
      <c r="B75" s="585" t="s">
        <v>4</v>
      </c>
      <c r="C75" s="585" t="s">
        <v>13</v>
      </c>
      <c r="D75" s="584" t="s">
        <v>32</v>
      </c>
      <c r="E75" s="583">
        <v>129862</v>
      </c>
      <c r="F75" s="583">
        <v>116754</v>
      </c>
      <c r="G75" s="581">
        <f t="shared" si="4"/>
        <v>0.15250825594122427</v>
      </c>
      <c r="H75" s="581">
        <f t="shared" si="5"/>
        <v>0.16793385862107651</v>
      </c>
    </row>
    <row r="76" spans="2:8" ht="32" hidden="1" x14ac:dyDescent="0.2">
      <c r="B76" s="585" t="s">
        <v>4</v>
      </c>
      <c r="C76" s="585" t="s">
        <v>14</v>
      </c>
      <c r="D76" s="584" t="s">
        <v>32</v>
      </c>
      <c r="E76" s="583">
        <v>136473</v>
      </c>
      <c r="F76" s="583">
        <v>121051</v>
      </c>
      <c r="G76" s="581">
        <f t="shared" si="4"/>
        <v>0.15198606574447257</v>
      </c>
      <c r="H76" s="581">
        <f t="shared" si="5"/>
        <v>0.16777452841956453</v>
      </c>
    </row>
    <row r="77" spans="2:8" ht="32" hidden="1" x14ac:dyDescent="0.2">
      <c r="B77" s="585" t="s">
        <v>4</v>
      </c>
      <c r="C77" s="585" t="s">
        <v>15</v>
      </c>
      <c r="D77" s="584" t="s">
        <v>32</v>
      </c>
      <c r="E77" s="583">
        <v>144322</v>
      </c>
      <c r="F77" s="583">
        <v>129762</v>
      </c>
      <c r="G77" s="581">
        <f t="shared" si="4"/>
        <v>0.15147208846384747</v>
      </c>
      <c r="H77" s="581">
        <f t="shared" si="5"/>
        <v>0.16756997578692495</v>
      </c>
    </row>
    <row r="78" spans="2:8" ht="32" hidden="1" x14ac:dyDescent="0.2">
      <c r="B78" s="585" t="s">
        <v>4</v>
      </c>
      <c r="C78" s="585" t="s">
        <v>16</v>
      </c>
      <c r="D78" s="584" t="s">
        <v>32</v>
      </c>
      <c r="E78" s="583">
        <v>151252</v>
      </c>
      <c r="F78" s="583">
        <v>135299</v>
      </c>
      <c r="G78" s="581">
        <f t="shared" si="4"/>
        <v>0.14919902146464648</v>
      </c>
      <c r="H78" s="581">
        <f t="shared" si="5"/>
        <v>0.16574239790474579</v>
      </c>
    </row>
    <row r="79" spans="2:8" ht="32" hidden="1" x14ac:dyDescent="0.2">
      <c r="B79" s="585" t="s">
        <v>4</v>
      </c>
      <c r="C79" s="585" t="s">
        <v>17</v>
      </c>
      <c r="D79" s="584" t="s">
        <v>32</v>
      </c>
      <c r="E79" s="583">
        <v>163331</v>
      </c>
      <c r="F79" s="583">
        <v>144380</v>
      </c>
      <c r="G79" s="581">
        <f t="shared" si="4"/>
        <v>0.15436005659109531</v>
      </c>
      <c r="H79" s="581">
        <f t="shared" si="5"/>
        <v>0.16741573554853642</v>
      </c>
    </row>
    <row r="80" spans="2:8" ht="32" hidden="1" x14ac:dyDescent="0.2">
      <c r="B80" s="585" t="s">
        <v>4</v>
      </c>
      <c r="C80" s="585" t="s">
        <v>18</v>
      </c>
      <c r="D80" s="584" t="s">
        <v>32</v>
      </c>
      <c r="E80" s="583">
        <v>161604</v>
      </c>
      <c r="F80" s="583">
        <v>148085</v>
      </c>
      <c r="G80" s="581">
        <f t="shared" si="4"/>
        <v>0.15364897782223177</v>
      </c>
      <c r="H80" s="581">
        <f t="shared" si="5"/>
        <v>0.16736872204823103</v>
      </c>
    </row>
    <row r="81" spans="2:8" ht="32" hidden="1" x14ac:dyDescent="0.2">
      <c r="B81" s="585" t="s">
        <v>4</v>
      </c>
      <c r="C81" s="585" t="s">
        <v>19</v>
      </c>
      <c r="D81" s="584" t="s">
        <v>32</v>
      </c>
      <c r="E81" s="583">
        <v>170439</v>
      </c>
      <c r="F81" s="583">
        <v>158821</v>
      </c>
      <c r="G81" s="581">
        <f t="shared" si="4"/>
        <v>0.15702209045866861</v>
      </c>
      <c r="H81" s="581">
        <f t="shared" si="5"/>
        <v>0.17112653823816845</v>
      </c>
    </row>
    <row r="82" spans="2:8" ht="32" hidden="1" x14ac:dyDescent="0.2">
      <c r="B82" s="585" t="s">
        <v>4</v>
      </c>
      <c r="C82" s="585" t="s">
        <v>20</v>
      </c>
      <c r="D82" s="584" t="s">
        <v>32</v>
      </c>
      <c r="E82" s="583">
        <v>178682</v>
      </c>
      <c r="F82" s="583">
        <v>163375</v>
      </c>
      <c r="G82" s="581">
        <f t="shared" si="4"/>
        <v>0.155862213344266</v>
      </c>
      <c r="H82" s="581">
        <f t="shared" si="5"/>
        <v>0.16981047747536124</v>
      </c>
    </row>
    <row r="83" spans="2:8" ht="32" hidden="1" x14ac:dyDescent="0.2">
      <c r="B83" s="585" t="s">
        <v>4</v>
      </c>
      <c r="C83" s="585" t="s">
        <v>21</v>
      </c>
      <c r="D83" s="584" t="s">
        <v>32</v>
      </c>
      <c r="E83" s="583">
        <v>188733</v>
      </c>
      <c r="F83" s="583">
        <v>169183</v>
      </c>
      <c r="G83" s="581">
        <f t="shared" si="4"/>
        <v>0.15738754012180184</v>
      </c>
      <c r="H83" s="581">
        <f t="shared" si="5"/>
        <v>0.16897111022777436</v>
      </c>
    </row>
    <row r="84" spans="2:8" ht="32" hidden="1" x14ac:dyDescent="0.2">
      <c r="B84" s="585" t="s">
        <v>4</v>
      </c>
      <c r="C84" s="585" t="s">
        <v>22</v>
      </c>
      <c r="D84" s="584" t="s">
        <v>32</v>
      </c>
      <c r="E84" s="583">
        <v>194698</v>
      </c>
      <c r="F84" s="583">
        <v>177598</v>
      </c>
      <c r="G84" s="581">
        <f t="shared" si="4"/>
        <v>0.15625805074305599</v>
      </c>
      <c r="H84" s="581">
        <f t="shared" si="5"/>
        <v>0.16965946401908308</v>
      </c>
    </row>
    <row r="85" spans="2:8" ht="32" hidden="1" x14ac:dyDescent="0.2">
      <c r="B85" s="585" t="s">
        <v>4</v>
      </c>
      <c r="C85" s="585" t="s">
        <v>23</v>
      </c>
      <c r="D85" s="584" t="s">
        <v>32</v>
      </c>
      <c r="E85" s="583">
        <v>201949</v>
      </c>
      <c r="F85" s="583">
        <v>182757</v>
      </c>
      <c r="G85" s="581">
        <f t="shared" si="4"/>
        <v>0.15602420994727831</v>
      </c>
      <c r="H85" s="581">
        <f t="shared" si="5"/>
        <v>0.16896068428536298</v>
      </c>
    </row>
    <row r="86" spans="2:8" ht="32" hidden="1" x14ac:dyDescent="0.2">
      <c r="B86" s="585" t="s">
        <v>4</v>
      </c>
      <c r="C86" s="585" t="s">
        <v>24</v>
      </c>
      <c r="D86" s="584" t="s">
        <v>32</v>
      </c>
      <c r="E86" s="583">
        <v>217803</v>
      </c>
      <c r="F86" s="583">
        <v>198176</v>
      </c>
      <c r="G86" s="581">
        <f t="shared" si="4"/>
        <v>0.16194482798617912</v>
      </c>
      <c r="H86" s="581">
        <f t="shared" si="5"/>
        <v>0.17539639340635027</v>
      </c>
    </row>
    <row r="87" spans="2:8" ht="32" hidden="1" x14ac:dyDescent="0.2">
      <c r="B87" s="585" t="s">
        <v>4</v>
      </c>
      <c r="C87" s="585" t="s">
        <v>25</v>
      </c>
      <c r="D87" s="584" t="s">
        <v>32</v>
      </c>
      <c r="E87" s="583">
        <v>216711</v>
      </c>
      <c r="F87" s="583">
        <v>201029</v>
      </c>
      <c r="G87" s="581">
        <f t="shared" si="4"/>
        <v>0.16162572157336555</v>
      </c>
      <c r="H87" s="581">
        <f t="shared" si="5"/>
        <v>0.17746783749116099</v>
      </c>
    </row>
    <row r="88" spans="2:8" ht="32" hidden="1" x14ac:dyDescent="0.2">
      <c r="B88" s="585" t="s">
        <v>4</v>
      </c>
      <c r="C88" s="585" t="s">
        <v>26</v>
      </c>
      <c r="D88" s="584" t="s">
        <v>32</v>
      </c>
      <c r="E88" s="583">
        <v>222039</v>
      </c>
      <c r="F88" s="583">
        <v>208314</v>
      </c>
      <c r="G88" s="581">
        <f t="shared" si="4"/>
        <v>0.15837236074595973</v>
      </c>
      <c r="H88" s="581">
        <f t="shared" si="5"/>
        <v>0.1751110236875752</v>
      </c>
    </row>
    <row r="89" spans="2:8" ht="32" hidden="1" x14ac:dyDescent="0.2">
      <c r="B89" s="585" t="s">
        <v>4</v>
      </c>
      <c r="C89" s="585" t="s">
        <v>27</v>
      </c>
      <c r="D89" s="584" t="s">
        <v>32</v>
      </c>
      <c r="E89" s="583">
        <v>225574</v>
      </c>
      <c r="F89" s="583">
        <v>213546</v>
      </c>
      <c r="G89" s="581">
        <f t="shared" si="4"/>
        <v>0.1555696706246332</v>
      </c>
      <c r="H89" s="581">
        <f t="shared" si="5"/>
        <v>0.1743347927495614</v>
      </c>
    </row>
    <row r="90" spans="2:8" ht="32" hidden="1" x14ac:dyDescent="0.2">
      <c r="B90" s="585" t="s">
        <v>4</v>
      </c>
      <c r="C90" s="585" t="s">
        <v>28</v>
      </c>
      <c r="D90" s="584" t="s">
        <v>32</v>
      </c>
      <c r="E90" s="583">
        <v>235074</v>
      </c>
      <c r="F90" s="583">
        <v>222558</v>
      </c>
      <c r="G90" s="581">
        <f t="shared" si="4"/>
        <v>0.15522839455220799</v>
      </c>
      <c r="H90" s="581">
        <f t="shared" si="5"/>
        <v>0.17382427782142862</v>
      </c>
    </row>
    <row r="91" spans="2:8" ht="32" x14ac:dyDescent="0.2">
      <c r="B91" s="585" t="s">
        <v>4</v>
      </c>
      <c r="C91" s="585" t="s">
        <v>29</v>
      </c>
      <c r="D91" s="584" t="s">
        <v>32</v>
      </c>
      <c r="E91" s="583">
        <v>234165</v>
      </c>
      <c r="F91" s="583">
        <v>242653</v>
      </c>
      <c r="G91" s="581">
        <f t="shared" si="4"/>
        <v>0.15583002538772006</v>
      </c>
      <c r="H91" s="581">
        <f t="shared" si="5"/>
        <v>0.17490269288432705</v>
      </c>
    </row>
    <row r="92" spans="2:8" ht="32" hidden="1" x14ac:dyDescent="0.2">
      <c r="B92" s="585" t="s">
        <v>5</v>
      </c>
      <c r="C92" s="585" t="s">
        <v>8</v>
      </c>
      <c r="D92" s="584" t="s">
        <v>32</v>
      </c>
      <c r="E92" s="583">
        <v>171046</v>
      </c>
      <c r="F92" s="583">
        <v>127911</v>
      </c>
      <c r="G92" s="581">
        <f t="shared" ref="G92:G113" si="6">E92/E4</f>
        <v>0.25153416635907361</v>
      </c>
      <c r="H92" s="581">
        <f t="shared" ref="H92:H113" si="7">F92/F4</f>
        <v>0.23415729843426494</v>
      </c>
    </row>
    <row r="93" spans="2:8" ht="32" hidden="1" x14ac:dyDescent="0.2">
      <c r="B93" s="585" t="s">
        <v>5</v>
      </c>
      <c r="C93" s="585" t="s">
        <v>9</v>
      </c>
      <c r="D93" s="584" t="s">
        <v>32</v>
      </c>
      <c r="E93" s="583">
        <v>177716</v>
      </c>
      <c r="F93" s="583">
        <v>133007</v>
      </c>
      <c r="G93" s="581">
        <f t="shared" si="6"/>
        <v>0.24346358444220076</v>
      </c>
      <c r="H93" s="581">
        <f t="shared" si="7"/>
        <v>0.22944781889411972</v>
      </c>
    </row>
    <row r="94" spans="2:8" ht="32" hidden="1" x14ac:dyDescent="0.2">
      <c r="B94" s="585" t="s">
        <v>5</v>
      </c>
      <c r="C94" s="585" t="s">
        <v>10</v>
      </c>
      <c r="D94" s="584" t="s">
        <v>32</v>
      </c>
      <c r="E94" s="583">
        <v>186124</v>
      </c>
      <c r="F94" s="583">
        <v>141954</v>
      </c>
      <c r="G94" s="581">
        <f t="shared" si="6"/>
        <v>0.24565895688257933</v>
      </c>
      <c r="H94" s="581">
        <f t="shared" si="7"/>
        <v>0.23071222163351676</v>
      </c>
    </row>
    <row r="95" spans="2:8" ht="32" hidden="1" x14ac:dyDescent="0.2">
      <c r="B95" s="585" t="s">
        <v>5</v>
      </c>
      <c r="C95" s="585" t="s">
        <v>11</v>
      </c>
      <c r="D95" s="584" t="s">
        <v>32</v>
      </c>
      <c r="E95" s="583">
        <v>194778</v>
      </c>
      <c r="F95" s="583">
        <v>150479</v>
      </c>
      <c r="G95" s="581">
        <f t="shared" si="6"/>
        <v>0.24953111548395032</v>
      </c>
      <c r="H95" s="581">
        <f t="shared" si="7"/>
        <v>0.23417794405089451</v>
      </c>
    </row>
    <row r="96" spans="2:8" ht="32" hidden="1" x14ac:dyDescent="0.2">
      <c r="B96" s="585" t="s">
        <v>5</v>
      </c>
      <c r="C96" s="585" t="s">
        <v>12</v>
      </c>
      <c r="D96" s="584" t="s">
        <v>32</v>
      </c>
      <c r="E96" s="583">
        <v>198094</v>
      </c>
      <c r="F96" s="583">
        <v>152643</v>
      </c>
      <c r="G96" s="581">
        <f t="shared" si="6"/>
        <v>0.24555270866104642</v>
      </c>
      <c r="H96" s="581">
        <f t="shared" si="7"/>
        <v>0.23014780493909434</v>
      </c>
    </row>
    <row r="97" spans="2:8" ht="32" hidden="1" x14ac:dyDescent="0.2">
      <c r="B97" s="585" t="s">
        <v>5</v>
      </c>
      <c r="C97" s="585" t="s">
        <v>13</v>
      </c>
      <c r="D97" s="584" t="s">
        <v>32</v>
      </c>
      <c r="E97" s="583">
        <v>208512</v>
      </c>
      <c r="F97" s="583">
        <v>159714</v>
      </c>
      <c r="G97" s="581">
        <f t="shared" si="6"/>
        <v>0.24487380036359024</v>
      </c>
      <c r="H97" s="581">
        <f t="shared" si="7"/>
        <v>0.22972564790762301</v>
      </c>
    </row>
    <row r="98" spans="2:8" ht="32" hidden="1" x14ac:dyDescent="0.2">
      <c r="B98" s="585" t="s">
        <v>5</v>
      </c>
      <c r="C98" s="585" t="s">
        <v>14</v>
      </c>
      <c r="D98" s="584" t="s">
        <v>32</v>
      </c>
      <c r="E98" s="583">
        <v>219663</v>
      </c>
      <c r="F98" s="583">
        <v>165687</v>
      </c>
      <c r="G98" s="581">
        <f t="shared" si="6"/>
        <v>0.24463238266637413</v>
      </c>
      <c r="H98" s="581">
        <f t="shared" si="7"/>
        <v>0.22963922883951712</v>
      </c>
    </row>
    <row r="99" spans="2:8" ht="32" hidden="1" x14ac:dyDescent="0.2">
      <c r="B99" s="585" t="s">
        <v>5</v>
      </c>
      <c r="C99" s="585" t="s">
        <v>15</v>
      </c>
      <c r="D99" s="584" t="s">
        <v>32</v>
      </c>
      <c r="E99" s="583">
        <v>227758</v>
      </c>
      <c r="F99" s="583">
        <v>173866</v>
      </c>
      <c r="G99" s="581">
        <f t="shared" si="6"/>
        <v>0.23904172561597656</v>
      </c>
      <c r="H99" s="581">
        <f t="shared" si="7"/>
        <v>0.22452429378531075</v>
      </c>
    </row>
    <row r="100" spans="2:8" ht="32" hidden="1" x14ac:dyDescent="0.2">
      <c r="B100" s="585" t="s">
        <v>5</v>
      </c>
      <c r="C100" s="585" t="s">
        <v>16</v>
      </c>
      <c r="D100" s="584" t="s">
        <v>32</v>
      </c>
      <c r="E100" s="583">
        <v>239665</v>
      </c>
      <c r="F100" s="583">
        <v>182443</v>
      </c>
      <c r="G100" s="581">
        <f t="shared" si="6"/>
        <v>0.23641197127525251</v>
      </c>
      <c r="H100" s="581">
        <f t="shared" si="7"/>
        <v>0.22349418917313166</v>
      </c>
    </row>
    <row r="101" spans="2:8" ht="32" hidden="1" x14ac:dyDescent="0.2">
      <c r="B101" s="585" t="s">
        <v>5</v>
      </c>
      <c r="C101" s="585" t="s">
        <v>17</v>
      </c>
      <c r="D101" s="584" t="s">
        <v>32</v>
      </c>
      <c r="E101" s="583">
        <v>252161</v>
      </c>
      <c r="F101" s="583">
        <v>195169</v>
      </c>
      <c r="G101" s="581">
        <f t="shared" si="6"/>
        <v>0.23831107524026171</v>
      </c>
      <c r="H101" s="581">
        <f t="shared" si="7"/>
        <v>0.22630808762482549</v>
      </c>
    </row>
    <row r="102" spans="2:8" ht="32" hidden="1" x14ac:dyDescent="0.2">
      <c r="B102" s="585" t="s">
        <v>5</v>
      </c>
      <c r="C102" s="585" t="s">
        <v>18</v>
      </c>
      <c r="D102" s="584" t="s">
        <v>32</v>
      </c>
      <c r="E102" s="583">
        <v>255247</v>
      </c>
      <c r="F102" s="583">
        <v>201645</v>
      </c>
      <c r="G102" s="581">
        <f t="shared" si="6"/>
        <v>0.24268236332139795</v>
      </c>
      <c r="H102" s="581">
        <f t="shared" si="7"/>
        <v>0.22790333901080831</v>
      </c>
    </row>
    <row r="103" spans="2:8" ht="32" hidden="1" x14ac:dyDescent="0.2">
      <c r="B103" s="585" t="s">
        <v>5</v>
      </c>
      <c r="C103" s="585" t="s">
        <v>19</v>
      </c>
      <c r="D103" s="584" t="s">
        <v>32</v>
      </c>
      <c r="E103" s="583">
        <v>266718</v>
      </c>
      <c r="F103" s="583">
        <v>214499</v>
      </c>
      <c r="G103" s="581">
        <f t="shared" si="6"/>
        <v>0.24572203499759546</v>
      </c>
      <c r="H103" s="581">
        <f t="shared" si="7"/>
        <v>0.23111850023327454</v>
      </c>
    </row>
    <row r="104" spans="2:8" ht="32" hidden="1" x14ac:dyDescent="0.2">
      <c r="B104" s="585" t="s">
        <v>5</v>
      </c>
      <c r="C104" s="585" t="s">
        <v>20</v>
      </c>
      <c r="D104" s="584" t="s">
        <v>32</v>
      </c>
      <c r="E104" s="583">
        <v>285499</v>
      </c>
      <c r="F104" s="583">
        <v>225120</v>
      </c>
      <c r="G104" s="581">
        <f t="shared" si="6"/>
        <v>0.24903742988982999</v>
      </c>
      <c r="H104" s="581">
        <f t="shared" si="7"/>
        <v>0.23398766450958422</v>
      </c>
    </row>
    <row r="105" spans="2:8" ht="32" hidden="1" x14ac:dyDescent="0.2">
      <c r="B105" s="585" t="s">
        <v>5</v>
      </c>
      <c r="C105" s="585" t="s">
        <v>21</v>
      </c>
      <c r="D105" s="584" t="s">
        <v>32</v>
      </c>
      <c r="E105" s="583">
        <v>298774</v>
      </c>
      <c r="F105" s="583">
        <v>232385</v>
      </c>
      <c r="G105" s="581">
        <f t="shared" si="6"/>
        <v>0.24915253247895822</v>
      </c>
      <c r="H105" s="581">
        <f t="shared" si="7"/>
        <v>0.23209395418145645</v>
      </c>
    </row>
    <row r="106" spans="2:8" ht="32" hidden="1" x14ac:dyDescent="0.2">
      <c r="B106" s="585" t="s">
        <v>5</v>
      </c>
      <c r="C106" s="585" t="s">
        <v>22</v>
      </c>
      <c r="D106" s="584" t="s">
        <v>32</v>
      </c>
      <c r="E106" s="583">
        <v>312578</v>
      </c>
      <c r="F106" s="583">
        <v>243841</v>
      </c>
      <c r="G106" s="581">
        <f t="shared" si="6"/>
        <v>0.2508645645315461</v>
      </c>
      <c r="H106" s="581">
        <f t="shared" si="7"/>
        <v>0.23294143721143953</v>
      </c>
    </row>
    <row r="107" spans="2:8" ht="32" hidden="1" x14ac:dyDescent="0.2">
      <c r="B107" s="585" t="s">
        <v>5</v>
      </c>
      <c r="C107" s="585" t="s">
        <v>23</v>
      </c>
      <c r="D107" s="584" t="s">
        <v>32</v>
      </c>
      <c r="E107" s="583">
        <v>323049</v>
      </c>
      <c r="F107" s="583">
        <v>253522</v>
      </c>
      <c r="G107" s="581">
        <f t="shared" si="6"/>
        <v>0.2495851180211752</v>
      </c>
      <c r="H107" s="581">
        <f t="shared" si="7"/>
        <v>0.23438363839083479</v>
      </c>
    </row>
    <row r="108" spans="2:8" ht="32" hidden="1" x14ac:dyDescent="0.2">
      <c r="B108" s="585" t="s">
        <v>5</v>
      </c>
      <c r="C108" s="585" t="s">
        <v>24</v>
      </c>
      <c r="D108" s="584" t="s">
        <v>32</v>
      </c>
      <c r="E108" s="583">
        <v>328131</v>
      </c>
      <c r="F108" s="583">
        <v>260965</v>
      </c>
      <c r="G108" s="581">
        <f t="shared" si="6"/>
        <v>0.24397789907362588</v>
      </c>
      <c r="H108" s="581">
        <f t="shared" si="7"/>
        <v>0.23096802743666334</v>
      </c>
    </row>
    <row r="109" spans="2:8" ht="32" hidden="1" x14ac:dyDescent="0.2">
      <c r="B109" s="585" t="s">
        <v>5</v>
      </c>
      <c r="C109" s="585" t="s">
        <v>25</v>
      </c>
      <c r="D109" s="584" t="s">
        <v>32</v>
      </c>
      <c r="E109" s="583">
        <v>330890</v>
      </c>
      <c r="F109" s="583">
        <v>262514</v>
      </c>
      <c r="G109" s="581">
        <f t="shared" si="6"/>
        <v>0.2467818200802494</v>
      </c>
      <c r="H109" s="581">
        <f t="shared" si="7"/>
        <v>0.23174662308002644</v>
      </c>
    </row>
    <row r="110" spans="2:8" ht="32" hidden="1" x14ac:dyDescent="0.2">
      <c r="B110" s="585" t="s">
        <v>5</v>
      </c>
      <c r="C110" s="585" t="s">
        <v>26</v>
      </c>
      <c r="D110" s="584" t="s">
        <v>32</v>
      </c>
      <c r="E110" s="583">
        <v>347321</v>
      </c>
      <c r="F110" s="583">
        <v>277613</v>
      </c>
      <c r="G110" s="581">
        <f t="shared" si="6"/>
        <v>0.24773146477261868</v>
      </c>
      <c r="H110" s="581">
        <f t="shared" si="7"/>
        <v>0.23336451999855415</v>
      </c>
    </row>
    <row r="111" spans="2:8" ht="32" hidden="1" x14ac:dyDescent="0.2">
      <c r="B111" s="585" t="s">
        <v>5</v>
      </c>
      <c r="C111" s="585" t="s">
        <v>27</v>
      </c>
      <c r="D111" s="584" t="s">
        <v>32</v>
      </c>
      <c r="E111" s="583">
        <v>361448</v>
      </c>
      <c r="F111" s="583">
        <v>286502</v>
      </c>
      <c r="G111" s="581">
        <f t="shared" si="6"/>
        <v>0.24927671765333068</v>
      </c>
      <c r="H111" s="581">
        <f t="shared" si="7"/>
        <v>0.23389464936048832</v>
      </c>
    </row>
    <row r="112" spans="2:8" ht="32" hidden="1" x14ac:dyDescent="0.2">
      <c r="B112" s="585" t="s">
        <v>5</v>
      </c>
      <c r="C112" s="585" t="s">
        <v>28</v>
      </c>
      <c r="D112" s="584" t="s">
        <v>32</v>
      </c>
      <c r="E112" s="583">
        <v>378041</v>
      </c>
      <c r="F112" s="583">
        <v>298307</v>
      </c>
      <c r="G112" s="581">
        <f t="shared" si="6"/>
        <v>0.24963499793644242</v>
      </c>
      <c r="H112" s="581">
        <f t="shared" si="7"/>
        <v>0.23298645226896769</v>
      </c>
    </row>
    <row r="113" spans="2:8" ht="32" x14ac:dyDescent="0.2">
      <c r="B113" s="585" t="s">
        <v>5</v>
      </c>
      <c r="C113" s="585" t="s">
        <v>29</v>
      </c>
      <c r="D113" s="584" t="s">
        <v>32</v>
      </c>
      <c r="E113" s="583">
        <v>376335</v>
      </c>
      <c r="F113" s="583">
        <v>327062</v>
      </c>
      <c r="G113" s="581">
        <f t="shared" si="6"/>
        <v>0.25044004272324055</v>
      </c>
      <c r="H113" s="581">
        <f t="shared" si="7"/>
        <v>0.23574414715719064</v>
      </c>
    </row>
    <row r="114" spans="2:8" ht="32" hidden="1" x14ac:dyDescent="0.2">
      <c r="B114" s="585" t="s">
        <v>6</v>
      </c>
      <c r="C114" s="585" t="s">
        <v>8</v>
      </c>
      <c r="D114" s="584" t="s">
        <v>32</v>
      </c>
      <c r="E114" s="583">
        <v>319474</v>
      </c>
      <c r="F114" s="583">
        <v>219247</v>
      </c>
      <c r="G114" s="581">
        <f t="shared" ref="G114:G135" si="8">E114/E4</f>
        <v>0.4698071060615196</v>
      </c>
      <c r="H114" s="581">
        <f t="shared" ref="H114:H135" si="9">F114/F4</f>
        <v>0.40135942342579828</v>
      </c>
    </row>
    <row r="115" spans="2:8" ht="32" hidden="1" x14ac:dyDescent="0.2">
      <c r="B115" s="585" t="s">
        <v>6</v>
      </c>
      <c r="C115" s="585" t="s">
        <v>9</v>
      </c>
      <c r="D115" s="584" t="s">
        <v>32</v>
      </c>
      <c r="E115" s="583">
        <v>351538</v>
      </c>
      <c r="F115" s="583">
        <v>240416</v>
      </c>
      <c r="G115" s="581">
        <f t="shared" si="8"/>
        <v>0.48159254961648007</v>
      </c>
      <c r="H115" s="581">
        <f t="shared" si="9"/>
        <v>0.41473702006096436</v>
      </c>
    </row>
    <row r="116" spans="2:8" ht="32" hidden="1" x14ac:dyDescent="0.2">
      <c r="B116" s="585" t="s">
        <v>6</v>
      </c>
      <c r="C116" s="585" t="s">
        <v>10</v>
      </c>
      <c r="D116" s="584" t="s">
        <v>32</v>
      </c>
      <c r="E116" s="583">
        <v>361843</v>
      </c>
      <c r="F116" s="583">
        <v>250667</v>
      </c>
      <c r="G116" s="581">
        <f t="shared" si="8"/>
        <v>0.477584695876207</v>
      </c>
      <c r="H116" s="581">
        <f t="shared" si="9"/>
        <v>0.40739916071550464</v>
      </c>
    </row>
    <row r="117" spans="2:8" ht="32" hidden="1" x14ac:dyDescent="0.2">
      <c r="B117" s="585" t="s">
        <v>6</v>
      </c>
      <c r="C117" s="585" t="s">
        <v>11</v>
      </c>
      <c r="D117" s="584" t="s">
        <v>32</v>
      </c>
      <c r="E117" s="583">
        <v>375323</v>
      </c>
      <c r="F117" s="583">
        <v>263156</v>
      </c>
      <c r="G117" s="581">
        <f t="shared" si="8"/>
        <v>0.48082826015660229</v>
      </c>
      <c r="H117" s="581">
        <f t="shared" si="9"/>
        <v>0.4095277815818632</v>
      </c>
    </row>
    <row r="118" spans="2:8" ht="32" hidden="1" x14ac:dyDescent="0.2">
      <c r="B118" s="585" t="s">
        <v>6</v>
      </c>
      <c r="C118" s="585" t="s">
        <v>12</v>
      </c>
      <c r="D118" s="584" t="s">
        <v>32</v>
      </c>
      <c r="E118" s="583">
        <v>389365</v>
      </c>
      <c r="F118" s="583">
        <v>273163</v>
      </c>
      <c r="G118" s="581">
        <f t="shared" si="8"/>
        <v>0.48264778543422993</v>
      </c>
      <c r="H118" s="581">
        <f t="shared" si="9"/>
        <v>0.41186208893023479</v>
      </c>
    </row>
    <row r="119" spans="2:8" ht="32" hidden="1" x14ac:dyDescent="0.2">
      <c r="B119" s="585" t="s">
        <v>6</v>
      </c>
      <c r="C119" s="585" t="s">
        <v>13</v>
      </c>
      <c r="D119" s="584" t="s">
        <v>32</v>
      </c>
      <c r="E119" s="583">
        <v>417242</v>
      </c>
      <c r="F119" s="583">
        <v>290544</v>
      </c>
      <c r="G119" s="581">
        <f t="shared" si="8"/>
        <v>0.49000361711222912</v>
      </c>
      <c r="H119" s="581">
        <f t="shared" si="9"/>
        <v>0.41790581067202887</v>
      </c>
    </row>
    <row r="120" spans="2:8" ht="32" hidden="1" x14ac:dyDescent="0.2">
      <c r="B120" s="585" t="s">
        <v>6</v>
      </c>
      <c r="C120" s="585" t="s">
        <v>14</v>
      </c>
      <c r="D120" s="584" t="s">
        <v>32</v>
      </c>
      <c r="E120" s="583">
        <v>441839</v>
      </c>
      <c r="F120" s="583">
        <v>303269</v>
      </c>
      <c r="G120" s="581">
        <f t="shared" si="8"/>
        <v>0.49206342135420206</v>
      </c>
      <c r="H120" s="581">
        <f t="shared" si="9"/>
        <v>0.42032542861498801</v>
      </c>
    </row>
    <row r="121" spans="2:8" ht="32" hidden="1" x14ac:dyDescent="0.2">
      <c r="B121" s="585" t="s">
        <v>6</v>
      </c>
      <c r="C121" s="585" t="s">
        <v>15</v>
      </c>
      <c r="D121" s="584" t="s">
        <v>32</v>
      </c>
      <c r="E121" s="583">
        <v>471125</v>
      </c>
      <c r="F121" s="583">
        <v>327776</v>
      </c>
      <c r="G121" s="581">
        <f t="shared" si="8"/>
        <v>0.49446576182099838</v>
      </c>
      <c r="H121" s="581">
        <f t="shared" si="9"/>
        <v>0.42327812752219535</v>
      </c>
    </row>
    <row r="122" spans="2:8" ht="32" hidden="1" x14ac:dyDescent="0.2">
      <c r="B122" s="585" t="s">
        <v>6</v>
      </c>
      <c r="C122" s="585" t="s">
        <v>16</v>
      </c>
      <c r="D122" s="584" t="s">
        <v>32</v>
      </c>
      <c r="E122" s="583">
        <v>502742</v>
      </c>
      <c r="F122" s="583">
        <v>344921</v>
      </c>
      <c r="G122" s="581">
        <f t="shared" si="8"/>
        <v>0.49591816603535355</v>
      </c>
      <c r="H122" s="581">
        <f t="shared" si="9"/>
        <v>0.42253108764811881</v>
      </c>
    </row>
    <row r="123" spans="2:8" ht="32" hidden="1" x14ac:dyDescent="0.2">
      <c r="B123" s="585" t="s">
        <v>6</v>
      </c>
      <c r="C123" s="585" t="s">
        <v>17</v>
      </c>
      <c r="D123" s="584" t="s">
        <v>32</v>
      </c>
      <c r="E123" s="583">
        <v>519037</v>
      </c>
      <c r="F123" s="583">
        <v>363263</v>
      </c>
      <c r="G123" s="581">
        <f t="shared" si="8"/>
        <v>0.4905289301655677</v>
      </c>
      <c r="H123" s="581">
        <f t="shared" si="9"/>
        <v>0.42122137652422764</v>
      </c>
    </row>
    <row r="124" spans="2:8" ht="32" hidden="1" x14ac:dyDescent="0.2">
      <c r="B124" s="585" t="s">
        <v>6</v>
      </c>
      <c r="C124" s="585" t="s">
        <v>18</v>
      </c>
      <c r="D124" s="584" t="s">
        <v>32</v>
      </c>
      <c r="E124" s="583">
        <v>515075</v>
      </c>
      <c r="F124" s="583">
        <v>369673</v>
      </c>
      <c r="G124" s="581">
        <f t="shared" si="8"/>
        <v>0.4897202250673624</v>
      </c>
      <c r="H124" s="581">
        <f t="shared" si="9"/>
        <v>0.41781205109049335</v>
      </c>
    </row>
    <row r="125" spans="2:8" ht="32" hidden="1" x14ac:dyDescent="0.2">
      <c r="B125" s="585" t="s">
        <v>6</v>
      </c>
      <c r="C125" s="585" t="s">
        <v>19</v>
      </c>
      <c r="D125" s="584" t="s">
        <v>32</v>
      </c>
      <c r="E125" s="583">
        <v>523156</v>
      </c>
      <c r="F125" s="583">
        <v>380090</v>
      </c>
      <c r="G125" s="581">
        <f t="shared" si="8"/>
        <v>0.4819733086675892</v>
      </c>
      <c r="H125" s="581">
        <f t="shared" si="9"/>
        <v>0.4095395817866998</v>
      </c>
    </row>
    <row r="126" spans="2:8" ht="32" hidden="1" x14ac:dyDescent="0.2">
      <c r="B126" s="585" t="s">
        <v>6</v>
      </c>
      <c r="C126" s="585" t="s">
        <v>20</v>
      </c>
      <c r="D126" s="584" t="s">
        <v>32</v>
      </c>
      <c r="E126" s="583">
        <v>552542</v>
      </c>
      <c r="F126" s="583">
        <v>394685</v>
      </c>
      <c r="G126" s="581">
        <f t="shared" si="8"/>
        <v>0.48197590739787682</v>
      </c>
      <c r="H126" s="581">
        <f t="shared" si="9"/>
        <v>0.41023197124629196</v>
      </c>
    </row>
    <row r="127" spans="2:8" ht="32" hidden="1" x14ac:dyDescent="0.2">
      <c r="B127" s="585" t="s">
        <v>6</v>
      </c>
      <c r="C127" s="585" t="s">
        <v>21</v>
      </c>
      <c r="D127" s="584" t="s">
        <v>32</v>
      </c>
      <c r="E127" s="583">
        <v>569499</v>
      </c>
      <c r="F127" s="583">
        <v>408424</v>
      </c>
      <c r="G127" s="581">
        <f t="shared" si="8"/>
        <v>0.47491454441897291</v>
      </c>
      <c r="H127" s="581">
        <f t="shared" si="9"/>
        <v>0.40791247775289785</v>
      </c>
    </row>
    <row r="128" spans="2:8" ht="32" hidden="1" x14ac:dyDescent="0.2">
      <c r="B128" s="585" t="s">
        <v>6</v>
      </c>
      <c r="C128" s="585" t="s">
        <v>22</v>
      </c>
      <c r="D128" s="584" t="s">
        <v>32</v>
      </c>
      <c r="E128" s="583">
        <v>596618</v>
      </c>
      <c r="F128" s="583">
        <v>431626</v>
      </c>
      <c r="G128" s="581">
        <f t="shared" si="8"/>
        <v>0.47882549239448058</v>
      </c>
      <c r="H128" s="581">
        <f t="shared" si="9"/>
        <v>0.41233254775786188</v>
      </c>
    </row>
    <row r="129" spans="2:8" ht="32" hidden="1" x14ac:dyDescent="0.2">
      <c r="B129" s="585" t="s">
        <v>6</v>
      </c>
      <c r="C129" s="585" t="s">
        <v>23</v>
      </c>
      <c r="D129" s="584" t="s">
        <v>32</v>
      </c>
      <c r="E129" s="583">
        <v>618483</v>
      </c>
      <c r="F129" s="583">
        <v>444496</v>
      </c>
      <c r="G129" s="581">
        <f t="shared" si="8"/>
        <v>0.47783510411451668</v>
      </c>
      <c r="H129" s="581">
        <f t="shared" si="9"/>
        <v>0.41094102180549419</v>
      </c>
    </row>
    <row r="130" spans="2:8" ht="32" hidden="1" x14ac:dyDescent="0.2">
      <c r="B130" s="585" t="s">
        <v>6</v>
      </c>
      <c r="C130" s="585" t="s">
        <v>24</v>
      </c>
      <c r="D130" s="584" t="s">
        <v>32</v>
      </c>
      <c r="E130" s="583">
        <v>645588</v>
      </c>
      <c r="F130" s="583">
        <v>464927</v>
      </c>
      <c r="G130" s="581">
        <f t="shared" si="8"/>
        <v>0.48001927250745585</v>
      </c>
      <c r="H130" s="581">
        <f t="shared" si="9"/>
        <v>0.41148534129881625</v>
      </c>
    </row>
    <row r="131" spans="2:8" ht="32" hidden="1" x14ac:dyDescent="0.2">
      <c r="B131" s="585" t="s">
        <v>6</v>
      </c>
      <c r="C131" s="585" t="s">
        <v>25</v>
      </c>
      <c r="D131" s="584" t="s">
        <v>32</v>
      </c>
      <c r="E131" s="583">
        <v>627491</v>
      </c>
      <c r="F131" s="583">
        <v>450581</v>
      </c>
      <c r="G131" s="581">
        <f t="shared" si="8"/>
        <v>0.46799048343550964</v>
      </c>
      <c r="H131" s="581">
        <f t="shared" si="9"/>
        <v>0.39777164331815218</v>
      </c>
    </row>
    <row r="132" spans="2:8" ht="32" hidden="1" x14ac:dyDescent="0.2">
      <c r="B132" s="585" t="s">
        <v>6</v>
      </c>
      <c r="C132" s="585" t="s">
        <v>26</v>
      </c>
      <c r="D132" s="584" t="s">
        <v>32</v>
      </c>
      <c r="E132" s="583">
        <v>664159</v>
      </c>
      <c r="F132" s="583">
        <v>477260</v>
      </c>
      <c r="G132" s="581">
        <f t="shared" si="8"/>
        <v>0.47372051189509889</v>
      </c>
      <c r="H132" s="581">
        <f t="shared" si="9"/>
        <v>0.40118996882174091</v>
      </c>
    </row>
    <row r="133" spans="2:8" ht="32" hidden="1" x14ac:dyDescent="0.2">
      <c r="B133" s="585" t="s">
        <v>6</v>
      </c>
      <c r="C133" s="585" t="s">
        <v>27</v>
      </c>
      <c r="D133" s="584" t="s">
        <v>32</v>
      </c>
      <c r="E133" s="583">
        <v>690798</v>
      </c>
      <c r="F133" s="583">
        <v>491696</v>
      </c>
      <c r="G133" s="581">
        <f t="shared" si="8"/>
        <v>0.47641668511510793</v>
      </c>
      <c r="H133" s="581">
        <f t="shared" si="9"/>
        <v>0.40141103207640666</v>
      </c>
    </row>
    <row r="134" spans="2:8" ht="32" hidden="1" x14ac:dyDescent="0.2">
      <c r="B134" s="585" t="s">
        <v>6</v>
      </c>
      <c r="C134" s="585" t="s">
        <v>28</v>
      </c>
      <c r="D134" s="584" t="s">
        <v>32</v>
      </c>
      <c r="E134" s="583">
        <v>723581</v>
      </c>
      <c r="F134" s="583">
        <v>517014</v>
      </c>
      <c r="G134" s="581">
        <f t="shared" si="8"/>
        <v>0.47780833677259593</v>
      </c>
      <c r="H134" s="581">
        <f t="shared" si="9"/>
        <v>0.40380298696774819</v>
      </c>
    </row>
    <row r="135" spans="2:8" ht="32" x14ac:dyDescent="0.2">
      <c r="B135" s="585" t="s">
        <v>6</v>
      </c>
      <c r="C135" s="585" t="s">
        <v>29</v>
      </c>
      <c r="D135" s="584" t="s">
        <v>32</v>
      </c>
      <c r="E135" s="583">
        <v>714448</v>
      </c>
      <c r="F135" s="583">
        <v>528224</v>
      </c>
      <c r="G135" s="581">
        <f t="shared" si="8"/>
        <v>0.47544445146886094</v>
      </c>
      <c r="H135" s="581">
        <f t="shared" si="9"/>
        <v>0.38074039903125362</v>
      </c>
    </row>
    <row r="136" spans="2:8" hidden="1" x14ac:dyDescent="0.2">
      <c r="H136" s="58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2A185-65A2-C04B-ACC4-2F6D82F35CEC}">
  <dimension ref="B2:P137"/>
  <sheetViews>
    <sheetView workbookViewId="0">
      <selection activeCell="G27" sqref="G27"/>
    </sheetView>
  </sheetViews>
  <sheetFormatPr baseColWidth="10" defaultRowHeight="16" x14ac:dyDescent="0.2"/>
  <cols>
    <col min="1" max="1" width="14.33203125" style="581" bestFit="1" customWidth="1"/>
    <col min="2" max="2" width="10.83203125" style="581"/>
    <col min="3" max="3" width="10.5" style="581" bestFit="1" customWidth="1"/>
    <col min="4" max="4" width="22.33203125" style="581" customWidth="1"/>
    <col min="5" max="5" width="20.1640625" style="581" bestFit="1" customWidth="1"/>
    <col min="6" max="6" width="25.1640625" style="581" customWidth="1"/>
    <col min="7" max="7" width="12.1640625" style="581" customWidth="1"/>
    <col min="8" max="10" width="10.83203125" style="581"/>
    <col min="11" max="11" width="20.1640625" style="581" bestFit="1" customWidth="1"/>
    <col min="12" max="12" width="17.1640625" style="581" customWidth="1"/>
    <col min="13" max="13" width="14" style="581" bestFit="1" customWidth="1"/>
    <col min="14" max="14" width="12.33203125" style="581" bestFit="1" customWidth="1"/>
    <col min="15" max="15" width="13.5" style="581" bestFit="1" customWidth="1"/>
    <col min="16" max="16" width="12" style="581" bestFit="1" customWidth="1"/>
    <col min="17" max="16384" width="10.83203125" style="581"/>
  </cols>
  <sheetData>
    <row r="2" spans="2:16" ht="48" x14ac:dyDescent="0.2">
      <c r="B2" s="595" t="s">
        <v>0</v>
      </c>
      <c r="C2" s="595" t="s">
        <v>7</v>
      </c>
      <c r="D2" s="591" t="s">
        <v>30</v>
      </c>
      <c r="E2" s="590" t="s">
        <v>33</v>
      </c>
      <c r="F2" s="590" t="s">
        <v>35</v>
      </c>
      <c r="H2" s="592"/>
    </row>
    <row r="3" spans="2:16" x14ac:dyDescent="0.2">
      <c r="B3" s="595" t="s">
        <v>0</v>
      </c>
      <c r="C3" s="595" t="s">
        <v>7</v>
      </c>
      <c r="D3" s="591" t="s">
        <v>31</v>
      </c>
      <c r="E3" s="590" t="s">
        <v>34</v>
      </c>
      <c r="F3" s="590" t="s">
        <v>34</v>
      </c>
      <c r="K3" s="593" t="s">
        <v>138</v>
      </c>
      <c r="L3" s="593" t="s">
        <v>50</v>
      </c>
      <c r="M3" s="593" t="s">
        <v>139</v>
      </c>
      <c r="N3" s="593" t="s">
        <v>140</v>
      </c>
      <c r="O3" s="593" t="s">
        <v>141</v>
      </c>
      <c r="P3" s="593" t="s">
        <v>142</v>
      </c>
    </row>
    <row r="4" spans="2:16" x14ac:dyDescent="0.2">
      <c r="B4" s="595" t="s">
        <v>0</v>
      </c>
      <c r="C4" s="595" t="s">
        <v>7</v>
      </c>
      <c r="D4" s="584" t="s">
        <v>32</v>
      </c>
      <c r="E4" s="588" t="s">
        <v>32</v>
      </c>
      <c r="F4" s="588" t="s">
        <v>32</v>
      </c>
      <c r="K4" s="581">
        <v>2000</v>
      </c>
      <c r="L4" s="581">
        <f>E28/E6</f>
        <v>3.1691255142482555E-2</v>
      </c>
    </row>
    <row r="5" spans="2:16" x14ac:dyDescent="0.2">
      <c r="B5" s="594" t="s">
        <v>1</v>
      </c>
      <c r="C5" s="585" t="s">
        <v>8</v>
      </c>
      <c r="D5" s="587" t="s">
        <v>32</v>
      </c>
      <c r="E5" s="583">
        <v>680011</v>
      </c>
      <c r="F5" s="583">
        <v>546261</v>
      </c>
      <c r="K5" s="581">
        <v>2001</v>
      </c>
      <c r="L5" s="581">
        <f t="shared" ref="L5:L24" si="0">E29/E7</f>
        <v>2.9710209964469176E-2</v>
      </c>
    </row>
    <row r="6" spans="2:16" x14ac:dyDescent="0.2">
      <c r="B6" s="594" t="s">
        <v>1</v>
      </c>
      <c r="C6" s="585" t="s">
        <v>9</v>
      </c>
      <c r="D6" s="587" t="s">
        <v>32</v>
      </c>
      <c r="E6" s="583">
        <v>729949</v>
      </c>
      <c r="F6" s="583">
        <v>579683</v>
      </c>
      <c r="K6" s="581">
        <v>2002</v>
      </c>
      <c r="L6" s="581">
        <f t="shared" si="0"/>
        <v>2.9742139138277373E-2</v>
      </c>
    </row>
    <row r="7" spans="2:16" x14ac:dyDescent="0.2">
      <c r="B7" s="594" t="s">
        <v>1</v>
      </c>
      <c r="C7" s="585" t="s">
        <v>10</v>
      </c>
      <c r="D7" s="587" t="s">
        <v>32</v>
      </c>
      <c r="E7" s="583">
        <v>757652</v>
      </c>
      <c r="F7" s="583">
        <v>615286</v>
      </c>
      <c r="K7" s="581">
        <v>2003</v>
      </c>
      <c r="L7" s="581">
        <f t="shared" si="0"/>
        <v>2.9875038271930901E-2</v>
      </c>
    </row>
    <row r="8" spans="2:16" x14ac:dyDescent="0.2">
      <c r="B8" s="594" t="s">
        <v>1</v>
      </c>
      <c r="C8" s="585" t="s">
        <v>11</v>
      </c>
      <c r="D8" s="587" t="s">
        <v>32</v>
      </c>
      <c r="E8" s="583">
        <v>780576</v>
      </c>
      <c r="F8" s="583">
        <v>642584</v>
      </c>
      <c r="K8" s="581">
        <v>2004</v>
      </c>
      <c r="L8" s="581">
        <f t="shared" si="0"/>
        <v>2.9451279377292992E-2</v>
      </c>
    </row>
    <row r="9" spans="2:16" x14ac:dyDescent="0.2">
      <c r="B9" s="594" t="s">
        <v>1</v>
      </c>
      <c r="C9" s="585" t="s">
        <v>12</v>
      </c>
      <c r="D9" s="587" t="s">
        <v>32</v>
      </c>
      <c r="E9" s="583">
        <v>806727</v>
      </c>
      <c r="F9" s="583">
        <v>663239</v>
      </c>
      <c r="K9" s="581">
        <v>2005</v>
      </c>
      <c r="L9" s="581">
        <f t="shared" si="0"/>
        <v>2.804001643778865E-2</v>
      </c>
    </row>
    <row r="10" spans="2:16" x14ac:dyDescent="0.2">
      <c r="B10" s="594" t="s">
        <v>1</v>
      </c>
      <c r="C10" s="585" t="s">
        <v>13</v>
      </c>
      <c r="D10" s="587" t="s">
        <v>32</v>
      </c>
      <c r="E10" s="583">
        <v>851508</v>
      </c>
      <c r="F10" s="583">
        <v>695238</v>
      </c>
      <c r="K10" s="581">
        <v>2006</v>
      </c>
      <c r="L10" s="581">
        <f t="shared" si="0"/>
        <v>2.9622290605754012E-2</v>
      </c>
    </row>
    <row r="11" spans="2:16" x14ac:dyDescent="0.2">
      <c r="B11" s="594" t="s">
        <v>1</v>
      </c>
      <c r="C11" s="585" t="s">
        <v>14</v>
      </c>
      <c r="D11" s="587" t="s">
        <v>32</v>
      </c>
      <c r="E11" s="583">
        <v>897931</v>
      </c>
      <c r="F11" s="583">
        <v>721510</v>
      </c>
      <c r="K11" s="581">
        <v>2007</v>
      </c>
      <c r="L11" s="581">
        <f t="shared" si="0"/>
        <v>3.0713383838383838E-2</v>
      </c>
    </row>
    <row r="12" spans="2:16" x14ac:dyDescent="0.2">
      <c r="B12" s="594" t="s">
        <v>1</v>
      </c>
      <c r="C12" s="585" t="s">
        <v>15</v>
      </c>
      <c r="D12" s="587" t="s">
        <v>32</v>
      </c>
      <c r="E12" s="583">
        <v>952796</v>
      </c>
      <c r="F12" s="583">
        <v>774375</v>
      </c>
      <c r="K12" s="581">
        <v>2008</v>
      </c>
      <c r="L12" s="581">
        <f t="shared" si="0"/>
        <v>2.9772699994424057E-2</v>
      </c>
    </row>
    <row r="13" spans="2:16" x14ac:dyDescent="0.2">
      <c r="B13" s="594" t="s">
        <v>1</v>
      </c>
      <c r="C13" s="585" t="s">
        <v>16</v>
      </c>
      <c r="D13" s="587" t="s">
        <v>32</v>
      </c>
      <c r="E13" s="583">
        <v>1013760</v>
      </c>
      <c r="F13" s="583">
        <v>816321</v>
      </c>
      <c r="K13" s="581">
        <v>2009</v>
      </c>
      <c r="L13" s="581">
        <f t="shared" si="0"/>
        <v>2.8980560462608888E-2</v>
      </c>
    </row>
    <row r="14" spans="2:16" x14ac:dyDescent="0.2">
      <c r="B14" s="594" t="s">
        <v>1</v>
      </c>
      <c r="C14" s="585" t="s">
        <v>17</v>
      </c>
      <c r="D14" s="587" t="s">
        <v>32</v>
      </c>
      <c r="E14" s="583">
        <v>1058117</v>
      </c>
      <c r="F14" s="583">
        <v>862404</v>
      </c>
      <c r="K14" s="581">
        <v>2010</v>
      </c>
      <c r="L14" s="581">
        <f t="shared" si="0"/>
        <v>2.861035924403425E-2</v>
      </c>
    </row>
    <row r="15" spans="2:16" x14ac:dyDescent="0.2">
      <c r="B15" s="594" t="s">
        <v>1</v>
      </c>
      <c r="C15" s="585" t="s">
        <v>18</v>
      </c>
      <c r="D15" s="587" t="s">
        <v>32</v>
      </c>
      <c r="E15" s="583">
        <v>1051774</v>
      </c>
      <c r="F15" s="583">
        <v>884783</v>
      </c>
      <c r="K15" s="581">
        <v>2011</v>
      </c>
      <c r="L15" s="581">
        <f t="shared" si="0"/>
        <v>2.9062900707425791E-2</v>
      </c>
    </row>
    <row r="16" spans="2:16" x14ac:dyDescent="0.2">
      <c r="B16" s="594" t="s">
        <v>1</v>
      </c>
      <c r="C16" s="585" t="s">
        <v>19</v>
      </c>
      <c r="D16" s="587" t="s">
        <v>32</v>
      </c>
      <c r="E16" s="583">
        <v>1085446</v>
      </c>
      <c r="F16" s="583">
        <v>928091</v>
      </c>
      <c r="K16" s="581">
        <v>2012</v>
      </c>
      <c r="L16" s="581">
        <f t="shared" si="0"/>
        <v>2.9910078796758735E-2</v>
      </c>
    </row>
    <row r="17" spans="2:12" x14ac:dyDescent="0.2">
      <c r="B17" s="594" t="s">
        <v>1</v>
      </c>
      <c r="C17" s="585" t="s">
        <v>20</v>
      </c>
      <c r="D17" s="587" t="s">
        <v>32</v>
      </c>
      <c r="E17" s="583">
        <v>1146410</v>
      </c>
      <c r="F17" s="583">
        <v>962102</v>
      </c>
      <c r="K17" s="581">
        <v>2013</v>
      </c>
      <c r="L17" s="581">
        <f t="shared" si="0"/>
        <v>2.902801999674158E-2</v>
      </c>
    </row>
    <row r="18" spans="2:12" x14ac:dyDescent="0.2">
      <c r="B18" s="594" t="s">
        <v>1</v>
      </c>
      <c r="C18" s="585" t="s">
        <v>21</v>
      </c>
      <c r="D18" s="587" t="s">
        <v>32</v>
      </c>
      <c r="E18" s="583">
        <v>1199161</v>
      </c>
      <c r="F18" s="583">
        <v>1001254</v>
      </c>
      <c r="K18" s="581">
        <v>2014</v>
      </c>
      <c r="L18" s="581">
        <f t="shared" si="0"/>
        <v>2.8338679670937558E-2</v>
      </c>
    </row>
    <row r="19" spans="2:12" x14ac:dyDescent="0.2">
      <c r="B19" s="594" t="s">
        <v>1</v>
      </c>
      <c r="C19" s="585" t="s">
        <v>22</v>
      </c>
      <c r="D19" s="587" t="s">
        <v>32</v>
      </c>
      <c r="E19" s="583">
        <v>1246003</v>
      </c>
      <c r="F19" s="583">
        <v>1046791</v>
      </c>
      <c r="K19" s="581">
        <v>2015</v>
      </c>
      <c r="L19" s="581">
        <f t="shared" si="0"/>
        <v>2.6426831018327469E-2</v>
      </c>
    </row>
    <row r="20" spans="2:12" x14ac:dyDescent="0.2">
      <c r="B20" s="594" t="s">
        <v>1</v>
      </c>
      <c r="C20" s="585" t="s">
        <v>23</v>
      </c>
      <c r="D20" s="587" t="s">
        <v>32</v>
      </c>
      <c r="E20" s="583">
        <v>1294344</v>
      </c>
      <c r="F20" s="583">
        <v>1081654</v>
      </c>
      <c r="K20" s="581">
        <v>2016</v>
      </c>
      <c r="L20" s="581">
        <f t="shared" si="0"/>
        <v>2.8357273907012127E-2</v>
      </c>
    </row>
    <row r="21" spans="2:12" x14ac:dyDescent="0.2">
      <c r="B21" s="594" t="s">
        <v>1</v>
      </c>
      <c r="C21" s="585" t="s">
        <v>24</v>
      </c>
      <c r="D21" s="587" t="s">
        <v>32</v>
      </c>
      <c r="E21" s="583">
        <v>1344921</v>
      </c>
      <c r="F21" s="583">
        <v>1129875</v>
      </c>
      <c r="K21" s="581">
        <v>2017</v>
      </c>
      <c r="L21" s="581">
        <f t="shared" si="0"/>
        <v>2.877091824143406E-2</v>
      </c>
    </row>
    <row r="22" spans="2:12" x14ac:dyDescent="0.2">
      <c r="B22" s="594" t="s">
        <v>1</v>
      </c>
      <c r="C22" s="585" t="s">
        <v>25</v>
      </c>
      <c r="D22" s="587" t="s">
        <v>32</v>
      </c>
      <c r="E22" s="583">
        <v>1340820</v>
      </c>
      <c r="F22" s="583">
        <v>1132763</v>
      </c>
      <c r="K22" s="581">
        <v>2018</v>
      </c>
      <c r="L22" s="581">
        <f t="shared" si="0"/>
        <v>2.9889923151035148E-2</v>
      </c>
    </row>
    <row r="23" spans="2:12" x14ac:dyDescent="0.2">
      <c r="B23" s="594" t="s">
        <v>1</v>
      </c>
      <c r="C23" s="585" t="s">
        <v>26</v>
      </c>
      <c r="D23" s="587" t="s">
        <v>32</v>
      </c>
      <c r="E23" s="583">
        <v>1402006</v>
      </c>
      <c r="F23" s="583">
        <v>1189611</v>
      </c>
      <c r="K23" s="581">
        <v>2019</v>
      </c>
      <c r="L23" s="581">
        <f t="shared" si="0"/>
        <v>2.9503920759389186E-2</v>
      </c>
    </row>
    <row r="24" spans="2:12" x14ac:dyDescent="0.2">
      <c r="B24" s="594" t="s">
        <v>1</v>
      </c>
      <c r="C24" s="585" t="s">
        <v>27</v>
      </c>
      <c r="D24" s="587" t="s">
        <v>32</v>
      </c>
      <c r="E24" s="583">
        <v>1449987</v>
      </c>
      <c r="F24" s="583">
        <v>1224919</v>
      </c>
      <c r="K24" s="581">
        <v>2020</v>
      </c>
      <c r="L24" s="581">
        <f t="shared" si="0"/>
        <v>3.0184435297914747E-2</v>
      </c>
    </row>
    <row r="25" spans="2:12" x14ac:dyDescent="0.2">
      <c r="B25" s="594" t="s">
        <v>1</v>
      </c>
      <c r="C25" s="585" t="s">
        <v>28</v>
      </c>
      <c r="D25" s="587" t="s">
        <v>32</v>
      </c>
      <c r="E25" s="583">
        <v>1514375</v>
      </c>
      <c r="F25" s="583">
        <v>1280362</v>
      </c>
    </row>
    <row r="26" spans="2:12" x14ac:dyDescent="0.2">
      <c r="B26" s="594" t="s">
        <v>1</v>
      </c>
      <c r="C26" s="585" t="s">
        <v>29</v>
      </c>
      <c r="D26" s="587" t="s">
        <v>32</v>
      </c>
      <c r="E26" s="583">
        <v>1502695</v>
      </c>
      <c r="F26" s="583">
        <v>1387360</v>
      </c>
    </row>
    <row r="27" spans="2:12" x14ac:dyDescent="0.2">
      <c r="B27" s="594" t="s">
        <v>2</v>
      </c>
      <c r="C27" s="585" t="s">
        <v>8</v>
      </c>
      <c r="D27" s="584" t="s">
        <v>32</v>
      </c>
      <c r="E27" s="583">
        <v>20875</v>
      </c>
      <c r="F27" s="583">
        <v>34499</v>
      </c>
      <c r="G27" s="581">
        <f t="shared" ref="G27:G48" si="1">E27/E5</f>
        <v>3.0698032825939581E-2</v>
      </c>
      <c r="H27" s="581">
        <f t="shared" ref="H27:H48" si="2">F27/F5</f>
        <v>6.3154792306241894E-2</v>
      </c>
      <c r="K27" s="586"/>
    </row>
    <row r="28" spans="2:12" x14ac:dyDescent="0.2">
      <c r="B28" s="594" t="s">
        <v>2</v>
      </c>
      <c r="C28" s="585" t="s">
        <v>9</v>
      </c>
      <c r="D28" s="584" t="s">
        <v>32</v>
      </c>
      <c r="E28" s="583">
        <v>23133</v>
      </c>
      <c r="F28" s="583">
        <v>35458</v>
      </c>
      <c r="G28" s="581">
        <f t="shared" si="1"/>
        <v>3.1691255142482555E-2</v>
      </c>
      <c r="H28" s="581">
        <f t="shared" si="2"/>
        <v>6.1167914187581836E-2</v>
      </c>
    </row>
    <row r="29" spans="2:12" x14ac:dyDescent="0.2">
      <c r="B29" s="594" t="s">
        <v>2</v>
      </c>
      <c r="C29" s="585" t="s">
        <v>10</v>
      </c>
      <c r="D29" s="584" t="s">
        <v>32</v>
      </c>
      <c r="E29" s="583">
        <v>22510</v>
      </c>
      <c r="F29" s="583">
        <v>39157</v>
      </c>
      <c r="G29" s="581">
        <f t="shared" si="1"/>
        <v>2.9710209964469176E-2</v>
      </c>
      <c r="H29" s="581">
        <f t="shared" si="2"/>
        <v>6.3640323361818726E-2</v>
      </c>
    </row>
    <row r="30" spans="2:12" x14ac:dyDescent="0.2">
      <c r="B30" s="594" t="s">
        <v>2</v>
      </c>
      <c r="C30" s="585" t="s">
        <v>11</v>
      </c>
      <c r="D30" s="584" t="s">
        <v>32</v>
      </c>
      <c r="E30" s="583">
        <v>23216</v>
      </c>
      <c r="F30" s="583">
        <v>40052</v>
      </c>
      <c r="G30" s="581">
        <f t="shared" si="1"/>
        <v>2.9742139138277373E-2</v>
      </c>
      <c r="H30" s="581">
        <f t="shared" si="2"/>
        <v>6.232959426316248E-2</v>
      </c>
    </row>
    <row r="31" spans="2:12" x14ac:dyDescent="0.2">
      <c r="B31" s="594" t="s">
        <v>2</v>
      </c>
      <c r="C31" s="585" t="s">
        <v>12</v>
      </c>
      <c r="D31" s="584" t="s">
        <v>32</v>
      </c>
      <c r="E31" s="583">
        <v>24101</v>
      </c>
      <c r="F31" s="583">
        <v>42088</v>
      </c>
      <c r="G31" s="581">
        <f t="shared" si="1"/>
        <v>2.9875038271930901E-2</v>
      </c>
      <c r="H31" s="581">
        <f t="shared" si="2"/>
        <v>6.3458270698797864E-2</v>
      </c>
    </row>
    <row r="32" spans="2:12" x14ac:dyDescent="0.2">
      <c r="B32" s="594" t="s">
        <v>2</v>
      </c>
      <c r="C32" s="585" t="s">
        <v>13</v>
      </c>
      <c r="D32" s="584" t="s">
        <v>32</v>
      </c>
      <c r="E32" s="583">
        <v>25078</v>
      </c>
      <c r="F32" s="583">
        <v>42850</v>
      </c>
      <c r="G32" s="581">
        <f t="shared" si="1"/>
        <v>2.9451279377292992E-2</v>
      </c>
      <c r="H32" s="581">
        <f t="shared" si="2"/>
        <v>6.1633570086790421E-2</v>
      </c>
    </row>
    <row r="33" spans="2:8" x14ac:dyDescent="0.2">
      <c r="B33" s="594" t="s">
        <v>2</v>
      </c>
      <c r="C33" s="585" t="s">
        <v>14</v>
      </c>
      <c r="D33" s="584" t="s">
        <v>32</v>
      </c>
      <c r="E33" s="583">
        <v>25178</v>
      </c>
      <c r="F33" s="583">
        <v>42545</v>
      </c>
      <c r="G33" s="581">
        <f t="shared" si="1"/>
        <v>2.804001643778865E-2</v>
      </c>
      <c r="H33" s="581">
        <f t="shared" si="2"/>
        <v>5.8966611689373671E-2</v>
      </c>
    </row>
    <row r="34" spans="2:8" x14ac:dyDescent="0.2">
      <c r="B34" s="594" t="s">
        <v>2</v>
      </c>
      <c r="C34" s="585" t="s">
        <v>15</v>
      </c>
      <c r="D34" s="584" t="s">
        <v>32</v>
      </c>
      <c r="E34" s="583">
        <v>28224</v>
      </c>
      <c r="F34" s="583">
        <v>47335</v>
      </c>
      <c r="G34" s="581">
        <f t="shared" si="1"/>
        <v>2.9622290605754012E-2</v>
      </c>
      <c r="H34" s="581">
        <f t="shared" si="2"/>
        <v>6.1126715092816787E-2</v>
      </c>
    </row>
    <row r="35" spans="2:8" x14ac:dyDescent="0.2">
      <c r="B35" s="594" t="s">
        <v>2</v>
      </c>
      <c r="C35" s="585" t="s">
        <v>16</v>
      </c>
      <c r="D35" s="584" t="s">
        <v>32</v>
      </c>
      <c r="E35" s="583">
        <v>31136</v>
      </c>
      <c r="F35" s="583">
        <v>51170</v>
      </c>
      <c r="G35" s="581">
        <f t="shared" si="1"/>
        <v>3.0713383838383838E-2</v>
      </c>
      <c r="H35" s="581">
        <f t="shared" si="2"/>
        <v>6.2683674681895965E-2</v>
      </c>
    </row>
    <row r="36" spans="2:8" x14ac:dyDescent="0.2">
      <c r="B36" s="594" t="s">
        <v>2</v>
      </c>
      <c r="C36" s="585" t="s">
        <v>17</v>
      </c>
      <c r="D36" s="584" t="s">
        <v>32</v>
      </c>
      <c r="E36" s="583">
        <v>31503</v>
      </c>
      <c r="F36" s="583">
        <v>52821</v>
      </c>
      <c r="G36" s="581">
        <f t="shared" si="1"/>
        <v>2.9772699994424057E-2</v>
      </c>
      <c r="H36" s="581">
        <f t="shared" si="2"/>
        <v>6.1248556361055841E-2</v>
      </c>
    </row>
    <row r="37" spans="2:8" x14ac:dyDescent="0.2">
      <c r="B37" s="594" t="s">
        <v>2</v>
      </c>
      <c r="C37" s="585" t="s">
        <v>18</v>
      </c>
      <c r="D37" s="584" t="s">
        <v>32</v>
      </c>
      <c r="E37" s="583">
        <v>30481</v>
      </c>
      <c r="F37" s="583">
        <v>55537</v>
      </c>
      <c r="G37" s="581">
        <f t="shared" si="1"/>
        <v>2.8980560462608888E-2</v>
      </c>
      <c r="H37" s="581">
        <f t="shared" si="2"/>
        <v>6.2769063148817278E-2</v>
      </c>
    </row>
    <row r="38" spans="2:8" x14ac:dyDescent="0.2">
      <c r="B38" s="594" t="s">
        <v>2</v>
      </c>
      <c r="C38" s="585" t="s">
        <v>19</v>
      </c>
      <c r="D38" s="584" t="s">
        <v>32</v>
      </c>
      <c r="E38" s="583">
        <v>31055</v>
      </c>
      <c r="F38" s="583">
        <v>58113</v>
      </c>
      <c r="G38" s="581">
        <f t="shared" si="1"/>
        <v>2.861035924403425E-2</v>
      </c>
      <c r="H38" s="581">
        <f t="shared" si="2"/>
        <v>6.2615627131391211E-2</v>
      </c>
    </row>
    <row r="39" spans="2:8" x14ac:dyDescent="0.2">
      <c r="B39" s="594" t="s">
        <v>2</v>
      </c>
      <c r="C39" s="585" t="s">
        <v>20</v>
      </c>
      <c r="D39" s="584" t="s">
        <v>32</v>
      </c>
      <c r="E39" s="583">
        <v>33318</v>
      </c>
      <c r="F39" s="583">
        <v>61040</v>
      </c>
      <c r="G39" s="581">
        <f t="shared" si="1"/>
        <v>2.9062900707425791E-2</v>
      </c>
      <c r="H39" s="581">
        <f t="shared" si="2"/>
        <v>6.3444416496379802E-2</v>
      </c>
    </row>
    <row r="40" spans="2:8" x14ac:dyDescent="0.2">
      <c r="B40" s="594" t="s">
        <v>2</v>
      </c>
      <c r="C40" s="585" t="s">
        <v>21</v>
      </c>
      <c r="D40" s="584" t="s">
        <v>32</v>
      </c>
      <c r="E40" s="583">
        <v>35867</v>
      </c>
      <c r="F40" s="583">
        <v>65634</v>
      </c>
      <c r="G40" s="581">
        <f t="shared" si="1"/>
        <v>2.9910078796758735E-2</v>
      </c>
      <c r="H40" s="581">
        <f t="shared" si="2"/>
        <v>6.5551798045251256E-2</v>
      </c>
    </row>
    <row r="41" spans="2:8" x14ac:dyDescent="0.2">
      <c r="B41" s="594" t="s">
        <v>2</v>
      </c>
      <c r="C41" s="585" t="s">
        <v>22</v>
      </c>
      <c r="D41" s="584" t="s">
        <v>32</v>
      </c>
      <c r="E41" s="583">
        <v>36169</v>
      </c>
      <c r="F41" s="583">
        <v>65502</v>
      </c>
      <c r="G41" s="581">
        <f t="shared" si="1"/>
        <v>2.902801999674158E-2</v>
      </c>
      <c r="H41" s="581">
        <f t="shared" si="2"/>
        <v>6.2574095497573062E-2</v>
      </c>
    </row>
    <row r="42" spans="2:8" x14ac:dyDescent="0.2">
      <c r="B42" s="594" t="s">
        <v>2</v>
      </c>
      <c r="C42" s="585" t="s">
        <v>23</v>
      </c>
      <c r="D42" s="584" t="s">
        <v>32</v>
      </c>
      <c r="E42" s="583">
        <v>36680</v>
      </c>
      <c r="F42" s="583">
        <v>67552</v>
      </c>
      <c r="G42" s="581">
        <f t="shared" si="1"/>
        <v>2.8338679670937558E-2</v>
      </c>
      <c r="H42" s="581">
        <f t="shared" si="2"/>
        <v>6.2452503295878349E-2</v>
      </c>
    </row>
    <row r="43" spans="2:8" x14ac:dyDescent="0.2">
      <c r="B43" s="594" t="s">
        <v>2</v>
      </c>
      <c r="C43" s="585" t="s">
        <v>24</v>
      </c>
      <c r="D43" s="584" t="s">
        <v>32</v>
      </c>
      <c r="E43" s="583">
        <v>35542</v>
      </c>
      <c r="F43" s="583">
        <v>66938</v>
      </c>
      <c r="G43" s="581">
        <f t="shared" si="1"/>
        <v>2.6426831018327469E-2</v>
      </c>
      <c r="H43" s="581">
        <f t="shared" si="2"/>
        <v>5.9243721650625067E-2</v>
      </c>
    </row>
    <row r="44" spans="2:8" x14ac:dyDescent="0.2">
      <c r="B44" s="594" t="s">
        <v>2</v>
      </c>
      <c r="C44" s="585" t="s">
        <v>25</v>
      </c>
      <c r="D44" s="584" t="s">
        <v>32</v>
      </c>
      <c r="E44" s="583">
        <v>38022</v>
      </c>
      <c r="F44" s="583">
        <v>69928</v>
      </c>
      <c r="G44" s="581">
        <f t="shared" si="1"/>
        <v>2.8357273907012127E-2</v>
      </c>
      <c r="H44" s="581">
        <f t="shared" si="2"/>
        <v>6.1732242313705513E-2</v>
      </c>
    </row>
    <row r="45" spans="2:8" x14ac:dyDescent="0.2">
      <c r="B45" s="594" t="s">
        <v>2</v>
      </c>
      <c r="C45" s="585" t="s">
        <v>26</v>
      </c>
      <c r="D45" s="584" t="s">
        <v>32</v>
      </c>
      <c r="E45" s="583">
        <v>40337</v>
      </c>
      <c r="F45" s="583">
        <v>72637</v>
      </c>
      <c r="G45" s="581">
        <f t="shared" si="1"/>
        <v>2.877091824143406E-2</v>
      </c>
      <c r="H45" s="581">
        <f t="shared" si="2"/>
        <v>6.1059455569930005E-2</v>
      </c>
    </row>
    <row r="46" spans="2:8" x14ac:dyDescent="0.2">
      <c r="B46" s="594" t="s">
        <v>2</v>
      </c>
      <c r="C46" s="585" t="s">
        <v>27</v>
      </c>
      <c r="D46" s="584" t="s">
        <v>32</v>
      </c>
      <c r="E46" s="583">
        <v>43340</v>
      </c>
      <c r="F46" s="583">
        <v>76603</v>
      </c>
      <c r="G46" s="581">
        <f t="shared" si="1"/>
        <v>2.9889923151035148E-2</v>
      </c>
      <c r="H46" s="581">
        <f t="shared" si="2"/>
        <v>6.2537196337063922E-2</v>
      </c>
    </row>
    <row r="47" spans="2:8" x14ac:dyDescent="0.2">
      <c r="B47" s="594" t="s">
        <v>2</v>
      </c>
      <c r="C47" s="585" t="s">
        <v>28</v>
      </c>
      <c r="D47" s="584" t="s">
        <v>32</v>
      </c>
      <c r="E47" s="583">
        <v>44680</v>
      </c>
      <c r="F47" s="583">
        <v>80065</v>
      </c>
      <c r="G47" s="581">
        <f t="shared" si="1"/>
        <v>2.9503920759389186E-2</v>
      </c>
      <c r="H47" s="581">
        <f t="shared" si="2"/>
        <v>6.2533096108756736E-2</v>
      </c>
    </row>
    <row r="48" spans="2:8" x14ac:dyDescent="0.2">
      <c r="B48" s="594" t="s">
        <v>2</v>
      </c>
      <c r="C48" s="585" t="s">
        <v>29</v>
      </c>
      <c r="D48" s="584" t="s">
        <v>32</v>
      </c>
      <c r="E48" s="583">
        <v>45358</v>
      </c>
      <c r="F48" s="583">
        <v>102290</v>
      </c>
      <c r="G48" s="581">
        <f t="shared" si="1"/>
        <v>3.0184435297914747E-2</v>
      </c>
      <c r="H48" s="581">
        <f t="shared" si="2"/>
        <v>7.3729961942105876E-2</v>
      </c>
    </row>
    <row r="49" spans="2:8" x14ac:dyDescent="0.2">
      <c r="B49" s="594" t="s">
        <v>3</v>
      </c>
      <c r="C49" s="585" t="s">
        <v>8</v>
      </c>
      <c r="D49" s="584" t="s">
        <v>32</v>
      </c>
      <c r="E49" s="583">
        <v>58900</v>
      </c>
      <c r="F49" s="583">
        <v>68716</v>
      </c>
      <c r="G49" s="581">
        <f t="shared" ref="G49:G70" si="3">E49/E5</f>
        <v>8.6616245913669038E-2</v>
      </c>
      <c r="H49" s="581">
        <f t="shared" ref="H49:H70" si="4">F49/F5</f>
        <v>0.12579334786850974</v>
      </c>
    </row>
    <row r="50" spans="2:8" x14ac:dyDescent="0.2">
      <c r="B50" s="594" t="s">
        <v>3</v>
      </c>
      <c r="C50" s="585" t="s">
        <v>9</v>
      </c>
      <c r="D50" s="584" t="s">
        <v>32</v>
      </c>
      <c r="E50" s="583">
        <v>64430</v>
      </c>
      <c r="F50" s="583">
        <v>71662</v>
      </c>
      <c r="G50" s="581">
        <f t="shared" si="3"/>
        <v>8.8266440532146773E-2</v>
      </c>
      <c r="H50" s="581">
        <f t="shared" si="4"/>
        <v>0.12362273863473656</v>
      </c>
    </row>
    <row r="51" spans="2:8" x14ac:dyDescent="0.2">
      <c r="B51" s="594" t="s">
        <v>3</v>
      </c>
      <c r="C51" s="585" t="s">
        <v>10</v>
      </c>
      <c r="D51" s="584" t="s">
        <v>32</v>
      </c>
      <c r="E51" s="583">
        <v>67954</v>
      </c>
      <c r="F51" s="583">
        <v>78344</v>
      </c>
      <c r="G51" s="581">
        <f t="shared" si="3"/>
        <v>8.9690253572880421E-2</v>
      </c>
      <c r="H51" s="581">
        <f t="shared" si="4"/>
        <v>0.12732940453707706</v>
      </c>
    </row>
    <row r="52" spans="2:8" x14ac:dyDescent="0.2">
      <c r="B52" s="594" t="s">
        <v>3</v>
      </c>
      <c r="C52" s="585" t="s">
        <v>11</v>
      </c>
      <c r="D52" s="584" t="s">
        <v>32</v>
      </c>
      <c r="E52" s="583">
        <v>68701</v>
      </c>
      <c r="F52" s="583">
        <v>80977</v>
      </c>
      <c r="G52" s="581">
        <f t="shared" si="3"/>
        <v>8.8013210757184435E-2</v>
      </c>
      <c r="H52" s="581">
        <f t="shared" si="4"/>
        <v>0.12601776577070078</v>
      </c>
    </row>
    <row r="53" spans="2:8" x14ac:dyDescent="0.2">
      <c r="B53" s="594" t="s">
        <v>3</v>
      </c>
      <c r="C53" s="585" t="s">
        <v>12</v>
      </c>
      <c r="D53" s="584" t="s">
        <v>32</v>
      </c>
      <c r="E53" s="583">
        <v>68628</v>
      </c>
      <c r="F53" s="583">
        <v>82309</v>
      </c>
      <c r="G53" s="581">
        <f t="shared" si="3"/>
        <v>8.506967040894875E-2</v>
      </c>
      <c r="H53" s="581">
        <f t="shared" si="4"/>
        <v>0.12410156821296697</v>
      </c>
    </row>
    <row r="54" spans="2:8" x14ac:dyDescent="0.2">
      <c r="B54" s="594" t="s">
        <v>3</v>
      </c>
      <c r="C54" s="585" t="s">
        <v>13</v>
      </c>
      <c r="D54" s="584" t="s">
        <v>32</v>
      </c>
      <c r="E54" s="583">
        <v>70814</v>
      </c>
      <c r="F54" s="583">
        <v>85376</v>
      </c>
      <c r="G54" s="581">
        <f t="shared" si="3"/>
        <v>8.3163047205663365E-2</v>
      </c>
      <c r="H54" s="581">
        <f t="shared" si="4"/>
        <v>0.12280111271248119</v>
      </c>
    </row>
    <row r="55" spans="2:8" x14ac:dyDescent="0.2">
      <c r="B55" s="594" t="s">
        <v>3</v>
      </c>
      <c r="C55" s="585" t="s">
        <v>14</v>
      </c>
      <c r="D55" s="584" t="s">
        <v>32</v>
      </c>
      <c r="E55" s="583">
        <v>74778</v>
      </c>
      <c r="F55" s="583">
        <v>88958</v>
      </c>
      <c r="G55" s="581">
        <f t="shared" si="3"/>
        <v>8.3278113797162587E-2</v>
      </c>
      <c r="H55" s="581">
        <f t="shared" si="4"/>
        <v>0.12329420243655667</v>
      </c>
    </row>
    <row r="56" spans="2:8" x14ac:dyDescent="0.2">
      <c r="B56" s="594" t="s">
        <v>3</v>
      </c>
      <c r="C56" s="585" t="s">
        <v>15</v>
      </c>
      <c r="D56" s="584" t="s">
        <v>32</v>
      </c>
      <c r="E56" s="583">
        <v>81367</v>
      </c>
      <c r="F56" s="583">
        <v>95636</v>
      </c>
      <c r="G56" s="581">
        <f t="shared" si="3"/>
        <v>8.5398133493423567E-2</v>
      </c>
      <c r="H56" s="581">
        <f t="shared" si="4"/>
        <v>0.12350088781275222</v>
      </c>
    </row>
    <row r="57" spans="2:8" x14ac:dyDescent="0.2">
      <c r="B57" s="594" t="s">
        <v>3</v>
      </c>
      <c r="C57" s="585" t="s">
        <v>16</v>
      </c>
      <c r="D57" s="584" t="s">
        <v>32</v>
      </c>
      <c r="E57" s="583">
        <v>88965</v>
      </c>
      <c r="F57" s="583">
        <v>102488</v>
      </c>
      <c r="G57" s="581">
        <f t="shared" si="3"/>
        <v>8.7757457386363633E-2</v>
      </c>
      <c r="H57" s="581">
        <f t="shared" si="4"/>
        <v>0.12554865059210776</v>
      </c>
    </row>
    <row r="58" spans="2:8" x14ac:dyDescent="0.2">
      <c r="B58" s="594" t="s">
        <v>3</v>
      </c>
      <c r="C58" s="585" t="s">
        <v>17</v>
      </c>
      <c r="D58" s="584" t="s">
        <v>32</v>
      </c>
      <c r="E58" s="583">
        <v>92085</v>
      </c>
      <c r="F58" s="583">
        <v>106771</v>
      </c>
      <c r="G58" s="581">
        <f t="shared" si="3"/>
        <v>8.7027238008651212E-2</v>
      </c>
      <c r="H58" s="581">
        <f t="shared" si="4"/>
        <v>0.12380624394135463</v>
      </c>
    </row>
    <row r="59" spans="2:8" x14ac:dyDescent="0.2">
      <c r="B59" s="594" t="s">
        <v>3</v>
      </c>
      <c r="C59" s="585" t="s">
        <v>18</v>
      </c>
      <c r="D59" s="584" t="s">
        <v>32</v>
      </c>
      <c r="E59" s="583">
        <v>89367</v>
      </c>
      <c r="F59" s="583">
        <v>109843</v>
      </c>
      <c r="G59" s="581">
        <f t="shared" si="3"/>
        <v>8.4967873326399018E-2</v>
      </c>
      <c r="H59" s="581">
        <f t="shared" si="4"/>
        <v>0.12414682470165</v>
      </c>
    </row>
    <row r="60" spans="2:8" x14ac:dyDescent="0.2">
      <c r="B60" s="594" t="s">
        <v>3</v>
      </c>
      <c r="C60" s="585" t="s">
        <v>19</v>
      </c>
      <c r="D60" s="584" t="s">
        <v>32</v>
      </c>
      <c r="E60" s="583">
        <v>94078</v>
      </c>
      <c r="F60" s="583">
        <v>116568</v>
      </c>
      <c r="G60" s="581">
        <f t="shared" si="3"/>
        <v>8.6672206632112517E-2</v>
      </c>
      <c r="H60" s="581">
        <f t="shared" si="4"/>
        <v>0.12559975261046599</v>
      </c>
    </row>
    <row r="61" spans="2:8" x14ac:dyDescent="0.2">
      <c r="B61" s="594" t="s">
        <v>3</v>
      </c>
      <c r="C61" s="585" t="s">
        <v>20</v>
      </c>
      <c r="D61" s="584" t="s">
        <v>32</v>
      </c>
      <c r="E61" s="583">
        <v>96369</v>
      </c>
      <c r="F61" s="583">
        <v>117882</v>
      </c>
      <c r="G61" s="581">
        <f t="shared" si="3"/>
        <v>8.4061548660601351E-2</v>
      </c>
      <c r="H61" s="581">
        <f t="shared" si="4"/>
        <v>0.12252547027238277</v>
      </c>
    </row>
    <row r="62" spans="2:8" x14ac:dyDescent="0.2">
      <c r="B62" s="594" t="s">
        <v>3</v>
      </c>
      <c r="C62" s="585" t="s">
        <v>21</v>
      </c>
      <c r="D62" s="584" t="s">
        <v>32</v>
      </c>
      <c r="E62" s="583">
        <v>106288</v>
      </c>
      <c r="F62" s="583">
        <v>125628</v>
      </c>
      <c r="G62" s="581">
        <f t="shared" si="3"/>
        <v>8.8635304183508304E-2</v>
      </c>
      <c r="H62" s="581">
        <f t="shared" si="4"/>
        <v>0.12547065979262007</v>
      </c>
    </row>
    <row r="63" spans="2:8" x14ac:dyDescent="0.2">
      <c r="B63" s="594" t="s">
        <v>3</v>
      </c>
      <c r="C63" s="585" t="s">
        <v>22</v>
      </c>
      <c r="D63" s="584" t="s">
        <v>32</v>
      </c>
      <c r="E63" s="583">
        <v>105940</v>
      </c>
      <c r="F63" s="583">
        <v>128224</v>
      </c>
      <c r="G63" s="581">
        <f t="shared" si="3"/>
        <v>8.5023872334175757E-2</v>
      </c>
      <c r="H63" s="581">
        <f t="shared" si="4"/>
        <v>0.12249245551404243</v>
      </c>
    </row>
    <row r="64" spans="2:8" x14ac:dyDescent="0.2">
      <c r="B64" s="594" t="s">
        <v>3</v>
      </c>
      <c r="C64" s="585" t="s">
        <v>23</v>
      </c>
      <c r="D64" s="584" t="s">
        <v>32</v>
      </c>
      <c r="E64" s="583">
        <v>114183</v>
      </c>
      <c r="F64" s="583">
        <v>133327</v>
      </c>
      <c r="G64" s="581">
        <f t="shared" si="3"/>
        <v>8.8216888246092223E-2</v>
      </c>
      <c r="H64" s="581">
        <f t="shared" si="4"/>
        <v>0.12326215222242973</v>
      </c>
    </row>
    <row r="65" spans="2:8" x14ac:dyDescent="0.2">
      <c r="B65" s="594" t="s">
        <v>3</v>
      </c>
      <c r="C65" s="585" t="s">
        <v>24</v>
      </c>
      <c r="D65" s="584" t="s">
        <v>32</v>
      </c>
      <c r="E65" s="583">
        <v>117857</v>
      </c>
      <c r="F65" s="583">
        <v>138869</v>
      </c>
      <c r="G65" s="581">
        <f t="shared" si="3"/>
        <v>8.7631169414411708E-2</v>
      </c>
      <c r="H65" s="581">
        <f t="shared" si="4"/>
        <v>0.12290651620754509</v>
      </c>
    </row>
    <row r="66" spans="2:8" x14ac:dyDescent="0.2">
      <c r="B66" s="594" t="s">
        <v>3</v>
      </c>
      <c r="C66" s="585" t="s">
        <v>25</v>
      </c>
      <c r="D66" s="584" t="s">
        <v>32</v>
      </c>
      <c r="E66" s="583">
        <v>127706</v>
      </c>
      <c r="F66" s="583">
        <v>148711</v>
      </c>
      <c r="G66" s="581">
        <f t="shared" si="3"/>
        <v>9.5244701003863314E-2</v>
      </c>
      <c r="H66" s="581">
        <f t="shared" si="4"/>
        <v>0.13128165379695489</v>
      </c>
    </row>
    <row r="67" spans="2:8" x14ac:dyDescent="0.2">
      <c r="B67" s="594" t="s">
        <v>3</v>
      </c>
      <c r="C67" s="585" t="s">
        <v>26</v>
      </c>
      <c r="D67" s="584" t="s">
        <v>32</v>
      </c>
      <c r="E67" s="583">
        <v>128150</v>
      </c>
      <c r="F67" s="583">
        <v>153787</v>
      </c>
      <c r="G67" s="581">
        <f t="shared" si="3"/>
        <v>9.1404744344888683E-2</v>
      </c>
      <c r="H67" s="581">
        <f t="shared" si="4"/>
        <v>0.12927503192219977</v>
      </c>
    </row>
    <row r="68" spans="2:8" x14ac:dyDescent="0.2">
      <c r="B68" s="594" t="s">
        <v>3</v>
      </c>
      <c r="C68" s="585" t="s">
        <v>27</v>
      </c>
      <c r="D68" s="584" t="s">
        <v>32</v>
      </c>
      <c r="E68" s="583">
        <v>128827</v>
      </c>
      <c r="F68" s="583">
        <v>156572</v>
      </c>
      <c r="G68" s="581">
        <f t="shared" si="3"/>
        <v>8.8847003455893053E-2</v>
      </c>
      <c r="H68" s="581">
        <f t="shared" si="4"/>
        <v>0.12782232947647967</v>
      </c>
    </row>
    <row r="69" spans="2:8" x14ac:dyDescent="0.2">
      <c r="B69" s="594" t="s">
        <v>3</v>
      </c>
      <c r="C69" s="585" t="s">
        <v>28</v>
      </c>
      <c r="D69" s="584" t="s">
        <v>32</v>
      </c>
      <c r="E69" s="583">
        <v>132999</v>
      </c>
      <c r="F69" s="583">
        <v>162418</v>
      </c>
      <c r="G69" s="581">
        <f t="shared" si="3"/>
        <v>8.7824349979364419E-2</v>
      </c>
      <c r="H69" s="581">
        <f t="shared" si="4"/>
        <v>0.12685318683309876</v>
      </c>
    </row>
    <row r="70" spans="2:8" x14ac:dyDescent="0.2">
      <c r="B70" s="594" t="s">
        <v>3</v>
      </c>
      <c r="C70" s="585" t="s">
        <v>29</v>
      </c>
      <c r="D70" s="584" t="s">
        <v>32</v>
      </c>
      <c r="E70" s="583">
        <v>132389</v>
      </c>
      <c r="F70" s="583">
        <v>187131</v>
      </c>
      <c r="G70" s="581">
        <f t="shared" si="3"/>
        <v>8.810104512226366E-2</v>
      </c>
      <c r="H70" s="581">
        <f t="shared" si="4"/>
        <v>0.13488279898512281</v>
      </c>
    </row>
    <row r="71" spans="2:8" x14ac:dyDescent="0.2">
      <c r="B71" s="594" t="s">
        <v>4</v>
      </c>
      <c r="C71" s="585" t="s">
        <v>8</v>
      </c>
      <c r="D71" s="584" t="s">
        <v>32</v>
      </c>
      <c r="E71" s="583">
        <v>109716</v>
      </c>
      <c r="F71" s="583">
        <v>95888</v>
      </c>
      <c r="G71" s="581">
        <f t="shared" ref="G71:G92" si="5">E71/E5</f>
        <v>0.16134444883979818</v>
      </c>
      <c r="H71" s="581">
        <f t="shared" ref="H71:H92" si="6">F71/F5</f>
        <v>0.17553513796518513</v>
      </c>
    </row>
    <row r="72" spans="2:8" x14ac:dyDescent="0.2">
      <c r="B72" s="594" t="s">
        <v>4</v>
      </c>
      <c r="C72" s="585" t="s">
        <v>9</v>
      </c>
      <c r="D72" s="584" t="s">
        <v>32</v>
      </c>
      <c r="E72" s="583">
        <v>113132</v>
      </c>
      <c r="F72" s="583">
        <v>99140</v>
      </c>
      <c r="G72" s="581">
        <f t="shared" si="5"/>
        <v>0.15498617026668987</v>
      </c>
      <c r="H72" s="581">
        <f t="shared" si="6"/>
        <v>0.17102450822259752</v>
      </c>
    </row>
    <row r="73" spans="2:8" x14ac:dyDescent="0.2">
      <c r="B73" s="594" t="s">
        <v>4</v>
      </c>
      <c r="C73" s="585" t="s">
        <v>10</v>
      </c>
      <c r="D73" s="584" t="s">
        <v>32</v>
      </c>
      <c r="E73" s="583">
        <v>119221</v>
      </c>
      <c r="F73" s="583">
        <v>105164</v>
      </c>
      <c r="G73" s="581">
        <f t="shared" si="5"/>
        <v>0.15735588370386405</v>
      </c>
      <c r="H73" s="581">
        <f t="shared" si="6"/>
        <v>0.17091888975208278</v>
      </c>
    </row>
    <row r="74" spans="2:8" x14ac:dyDescent="0.2">
      <c r="B74" s="594" t="s">
        <v>4</v>
      </c>
      <c r="C74" s="585" t="s">
        <v>11</v>
      </c>
      <c r="D74" s="584" t="s">
        <v>32</v>
      </c>
      <c r="E74" s="583">
        <v>118558</v>
      </c>
      <c r="F74" s="583">
        <v>107920</v>
      </c>
      <c r="G74" s="581">
        <f t="shared" si="5"/>
        <v>0.15188527446398556</v>
      </c>
      <c r="H74" s="581">
        <f t="shared" si="6"/>
        <v>0.16794691433337899</v>
      </c>
    </row>
    <row r="75" spans="2:8" x14ac:dyDescent="0.2">
      <c r="B75" s="594" t="s">
        <v>4</v>
      </c>
      <c r="C75" s="585" t="s">
        <v>12</v>
      </c>
      <c r="D75" s="584" t="s">
        <v>32</v>
      </c>
      <c r="E75" s="583">
        <v>126539</v>
      </c>
      <c r="F75" s="583">
        <v>113036</v>
      </c>
      <c r="G75" s="581">
        <f t="shared" si="5"/>
        <v>0.15685479722384399</v>
      </c>
      <c r="H75" s="581">
        <f t="shared" si="6"/>
        <v>0.170430267218906</v>
      </c>
    </row>
    <row r="76" spans="2:8" x14ac:dyDescent="0.2">
      <c r="B76" s="594" t="s">
        <v>4</v>
      </c>
      <c r="C76" s="585" t="s">
        <v>13</v>
      </c>
      <c r="D76" s="584" t="s">
        <v>32</v>
      </c>
      <c r="E76" s="583">
        <v>129862</v>
      </c>
      <c r="F76" s="583">
        <v>116754</v>
      </c>
      <c r="G76" s="581">
        <f t="shared" si="5"/>
        <v>0.15250825594122427</v>
      </c>
      <c r="H76" s="581">
        <f t="shared" si="6"/>
        <v>0.16793385862107651</v>
      </c>
    </row>
    <row r="77" spans="2:8" x14ac:dyDescent="0.2">
      <c r="B77" s="594" t="s">
        <v>4</v>
      </c>
      <c r="C77" s="585" t="s">
        <v>14</v>
      </c>
      <c r="D77" s="584" t="s">
        <v>32</v>
      </c>
      <c r="E77" s="583">
        <v>136473</v>
      </c>
      <c r="F77" s="583">
        <v>121051</v>
      </c>
      <c r="G77" s="581">
        <f t="shared" si="5"/>
        <v>0.15198606574447257</v>
      </c>
      <c r="H77" s="581">
        <f t="shared" si="6"/>
        <v>0.16777452841956453</v>
      </c>
    </row>
    <row r="78" spans="2:8" x14ac:dyDescent="0.2">
      <c r="B78" s="594" t="s">
        <v>4</v>
      </c>
      <c r="C78" s="585" t="s">
        <v>15</v>
      </c>
      <c r="D78" s="584" t="s">
        <v>32</v>
      </c>
      <c r="E78" s="583">
        <v>144322</v>
      </c>
      <c r="F78" s="583">
        <v>129762</v>
      </c>
      <c r="G78" s="581">
        <f t="shared" si="5"/>
        <v>0.15147208846384747</v>
      </c>
      <c r="H78" s="581">
        <f t="shared" si="6"/>
        <v>0.16756997578692495</v>
      </c>
    </row>
    <row r="79" spans="2:8" x14ac:dyDescent="0.2">
      <c r="B79" s="594" t="s">
        <v>4</v>
      </c>
      <c r="C79" s="585" t="s">
        <v>16</v>
      </c>
      <c r="D79" s="584" t="s">
        <v>32</v>
      </c>
      <c r="E79" s="583">
        <v>151252</v>
      </c>
      <c r="F79" s="583">
        <v>135299</v>
      </c>
      <c r="G79" s="581">
        <f t="shared" si="5"/>
        <v>0.14919902146464648</v>
      </c>
      <c r="H79" s="581">
        <f t="shared" si="6"/>
        <v>0.16574239790474579</v>
      </c>
    </row>
    <row r="80" spans="2:8" x14ac:dyDescent="0.2">
      <c r="B80" s="594" t="s">
        <v>4</v>
      </c>
      <c r="C80" s="585" t="s">
        <v>17</v>
      </c>
      <c r="D80" s="584" t="s">
        <v>32</v>
      </c>
      <c r="E80" s="583">
        <v>163331</v>
      </c>
      <c r="F80" s="583">
        <v>144380</v>
      </c>
      <c r="G80" s="581">
        <f t="shared" si="5"/>
        <v>0.15436005659109531</v>
      </c>
      <c r="H80" s="581">
        <f t="shared" si="6"/>
        <v>0.16741573554853642</v>
      </c>
    </row>
    <row r="81" spans="2:8" x14ac:dyDescent="0.2">
      <c r="B81" s="594" t="s">
        <v>4</v>
      </c>
      <c r="C81" s="585" t="s">
        <v>18</v>
      </c>
      <c r="D81" s="584" t="s">
        <v>32</v>
      </c>
      <c r="E81" s="583">
        <v>161604</v>
      </c>
      <c r="F81" s="583">
        <v>148085</v>
      </c>
      <c r="G81" s="581">
        <f t="shared" si="5"/>
        <v>0.15364897782223177</v>
      </c>
      <c r="H81" s="581">
        <f t="shared" si="6"/>
        <v>0.16736872204823103</v>
      </c>
    </row>
    <row r="82" spans="2:8" x14ac:dyDescent="0.2">
      <c r="B82" s="594" t="s">
        <v>4</v>
      </c>
      <c r="C82" s="585" t="s">
        <v>19</v>
      </c>
      <c r="D82" s="584" t="s">
        <v>32</v>
      </c>
      <c r="E82" s="583">
        <v>170439</v>
      </c>
      <c r="F82" s="583">
        <v>158821</v>
      </c>
      <c r="G82" s="581">
        <f t="shared" si="5"/>
        <v>0.15702209045866861</v>
      </c>
      <c r="H82" s="581">
        <f t="shared" si="6"/>
        <v>0.17112653823816845</v>
      </c>
    </row>
    <row r="83" spans="2:8" x14ac:dyDescent="0.2">
      <c r="B83" s="594" t="s">
        <v>4</v>
      </c>
      <c r="C83" s="585" t="s">
        <v>20</v>
      </c>
      <c r="D83" s="584" t="s">
        <v>32</v>
      </c>
      <c r="E83" s="583">
        <v>178682</v>
      </c>
      <c r="F83" s="583">
        <v>163375</v>
      </c>
      <c r="G83" s="581">
        <f t="shared" si="5"/>
        <v>0.155862213344266</v>
      </c>
      <c r="H83" s="581">
        <f t="shared" si="6"/>
        <v>0.16981047747536124</v>
      </c>
    </row>
    <row r="84" spans="2:8" x14ac:dyDescent="0.2">
      <c r="B84" s="594" t="s">
        <v>4</v>
      </c>
      <c r="C84" s="585" t="s">
        <v>21</v>
      </c>
      <c r="D84" s="584" t="s">
        <v>32</v>
      </c>
      <c r="E84" s="583">
        <v>188733</v>
      </c>
      <c r="F84" s="583">
        <v>169183</v>
      </c>
      <c r="G84" s="581">
        <f t="shared" si="5"/>
        <v>0.15738754012180184</v>
      </c>
      <c r="H84" s="581">
        <f t="shared" si="6"/>
        <v>0.16897111022777436</v>
      </c>
    </row>
    <row r="85" spans="2:8" x14ac:dyDescent="0.2">
      <c r="B85" s="594" t="s">
        <v>4</v>
      </c>
      <c r="C85" s="585" t="s">
        <v>22</v>
      </c>
      <c r="D85" s="584" t="s">
        <v>32</v>
      </c>
      <c r="E85" s="583">
        <v>194698</v>
      </c>
      <c r="F85" s="583">
        <v>177598</v>
      </c>
      <c r="G85" s="581">
        <f t="shared" si="5"/>
        <v>0.15625805074305599</v>
      </c>
      <c r="H85" s="581">
        <f t="shared" si="6"/>
        <v>0.16965946401908308</v>
      </c>
    </row>
    <row r="86" spans="2:8" x14ac:dyDescent="0.2">
      <c r="B86" s="594" t="s">
        <v>4</v>
      </c>
      <c r="C86" s="585" t="s">
        <v>23</v>
      </c>
      <c r="D86" s="584" t="s">
        <v>32</v>
      </c>
      <c r="E86" s="583">
        <v>201949</v>
      </c>
      <c r="F86" s="583">
        <v>182757</v>
      </c>
      <c r="G86" s="581">
        <f t="shared" si="5"/>
        <v>0.15602420994727831</v>
      </c>
      <c r="H86" s="581">
        <f t="shared" si="6"/>
        <v>0.16896068428536298</v>
      </c>
    </row>
    <row r="87" spans="2:8" x14ac:dyDescent="0.2">
      <c r="B87" s="594" t="s">
        <v>4</v>
      </c>
      <c r="C87" s="585" t="s">
        <v>24</v>
      </c>
      <c r="D87" s="584" t="s">
        <v>32</v>
      </c>
      <c r="E87" s="583">
        <v>217803</v>
      </c>
      <c r="F87" s="583">
        <v>198176</v>
      </c>
      <c r="G87" s="581">
        <f t="shared" si="5"/>
        <v>0.16194482798617912</v>
      </c>
      <c r="H87" s="581">
        <f t="shared" si="6"/>
        <v>0.17539639340635027</v>
      </c>
    </row>
    <row r="88" spans="2:8" x14ac:dyDescent="0.2">
      <c r="B88" s="594" t="s">
        <v>4</v>
      </c>
      <c r="C88" s="585" t="s">
        <v>25</v>
      </c>
      <c r="D88" s="584" t="s">
        <v>32</v>
      </c>
      <c r="E88" s="583">
        <v>216711</v>
      </c>
      <c r="F88" s="583">
        <v>201029</v>
      </c>
      <c r="G88" s="581">
        <f t="shared" si="5"/>
        <v>0.16162572157336555</v>
      </c>
      <c r="H88" s="581">
        <f t="shared" si="6"/>
        <v>0.17746783749116099</v>
      </c>
    </row>
    <row r="89" spans="2:8" x14ac:dyDescent="0.2">
      <c r="B89" s="594" t="s">
        <v>4</v>
      </c>
      <c r="C89" s="585" t="s">
        <v>26</v>
      </c>
      <c r="D89" s="584" t="s">
        <v>32</v>
      </c>
      <c r="E89" s="583">
        <v>222039</v>
      </c>
      <c r="F89" s="583">
        <v>208314</v>
      </c>
      <c r="G89" s="581">
        <f t="shared" si="5"/>
        <v>0.15837236074595973</v>
      </c>
      <c r="H89" s="581">
        <f t="shared" si="6"/>
        <v>0.1751110236875752</v>
      </c>
    </row>
    <row r="90" spans="2:8" x14ac:dyDescent="0.2">
      <c r="B90" s="594" t="s">
        <v>4</v>
      </c>
      <c r="C90" s="585" t="s">
        <v>27</v>
      </c>
      <c r="D90" s="584" t="s">
        <v>32</v>
      </c>
      <c r="E90" s="583">
        <v>225574</v>
      </c>
      <c r="F90" s="583">
        <v>213546</v>
      </c>
      <c r="G90" s="581">
        <f t="shared" si="5"/>
        <v>0.1555696706246332</v>
      </c>
      <c r="H90" s="581">
        <f t="shared" si="6"/>
        <v>0.1743347927495614</v>
      </c>
    </row>
    <row r="91" spans="2:8" x14ac:dyDescent="0.2">
      <c r="B91" s="594" t="s">
        <v>4</v>
      </c>
      <c r="C91" s="585" t="s">
        <v>28</v>
      </c>
      <c r="D91" s="584" t="s">
        <v>32</v>
      </c>
      <c r="E91" s="583">
        <v>235074</v>
      </c>
      <c r="F91" s="583">
        <v>222558</v>
      </c>
      <c r="G91" s="581">
        <f t="shared" si="5"/>
        <v>0.15522839455220799</v>
      </c>
      <c r="H91" s="581">
        <f t="shared" si="6"/>
        <v>0.17382427782142862</v>
      </c>
    </row>
    <row r="92" spans="2:8" x14ac:dyDescent="0.2">
      <c r="B92" s="594" t="s">
        <v>4</v>
      </c>
      <c r="C92" s="585" t="s">
        <v>29</v>
      </c>
      <c r="D92" s="584" t="s">
        <v>32</v>
      </c>
      <c r="E92" s="583">
        <v>234165</v>
      </c>
      <c r="F92" s="583">
        <v>242653</v>
      </c>
      <c r="G92" s="581">
        <f t="shared" si="5"/>
        <v>0.15583002538772006</v>
      </c>
      <c r="H92" s="581">
        <f t="shared" si="6"/>
        <v>0.17490269288432705</v>
      </c>
    </row>
    <row r="93" spans="2:8" x14ac:dyDescent="0.2">
      <c r="B93" s="594" t="s">
        <v>5</v>
      </c>
      <c r="C93" s="585" t="s">
        <v>8</v>
      </c>
      <c r="D93" s="584" t="s">
        <v>32</v>
      </c>
      <c r="E93" s="583">
        <v>171046</v>
      </c>
      <c r="F93" s="583">
        <v>127911</v>
      </c>
      <c r="G93" s="581">
        <f t="shared" ref="G93:G114" si="7">E93/E5</f>
        <v>0.25153416635907361</v>
      </c>
      <c r="H93" s="581">
        <f t="shared" ref="H93:H114" si="8">F93/F5</f>
        <v>0.23415729843426494</v>
      </c>
    </row>
    <row r="94" spans="2:8" x14ac:dyDescent="0.2">
      <c r="B94" s="594" t="s">
        <v>5</v>
      </c>
      <c r="C94" s="585" t="s">
        <v>9</v>
      </c>
      <c r="D94" s="584" t="s">
        <v>32</v>
      </c>
      <c r="E94" s="583">
        <v>177716</v>
      </c>
      <c r="F94" s="583">
        <v>133007</v>
      </c>
      <c r="G94" s="581">
        <f t="shared" si="7"/>
        <v>0.24346358444220076</v>
      </c>
      <c r="H94" s="581">
        <f t="shared" si="8"/>
        <v>0.22944781889411972</v>
      </c>
    </row>
    <row r="95" spans="2:8" x14ac:dyDescent="0.2">
      <c r="B95" s="594" t="s">
        <v>5</v>
      </c>
      <c r="C95" s="585" t="s">
        <v>10</v>
      </c>
      <c r="D95" s="584" t="s">
        <v>32</v>
      </c>
      <c r="E95" s="583">
        <v>186124</v>
      </c>
      <c r="F95" s="583">
        <v>141954</v>
      </c>
      <c r="G95" s="581">
        <f t="shared" si="7"/>
        <v>0.24565895688257933</v>
      </c>
      <c r="H95" s="581">
        <f t="shared" si="8"/>
        <v>0.23071222163351676</v>
      </c>
    </row>
    <row r="96" spans="2:8" x14ac:dyDescent="0.2">
      <c r="B96" s="594" t="s">
        <v>5</v>
      </c>
      <c r="C96" s="585" t="s">
        <v>11</v>
      </c>
      <c r="D96" s="584" t="s">
        <v>32</v>
      </c>
      <c r="E96" s="583">
        <v>194778</v>
      </c>
      <c r="F96" s="583">
        <v>150479</v>
      </c>
      <c r="G96" s="581">
        <f t="shared" si="7"/>
        <v>0.24953111548395032</v>
      </c>
      <c r="H96" s="581">
        <f t="shared" si="8"/>
        <v>0.23417794405089451</v>
      </c>
    </row>
    <row r="97" spans="2:8" x14ac:dyDescent="0.2">
      <c r="B97" s="594" t="s">
        <v>5</v>
      </c>
      <c r="C97" s="585" t="s">
        <v>12</v>
      </c>
      <c r="D97" s="584" t="s">
        <v>32</v>
      </c>
      <c r="E97" s="583">
        <v>198094</v>
      </c>
      <c r="F97" s="583">
        <v>152643</v>
      </c>
      <c r="G97" s="581">
        <f t="shared" si="7"/>
        <v>0.24555270866104642</v>
      </c>
      <c r="H97" s="581">
        <f t="shared" si="8"/>
        <v>0.23014780493909434</v>
      </c>
    </row>
    <row r="98" spans="2:8" x14ac:dyDescent="0.2">
      <c r="B98" s="594" t="s">
        <v>5</v>
      </c>
      <c r="C98" s="585" t="s">
        <v>13</v>
      </c>
      <c r="D98" s="584" t="s">
        <v>32</v>
      </c>
      <c r="E98" s="583">
        <v>208512</v>
      </c>
      <c r="F98" s="583">
        <v>159714</v>
      </c>
      <c r="G98" s="581">
        <f t="shared" si="7"/>
        <v>0.24487380036359024</v>
      </c>
      <c r="H98" s="581">
        <f t="shared" si="8"/>
        <v>0.22972564790762301</v>
      </c>
    </row>
    <row r="99" spans="2:8" x14ac:dyDescent="0.2">
      <c r="B99" s="594" t="s">
        <v>5</v>
      </c>
      <c r="C99" s="585" t="s">
        <v>14</v>
      </c>
      <c r="D99" s="584" t="s">
        <v>32</v>
      </c>
      <c r="E99" s="583">
        <v>219663</v>
      </c>
      <c r="F99" s="583">
        <v>165687</v>
      </c>
      <c r="G99" s="581">
        <f t="shared" si="7"/>
        <v>0.24463238266637413</v>
      </c>
      <c r="H99" s="581">
        <f t="shared" si="8"/>
        <v>0.22963922883951712</v>
      </c>
    </row>
    <row r="100" spans="2:8" x14ac:dyDescent="0.2">
      <c r="B100" s="594" t="s">
        <v>5</v>
      </c>
      <c r="C100" s="585" t="s">
        <v>15</v>
      </c>
      <c r="D100" s="584" t="s">
        <v>32</v>
      </c>
      <c r="E100" s="583">
        <v>227758</v>
      </c>
      <c r="F100" s="583">
        <v>173866</v>
      </c>
      <c r="G100" s="581">
        <f t="shared" si="7"/>
        <v>0.23904172561597656</v>
      </c>
      <c r="H100" s="581">
        <f t="shared" si="8"/>
        <v>0.22452429378531075</v>
      </c>
    </row>
    <row r="101" spans="2:8" x14ac:dyDescent="0.2">
      <c r="B101" s="594" t="s">
        <v>5</v>
      </c>
      <c r="C101" s="585" t="s">
        <v>16</v>
      </c>
      <c r="D101" s="584" t="s">
        <v>32</v>
      </c>
      <c r="E101" s="583">
        <v>239665</v>
      </c>
      <c r="F101" s="583">
        <v>182443</v>
      </c>
      <c r="G101" s="581">
        <f t="shared" si="7"/>
        <v>0.23641197127525251</v>
      </c>
      <c r="H101" s="581">
        <f t="shared" si="8"/>
        <v>0.22349418917313166</v>
      </c>
    </row>
    <row r="102" spans="2:8" x14ac:dyDescent="0.2">
      <c r="B102" s="594" t="s">
        <v>5</v>
      </c>
      <c r="C102" s="585" t="s">
        <v>17</v>
      </c>
      <c r="D102" s="584" t="s">
        <v>32</v>
      </c>
      <c r="E102" s="583">
        <v>252161</v>
      </c>
      <c r="F102" s="583">
        <v>195169</v>
      </c>
      <c r="G102" s="581">
        <f t="shared" si="7"/>
        <v>0.23831107524026171</v>
      </c>
      <c r="H102" s="581">
        <f t="shared" si="8"/>
        <v>0.22630808762482549</v>
      </c>
    </row>
    <row r="103" spans="2:8" x14ac:dyDescent="0.2">
      <c r="B103" s="594" t="s">
        <v>5</v>
      </c>
      <c r="C103" s="585" t="s">
        <v>18</v>
      </c>
      <c r="D103" s="584" t="s">
        <v>32</v>
      </c>
      <c r="E103" s="583">
        <v>255247</v>
      </c>
      <c r="F103" s="583">
        <v>201645</v>
      </c>
      <c r="G103" s="581">
        <f t="shared" si="7"/>
        <v>0.24268236332139795</v>
      </c>
      <c r="H103" s="581">
        <f t="shared" si="8"/>
        <v>0.22790333901080831</v>
      </c>
    </row>
    <row r="104" spans="2:8" x14ac:dyDescent="0.2">
      <c r="B104" s="594" t="s">
        <v>5</v>
      </c>
      <c r="C104" s="585" t="s">
        <v>19</v>
      </c>
      <c r="D104" s="584" t="s">
        <v>32</v>
      </c>
      <c r="E104" s="583">
        <v>266718</v>
      </c>
      <c r="F104" s="583">
        <v>214499</v>
      </c>
      <c r="G104" s="581">
        <f t="shared" si="7"/>
        <v>0.24572203499759546</v>
      </c>
      <c r="H104" s="581">
        <f t="shared" si="8"/>
        <v>0.23111850023327454</v>
      </c>
    </row>
    <row r="105" spans="2:8" x14ac:dyDescent="0.2">
      <c r="B105" s="594" t="s">
        <v>5</v>
      </c>
      <c r="C105" s="585" t="s">
        <v>20</v>
      </c>
      <c r="D105" s="584" t="s">
        <v>32</v>
      </c>
      <c r="E105" s="583">
        <v>285499</v>
      </c>
      <c r="F105" s="583">
        <v>225120</v>
      </c>
      <c r="G105" s="581">
        <f t="shared" si="7"/>
        <v>0.24903742988982999</v>
      </c>
      <c r="H105" s="581">
        <f t="shared" si="8"/>
        <v>0.23398766450958422</v>
      </c>
    </row>
    <row r="106" spans="2:8" x14ac:dyDescent="0.2">
      <c r="B106" s="594" t="s">
        <v>5</v>
      </c>
      <c r="C106" s="585" t="s">
        <v>21</v>
      </c>
      <c r="D106" s="584" t="s">
        <v>32</v>
      </c>
      <c r="E106" s="583">
        <v>298774</v>
      </c>
      <c r="F106" s="583">
        <v>232385</v>
      </c>
      <c r="G106" s="581">
        <f t="shared" si="7"/>
        <v>0.24915253247895822</v>
      </c>
      <c r="H106" s="581">
        <f t="shared" si="8"/>
        <v>0.23209395418145645</v>
      </c>
    </row>
    <row r="107" spans="2:8" x14ac:dyDescent="0.2">
      <c r="B107" s="594" t="s">
        <v>5</v>
      </c>
      <c r="C107" s="585" t="s">
        <v>22</v>
      </c>
      <c r="D107" s="584" t="s">
        <v>32</v>
      </c>
      <c r="E107" s="583">
        <v>312578</v>
      </c>
      <c r="F107" s="583">
        <v>243841</v>
      </c>
      <c r="G107" s="581">
        <f t="shared" si="7"/>
        <v>0.2508645645315461</v>
      </c>
      <c r="H107" s="581">
        <f t="shared" si="8"/>
        <v>0.23294143721143953</v>
      </c>
    </row>
    <row r="108" spans="2:8" x14ac:dyDescent="0.2">
      <c r="B108" s="594" t="s">
        <v>5</v>
      </c>
      <c r="C108" s="585" t="s">
        <v>23</v>
      </c>
      <c r="D108" s="584" t="s">
        <v>32</v>
      </c>
      <c r="E108" s="583">
        <v>323049</v>
      </c>
      <c r="F108" s="583">
        <v>253522</v>
      </c>
      <c r="G108" s="581">
        <f t="shared" si="7"/>
        <v>0.2495851180211752</v>
      </c>
      <c r="H108" s="581">
        <f t="shared" si="8"/>
        <v>0.23438363839083479</v>
      </c>
    </row>
    <row r="109" spans="2:8" x14ac:dyDescent="0.2">
      <c r="B109" s="594" t="s">
        <v>5</v>
      </c>
      <c r="C109" s="585" t="s">
        <v>24</v>
      </c>
      <c r="D109" s="584" t="s">
        <v>32</v>
      </c>
      <c r="E109" s="583">
        <v>328131</v>
      </c>
      <c r="F109" s="583">
        <v>260965</v>
      </c>
      <c r="G109" s="581">
        <f t="shared" si="7"/>
        <v>0.24397789907362588</v>
      </c>
      <c r="H109" s="581">
        <f t="shared" si="8"/>
        <v>0.23096802743666334</v>
      </c>
    </row>
    <row r="110" spans="2:8" x14ac:dyDescent="0.2">
      <c r="B110" s="594" t="s">
        <v>5</v>
      </c>
      <c r="C110" s="585" t="s">
        <v>25</v>
      </c>
      <c r="D110" s="584" t="s">
        <v>32</v>
      </c>
      <c r="E110" s="583">
        <v>330890</v>
      </c>
      <c r="F110" s="583">
        <v>262514</v>
      </c>
      <c r="G110" s="581">
        <f t="shared" si="7"/>
        <v>0.2467818200802494</v>
      </c>
      <c r="H110" s="581">
        <f t="shared" si="8"/>
        <v>0.23174662308002644</v>
      </c>
    </row>
    <row r="111" spans="2:8" x14ac:dyDescent="0.2">
      <c r="B111" s="594" t="s">
        <v>5</v>
      </c>
      <c r="C111" s="585" t="s">
        <v>26</v>
      </c>
      <c r="D111" s="584" t="s">
        <v>32</v>
      </c>
      <c r="E111" s="583">
        <v>347321</v>
      </c>
      <c r="F111" s="583">
        <v>277613</v>
      </c>
      <c r="G111" s="581">
        <f t="shared" si="7"/>
        <v>0.24773146477261868</v>
      </c>
      <c r="H111" s="581">
        <f t="shared" si="8"/>
        <v>0.23336451999855415</v>
      </c>
    </row>
    <row r="112" spans="2:8" x14ac:dyDescent="0.2">
      <c r="B112" s="594" t="s">
        <v>5</v>
      </c>
      <c r="C112" s="585" t="s">
        <v>27</v>
      </c>
      <c r="D112" s="584" t="s">
        <v>32</v>
      </c>
      <c r="E112" s="583">
        <v>361448</v>
      </c>
      <c r="F112" s="583">
        <v>286502</v>
      </c>
      <c r="G112" s="581">
        <f t="shared" si="7"/>
        <v>0.24927671765333068</v>
      </c>
      <c r="H112" s="581">
        <f t="shared" si="8"/>
        <v>0.23389464936048832</v>
      </c>
    </row>
    <row r="113" spans="2:8" x14ac:dyDescent="0.2">
      <c r="B113" s="594" t="s">
        <v>5</v>
      </c>
      <c r="C113" s="585" t="s">
        <v>28</v>
      </c>
      <c r="D113" s="584" t="s">
        <v>32</v>
      </c>
      <c r="E113" s="583">
        <v>378041</v>
      </c>
      <c r="F113" s="583">
        <v>298307</v>
      </c>
      <c r="G113" s="581">
        <f t="shared" si="7"/>
        <v>0.24963499793644242</v>
      </c>
      <c r="H113" s="581">
        <f t="shared" si="8"/>
        <v>0.23298645226896769</v>
      </c>
    </row>
    <row r="114" spans="2:8" x14ac:dyDescent="0.2">
      <c r="B114" s="594" t="s">
        <v>5</v>
      </c>
      <c r="C114" s="585" t="s">
        <v>29</v>
      </c>
      <c r="D114" s="584" t="s">
        <v>32</v>
      </c>
      <c r="E114" s="583">
        <v>376335</v>
      </c>
      <c r="F114" s="583">
        <v>327062</v>
      </c>
      <c r="G114" s="581">
        <f t="shared" si="7"/>
        <v>0.25044004272324055</v>
      </c>
      <c r="H114" s="581">
        <f t="shared" si="8"/>
        <v>0.23574414715719064</v>
      </c>
    </row>
    <row r="115" spans="2:8" x14ac:dyDescent="0.2">
      <c r="B115" s="594" t="s">
        <v>6</v>
      </c>
      <c r="C115" s="585" t="s">
        <v>8</v>
      </c>
      <c r="D115" s="584" t="s">
        <v>32</v>
      </c>
      <c r="E115" s="583">
        <v>319474</v>
      </c>
      <c r="F115" s="583">
        <v>219247</v>
      </c>
      <c r="G115" s="581">
        <f t="shared" ref="G115:G136" si="9">E115/E5</f>
        <v>0.4698071060615196</v>
      </c>
      <c r="H115" s="581">
        <f t="shared" ref="H115:H136" si="10">F115/F5</f>
        <v>0.40135942342579828</v>
      </c>
    </row>
    <row r="116" spans="2:8" x14ac:dyDescent="0.2">
      <c r="B116" s="594" t="s">
        <v>6</v>
      </c>
      <c r="C116" s="585" t="s">
        <v>9</v>
      </c>
      <c r="D116" s="584" t="s">
        <v>32</v>
      </c>
      <c r="E116" s="583">
        <v>351538</v>
      </c>
      <c r="F116" s="583">
        <v>240416</v>
      </c>
      <c r="G116" s="581">
        <f t="shared" si="9"/>
        <v>0.48159254961648007</v>
      </c>
      <c r="H116" s="581">
        <f t="shared" si="10"/>
        <v>0.41473702006096436</v>
      </c>
    </row>
    <row r="117" spans="2:8" x14ac:dyDescent="0.2">
      <c r="B117" s="594" t="s">
        <v>6</v>
      </c>
      <c r="C117" s="585" t="s">
        <v>10</v>
      </c>
      <c r="D117" s="584" t="s">
        <v>32</v>
      </c>
      <c r="E117" s="583">
        <v>361843</v>
      </c>
      <c r="F117" s="583">
        <v>250667</v>
      </c>
      <c r="G117" s="581">
        <f t="shared" si="9"/>
        <v>0.477584695876207</v>
      </c>
      <c r="H117" s="581">
        <f t="shared" si="10"/>
        <v>0.40739916071550464</v>
      </c>
    </row>
    <row r="118" spans="2:8" x14ac:dyDescent="0.2">
      <c r="B118" s="594" t="s">
        <v>6</v>
      </c>
      <c r="C118" s="585" t="s">
        <v>11</v>
      </c>
      <c r="D118" s="584" t="s">
        <v>32</v>
      </c>
      <c r="E118" s="583">
        <v>375323</v>
      </c>
      <c r="F118" s="583">
        <v>263156</v>
      </c>
      <c r="G118" s="581">
        <f t="shared" si="9"/>
        <v>0.48082826015660229</v>
      </c>
      <c r="H118" s="581">
        <f t="shared" si="10"/>
        <v>0.4095277815818632</v>
      </c>
    </row>
    <row r="119" spans="2:8" x14ac:dyDescent="0.2">
      <c r="B119" s="594" t="s">
        <v>6</v>
      </c>
      <c r="C119" s="585" t="s">
        <v>12</v>
      </c>
      <c r="D119" s="584" t="s">
        <v>32</v>
      </c>
      <c r="E119" s="583">
        <v>389365</v>
      </c>
      <c r="F119" s="583">
        <v>273163</v>
      </c>
      <c r="G119" s="581">
        <f t="shared" si="9"/>
        <v>0.48264778543422993</v>
      </c>
      <c r="H119" s="581">
        <f t="shared" si="10"/>
        <v>0.41186208893023479</v>
      </c>
    </row>
    <row r="120" spans="2:8" x14ac:dyDescent="0.2">
      <c r="B120" s="594" t="s">
        <v>6</v>
      </c>
      <c r="C120" s="585" t="s">
        <v>13</v>
      </c>
      <c r="D120" s="584" t="s">
        <v>32</v>
      </c>
      <c r="E120" s="583">
        <v>417242</v>
      </c>
      <c r="F120" s="583">
        <v>290544</v>
      </c>
      <c r="G120" s="581">
        <f t="shared" si="9"/>
        <v>0.49000361711222912</v>
      </c>
      <c r="H120" s="581">
        <f t="shared" si="10"/>
        <v>0.41790581067202887</v>
      </c>
    </row>
    <row r="121" spans="2:8" x14ac:dyDescent="0.2">
      <c r="B121" s="594" t="s">
        <v>6</v>
      </c>
      <c r="C121" s="585" t="s">
        <v>14</v>
      </c>
      <c r="D121" s="584" t="s">
        <v>32</v>
      </c>
      <c r="E121" s="583">
        <v>441839</v>
      </c>
      <c r="F121" s="583">
        <v>303269</v>
      </c>
      <c r="G121" s="581">
        <f t="shared" si="9"/>
        <v>0.49206342135420206</v>
      </c>
      <c r="H121" s="581">
        <f t="shared" si="10"/>
        <v>0.42032542861498801</v>
      </c>
    </row>
    <row r="122" spans="2:8" x14ac:dyDescent="0.2">
      <c r="B122" s="594" t="s">
        <v>6</v>
      </c>
      <c r="C122" s="585" t="s">
        <v>15</v>
      </c>
      <c r="D122" s="584" t="s">
        <v>32</v>
      </c>
      <c r="E122" s="583">
        <v>471125</v>
      </c>
      <c r="F122" s="583">
        <v>327776</v>
      </c>
      <c r="G122" s="581">
        <f t="shared" si="9"/>
        <v>0.49446576182099838</v>
      </c>
      <c r="H122" s="581">
        <f t="shared" si="10"/>
        <v>0.42327812752219535</v>
      </c>
    </row>
    <row r="123" spans="2:8" x14ac:dyDescent="0.2">
      <c r="B123" s="594" t="s">
        <v>6</v>
      </c>
      <c r="C123" s="585" t="s">
        <v>16</v>
      </c>
      <c r="D123" s="584" t="s">
        <v>32</v>
      </c>
      <c r="E123" s="583">
        <v>502742</v>
      </c>
      <c r="F123" s="583">
        <v>344921</v>
      </c>
      <c r="G123" s="581">
        <f t="shared" si="9"/>
        <v>0.49591816603535355</v>
      </c>
      <c r="H123" s="581">
        <f t="shared" si="10"/>
        <v>0.42253108764811881</v>
      </c>
    </row>
    <row r="124" spans="2:8" x14ac:dyDescent="0.2">
      <c r="B124" s="594" t="s">
        <v>6</v>
      </c>
      <c r="C124" s="585" t="s">
        <v>17</v>
      </c>
      <c r="D124" s="584" t="s">
        <v>32</v>
      </c>
      <c r="E124" s="583">
        <v>519037</v>
      </c>
      <c r="F124" s="583">
        <v>363263</v>
      </c>
      <c r="G124" s="581">
        <f t="shared" si="9"/>
        <v>0.4905289301655677</v>
      </c>
      <c r="H124" s="581">
        <f t="shared" si="10"/>
        <v>0.42122137652422764</v>
      </c>
    </row>
    <row r="125" spans="2:8" x14ac:dyDescent="0.2">
      <c r="B125" s="594" t="s">
        <v>6</v>
      </c>
      <c r="C125" s="585" t="s">
        <v>18</v>
      </c>
      <c r="D125" s="584" t="s">
        <v>32</v>
      </c>
      <c r="E125" s="583">
        <v>515075</v>
      </c>
      <c r="F125" s="583">
        <v>369673</v>
      </c>
      <c r="G125" s="581">
        <f t="shared" si="9"/>
        <v>0.4897202250673624</v>
      </c>
      <c r="H125" s="581">
        <f t="shared" si="10"/>
        <v>0.41781205109049335</v>
      </c>
    </row>
    <row r="126" spans="2:8" x14ac:dyDescent="0.2">
      <c r="B126" s="594" t="s">
        <v>6</v>
      </c>
      <c r="C126" s="585" t="s">
        <v>19</v>
      </c>
      <c r="D126" s="584" t="s">
        <v>32</v>
      </c>
      <c r="E126" s="583">
        <v>523156</v>
      </c>
      <c r="F126" s="583">
        <v>380090</v>
      </c>
      <c r="G126" s="581">
        <f t="shared" si="9"/>
        <v>0.4819733086675892</v>
      </c>
      <c r="H126" s="581">
        <f t="shared" si="10"/>
        <v>0.4095395817866998</v>
      </c>
    </row>
    <row r="127" spans="2:8" x14ac:dyDescent="0.2">
      <c r="B127" s="594" t="s">
        <v>6</v>
      </c>
      <c r="C127" s="585" t="s">
        <v>20</v>
      </c>
      <c r="D127" s="584" t="s">
        <v>32</v>
      </c>
      <c r="E127" s="583">
        <v>552542</v>
      </c>
      <c r="F127" s="583">
        <v>394685</v>
      </c>
      <c r="G127" s="581">
        <f t="shared" si="9"/>
        <v>0.48197590739787682</v>
      </c>
      <c r="H127" s="581">
        <f t="shared" si="10"/>
        <v>0.41023197124629196</v>
      </c>
    </row>
    <row r="128" spans="2:8" x14ac:dyDescent="0.2">
      <c r="B128" s="594" t="s">
        <v>6</v>
      </c>
      <c r="C128" s="585" t="s">
        <v>21</v>
      </c>
      <c r="D128" s="584" t="s">
        <v>32</v>
      </c>
      <c r="E128" s="583">
        <v>569499</v>
      </c>
      <c r="F128" s="583">
        <v>408424</v>
      </c>
      <c r="G128" s="581">
        <f t="shared" si="9"/>
        <v>0.47491454441897291</v>
      </c>
      <c r="H128" s="581">
        <f t="shared" si="10"/>
        <v>0.40791247775289785</v>
      </c>
    </row>
    <row r="129" spans="2:8" x14ac:dyDescent="0.2">
      <c r="B129" s="594" t="s">
        <v>6</v>
      </c>
      <c r="C129" s="585" t="s">
        <v>22</v>
      </c>
      <c r="D129" s="584" t="s">
        <v>32</v>
      </c>
      <c r="E129" s="583">
        <v>596618</v>
      </c>
      <c r="F129" s="583">
        <v>431626</v>
      </c>
      <c r="G129" s="581">
        <f t="shared" si="9"/>
        <v>0.47882549239448058</v>
      </c>
      <c r="H129" s="581">
        <f t="shared" si="10"/>
        <v>0.41233254775786188</v>
      </c>
    </row>
    <row r="130" spans="2:8" x14ac:dyDescent="0.2">
      <c r="B130" s="594" t="s">
        <v>6</v>
      </c>
      <c r="C130" s="585" t="s">
        <v>23</v>
      </c>
      <c r="D130" s="584" t="s">
        <v>32</v>
      </c>
      <c r="E130" s="583">
        <v>618483</v>
      </c>
      <c r="F130" s="583">
        <v>444496</v>
      </c>
      <c r="G130" s="581">
        <f t="shared" si="9"/>
        <v>0.47783510411451668</v>
      </c>
      <c r="H130" s="581">
        <f t="shared" si="10"/>
        <v>0.41094102180549419</v>
      </c>
    </row>
    <row r="131" spans="2:8" x14ac:dyDescent="0.2">
      <c r="B131" s="594" t="s">
        <v>6</v>
      </c>
      <c r="C131" s="585" t="s">
        <v>24</v>
      </c>
      <c r="D131" s="584" t="s">
        <v>32</v>
      </c>
      <c r="E131" s="583">
        <v>645588</v>
      </c>
      <c r="F131" s="583">
        <v>464927</v>
      </c>
      <c r="G131" s="581">
        <f t="shared" si="9"/>
        <v>0.48001927250745585</v>
      </c>
      <c r="H131" s="581">
        <f t="shared" si="10"/>
        <v>0.41148534129881625</v>
      </c>
    </row>
    <row r="132" spans="2:8" x14ac:dyDescent="0.2">
      <c r="B132" s="594" t="s">
        <v>6</v>
      </c>
      <c r="C132" s="585" t="s">
        <v>25</v>
      </c>
      <c r="D132" s="584" t="s">
        <v>32</v>
      </c>
      <c r="E132" s="583">
        <v>627491</v>
      </c>
      <c r="F132" s="583">
        <v>450581</v>
      </c>
      <c r="G132" s="581">
        <f t="shared" si="9"/>
        <v>0.46799048343550964</v>
      </c>
      <c r="H132" s="581">
        <f t="shared" si="10"/>
        <v>0.39777164331815218</v>
      </c>
    </row>
    <row r="133" spans="2:8" x14ac:dyDescent="0.2">
      <c r="B133" s="594" t="s">
        <v>6</v>
      </c>
      <c r="C133" s="585" t="s">
        <v>26</v>
      </c>
      <c r="D133" s="584" t="s">
        <v>32</v>
      </c>
      <c r="E133" s="583">
        <v>664159</v>
      </c>
      <c r="F133" s="583">
        <v>477260</v>
      </c>
      <c r="G133" s="581">
        <f t="shared" si="9"/>
        <v>0.47372051189509889</v>
      </c>
      <c r="H133" s="581">
        <f t="shared" si="10"/>
        <v>0.40118996882174091</v>
      </c>
    </row>
    <row r="134" spans="2:8" x14ac:dyDescent="0.2">
      <c r="B134" s="594" t="s">
        <v>6</v>
      </c>
      <c r="C134" s="585" t="s">
        <v>27</v>
      </c>
      <c r="D134" s="584" t="s">
        <v>32</v>
      </c>
      <c r="E134" s="583">
        <v>690798</v>
      </c>
      <c r="F134" s="583">
        <v>491696</v>
      </c>
      <c r="G134" s="581">
        <f t="shared" si="9"/>
        <v>0.47641668511510793</v>
      </c>
      <c r="H134" s="581">
        <f t="shared" si="10"/>
        <v>0.40141103207640666</v>
      </c>
    </row>
    <row r="135" spans="2:8" x14ac:dyDescent="0.2">
      <c r="B135" s="594" t="s">
        <v>6</v>
      </c>
      <c r="C135" s="585" t="s">
        <v>28</v>
      </c>
      <c r="D135" s="584" t="s">
        <v>32</v>
      </c>
      <c r="E135" s="583">
        <v>723581</v>
      </c>
      <c r="F135" s="583">
        <v>517014</v>
      </c>
      <c r="G135" s="581">
        <f t="shared" si="9"/>
        <v>0.47780833677259593</v>
      </c>
      <c r="H135" s="581">
        <f t="shared" si="10"/>
        <v>0.40380298696774819</v>
      </c>
    </row>
    <row r="136" spans="2:8" x14ac:dyDescent="0.2">
      <c r="B136" s="594" t="s">
        <v>6</v>
      </c>
      <c r="C136" s="585" t="s">
        <v>29</v>
      </c>
      <c r="D136" s="584" t="s">
        <v>32</v>
      </c>
      <c r="E136" s="583">
        <v>714448</v>
      </c>
      <c r="F136" s="583">
        <v>528224</v>
      </c>
      <c r="G136" s="581">
        <f t="shared" si="9"/>
        <v>0.47544445146886094</v>
      </c>
      <c r="H136" s="581">
        <f t="shared" si="10"/>
        <v>0.38074039903125362</v>
      </c>
    </row>
    <row r="137" spans="2:8" x14ac:dyDescent="0.2">
      <c r="H137" s="582"/>
    </row>
  </sheetData>
  <mergeCells count="8">
    <mergeCell ref="B93:B114"/>
    <mergeCell ref="B115:B136"/>
    <mergeCell ref="B2:B4"/>
    <mergeCell ref="C2:C4"/>
    <mergeCell ref="B5:B26"/>
    <mergeCell ref="B27:B48"/>
    <mergeCell ref="B49:B70"/>
    <mergeCell ref="B71:B9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794E-C5CD-814F-A888-F1C134B6C0AE}">
  <dimension ref="A1:W29"/>
  <sheetViews>
    <sheetView workbookViewId="0">
      <selection activeCell="H42" sqref="H42"/>
    </sheetView>
  </sheetViews>
  <sheetFormatPr baseColWidth="10" defaultRowHeight="15" x14ac:dyDescent="0.2"/>
  <sheetData>
    <row r="1" spans="1:23" x14ac:dyDescent="0.2">
      <c r="A1" t="s">
        <v>54</v>
      </c>
    </row>
    <row r="2" spans="1:23" x14ac:dyDescent="0.2">
      <c r="A2" t="s">
        <v>55</v>
      </c>
    </row>
    <row r="3" spans="1:23" x14ac:dyDescent="0.2">
      <c r="A3" t="s">
        <v>56</v>
      </c>
    </row>
    <row r="4" spans="1:23" x14ac:dyDescent="0.2">
      <c r="A4" t="s">
        <v>57</v>
      </c>
    </row>
    <row r="5" spans="1:23" x14ac:dyDescent="0.2">
      <c r="A5" t="s">
        <v>58</v>
      </c>
    </row>
    <row r="9" spans="1:23" x14ac:dyDescent="0.2">
      <c r="A9" t="s">
        <v>59</v>
      </c>
      <c r="B9" t="s">
        <v>60</v>
      </c>
    </row>
    <row r="10" spans="1:23" x14ac:dyDescent="0.2">
      <c r="A10" t="s">
        <v>61</v>
      </c>
      <c r="B10" t="s">
        <v>62</v>
      </c>
    </row>
    <row r="11" spans="1:23" x14ac:dyDescent="0.2">
      <c r="A11" t="s">
        <v>36</v>
      </c>
      <c r="B11">
        <v>1999</v>
      </c>
      <c r="C11">
        <v>2000</v>
      </c>
      <c r="D11">
        <v>2001</v>
      </c>
      <c r="E11">
        <v>2002</v>
      </c>
      <c r="F11">
        <v>2003</v>
      </c>
      <c r="G11">
        <v>2004</v>
      </c>
      <c r="H11">
        <v>2005</v>
      </c>
      <c r="I11">
        <v>2006</v>
      </c>
      <c r="J11">
        <v>2007</v>
      </c>
      <c r="K11">
        <v>2008</v>
      </c>
      <c r="L11">
        <v>2009</v>
      </c>
      <c r="M11">
        <v>2010</v>
      </c>
      <c r="N11">
        <v>2011</v>
      </c>
      <c r="O11">
        <v>2012</v>
      </c>
      <c r="P11">
        <v>2013</v>
      </c>
      <c r="Q11">
        <v>2014</v>
      </c>
      <c r="R11">
        <v>2015</v>
      </c>
      <c r="S11">
        <v>2016</v>
      </c>
      <c r="T11">
        <v>2017</v>
      </c>
      <c r="U11">
        <v>2018</v>
      </c>
      <c r="V11">
        <v>2019</v>
      </c>
      <c r="W11">
        <v>2020</v>
      </c>
    </row>
    <row r="12" spans="1:23" x14ac:dyDescent="0.2">
      <c r="B12" t="s">
        <v>37</v>
      </c>
    </row>
    <row r="13" spans="1:23" x14ac:dyDescent="0.2">
      <c r="A13" t="s">
        <v>38</v>
      </c>
      <c r="B13" s="441">
        <v>11850878</v>
      </c>
      <c r="C13" s="441">
        <v>12035258</v>
      </c>
      <c r="D13" s="441">
        <v>12248318</v>
      </c>
      <c r="E13" s="441">
        <v>12430553</v>
      </c>
      <c r="F13" s="441">
        <v>12586858</v>
      </c>
      <c r="G13" s="441">
        <v>12758766</v>
      </c>
      <c r="H13" s="441">
        <v>12917117</v>
      </c>
      <c r="I13" s="441">
        <v>13104953</v>
      </c>
      <c r="J13" s="441">
        <v>13289059</v>
      </c>
      <c r="K13" s="441">
        <v>13499374</v>
      </c>
      <c r="L13" s="441">
        <v>13659411</v>
      </c>
      <c r="M13" s="441">
        <v>13829443</v>
      </c>
      <c r="N13" s="441">
        <v>14071733</v>
      </c>
      <c r="O13" s="441">
        <v>14208592</v>
      </c>
      <c r="P13" s="441">
        <v>14385715</v>
      </c>
      <c r="Q13" s="441">
        <v>14549142</v>
      </c>
      <c r="R13" s="441">
        <v>14636090</v>
      </c>
      <c r="S13" s="441">
        <v>14796287</v>
      </c>
      <c r="T13" s="441">
        <v>15040110</v>
      </c>
      <c r="U13" s="441">
        <v>15340842</v>
      </c>
      <c r="V13" s="441">
        <v>15675430</v>
      </c>
      <c r="W13" s="441">
        <v>15846229</v>
      </c>
    </row>
    <row r="14" spans="1:23" x14ac:dyDescent="0.2">
      <c r="A14" t="s">
        <v>39</v>
      </c>
      <c r="B14" s="441">
        <v>2370175</v>
      </c>
      <c r="C14" s="441">
        <v>2407051</v>
      </c>
      <c r="D14" s="441">
        <v>2449663</v>
      </c>
      <c r="E14" s="441">
        <v>2486110</v>
      </c>
      <c r="F14" s="441">
        <v>2517371</v>
      </c>
      <c r="G14" s="441">
        <v>2551754</v>
      </c>
      <c r="H14" s="441">
        <v>2583424</v>
      </c>
      <c r="I14" s="441">
        <v>2620990</v>
      </c>
      <c r="J14" s="441">
        <v>2657811</v>
      </c>
      <c r="K14" s="441">
        <v>2699874</v>
      </c>
      <c r="L14" s="441">
        <v>2731883</v>
      </c>
      <c r="M14" s="441">
        <v>2765888</v>
      </c>
      <c r="N14" s="441">
        <v>2814346</v>
      </c>
      <c r="O14" s="441">
        <v>2841719</v>
      </c>
      <c r="P14" s="441">
        <v>2877143</v>
      </c>
      <c r="Q14" s="441">
        <v>2909829</v>
      </c>
      <c r="R14" s="441">
        <v>2927218</v>
      </c>
      <c r="S14" s="441">
        <v>2959257</v>
      </c>
      <c r="T14" s="441">
        <v>3008022</v>
      </c>
      <c r="U14" s="441">
        <v>3068168</v>
      </c>
      <c r="V14" s="441">
        <v>3135086</v>
      </c>
      <c r="W14" s="441">
        <v>3169246</v>
      </c>
    </row>
    <row r="15" spans="1:23" x14ac:dyDescent="0.2">
      <c r="A15" t="s">
        <v>40</v>
      </c>
      <c r="B15" s="441">
        <v>2370175</v>
      </c>
      <c r="C15" s="441">
        <v>2407051</v>
      </c>
      <c r="D15" s="441">
        <v>2449663</v>
      </c>
      <c r="E15" s="441">
        <v>2486110</v>
      </c>
      <c r="F15" s="441">
        <v>2517371</v>
      </c>
      <c r="G15" s="441">
        <v>2551753</v>
      </c>
      <c r="H15" s="441">
        <v>2583424</v>
      </c>
      <c r="I15" s="441">
        <v>2620990</v>
      </c>
      <c r="J15" s="441">
        <v>2657812</v>
      </c>
      <c r="K15" s="441">
        <v>2699875</v>
      </c>
      <c r="L15" s="441">
        <v>2731882</v>
      </c>
      <c r="M15" s="441">
        <v>2765888</v>
      </c>
      <c r="N15" s="441">
        <v>2814346</v>
      </c>
      <c r="O15" s="441">
        <v>2841719</v>
      </c>
      <c r="P15" s="441">
        <v>2877143</v>
      </c>
      <c r="Q15" s="441">
        <v>2909829</v>
      </c>
      <c r="R15" s="441">
        <v>2927218</v>
      </c>
      <c r="S15" s="441">
        <v>2959257</v>
      </c>
      <c r="T15" s="441">
        <v>3008022</v>
      </c>
      <c r="U15" s="441">
        <v>3068168</v>
      </c>
      <c r="V15" s="441">
        <v>3135086</v>
      </c>
      <c r="W15" s="441">
        <v>3169246</v>
      </c>
    </row>
    <row r="16" spans="1:23" x14ac:dyDescent="0.2">
      <c r="A16" t="s">
        <v>41</v>
      </c>
      <c r="B16" s="441">
        <v>2370176</v>
      </c>
      <c r="C16" s="441">
        <v>2407052</v>
      </c>
      <c r="D16" s="441">
        <v>2449664</v>
      </c>
      <c r="E16" s="441">
        <v>2486111</v>
      </c>
      <c r="F16" s="441">
        <v>2517372</v>
      </c>
      <c r="G16" s="441">
        <v>2551753</v>
      </c>
      <c r="H16" s="441">
        <v>2583423</v>
      </c>
      <c r="I16" s="441">
        <v>2620991</v>
      </c>
      <c r="J16" s="441">
        <v>2657812</v>
      </c>
      <c r="K16" s="441">
        <v>2699875</v>
      </c>
      <c r="L16" s="441">
        <v>2731882</v>
      </c>
      <c r="M16" s="441">
        <v>2765889</v>
      </c>
      <c r="N16" s="441">
        <v>2814347</v>
      </c>
      <c r="O16" s="441">
        <v>2841718</v>
      </c>
      <c r="P16" s="441">
        <v>2877143</v>
      </c>
      <c r="Q16" s="441">
        <v>2909828</v>
      </c>
      <c r="R16" s="441">
        <v>2927218</v>
      </c>
      <c r="S16" s="441">
        <v>2959257</v>
      </c>
      <c r="T16" s="441">
        <v>3008022</v>
      </c>
      <c r="U16" s="441">
        <v>3068168</v>
      </c>
      <c r="V16" s="441">
        <v>3135086</v>
      </c>
      <c r="W16" s="441">
        <v>3169246</v>
      </c>
    </row>
    <row r="17" spans="1:23" x14ac:dyDescent="0.2">
      <c r="A17" t="s">
        <v>42</v>
      </c>
      <c r="B17" s="441">
        <v>2370176</v>
      </c>
      <c r="C17" s="441">
        <v>2407052</v>
      </c>
      <c r="D17" s="441">
        <v>2449664</v>
      </c>
      <c r="E17" s="441">
        <v>2486111</v>
      </c>
      <c r="F17" s="441">
        <v>2517372</v>
      </c>
      <c r="G17" s="441">
        <v>2551753</v>
      </c>
      <c r="H17" s="441">
        <v>2583423</v>
      </c>
      <c r="I17" s="441">
        <v>2620991</v>
      </c>
      <c r="J17" s="441">
        <v>2657812</v>
      </c>
      <c r="K17" s="441">
        <v>2699875</v>
      </c>
      <c r="L17" s="441">
        <v>2731882</v>
      </c>
      <c r="M17" s="441">
        <v>2765889</v>
      </c>
      <c r="N17" s="441">
        <v>2814347</v>
      </c>
      <c r="O17" s="441">
        <v>2841718</v>
      </c>
      <c r="P17" s="441">
        <v>2877143</v>
      </c>
      <c r="Q17" s="441">
        <v>2909828</v>
      </c>
      <c r="R17" s="441">
        <v>2927218</v>
      </c>
      <c r="S17" s="441">
        <v>2959257</v>
      </c>
      <c r="T17" s="441">
        <v>3008022</v>
      </c>
      <c r="U17" s="441">
        <v>3068168</v>
      </c>
      <c r="V17" s="441">
        <v>3135086</v>
      </c>
      <c r="W17" s="441">
        <v>3169246</v>
      </c>
    </row>
    <row r="18" spans="1:23" x14ac:dyDescent="0.2">
      <c r="A18" t="s">
        <v>43</v>
      </c>
      <c r="B18" s="441">
        <v>2370176</v>
      </c>
      <c r="C18" s="441">
        <v>2407052</v>
      </c>
      <c r="D18" s="441">
        <v>2449664</v>
      </c>
      <c r="E18" s="441">
        <v>2486111</v>
      </c>
      <c r="F18" s="441">
        <v>2517372</v>
      </c>
      <c r="G18" s="441">
        <v>2551753</v>
      </c>
      <c r="H18" s="441">
        <v>2583423</v>
      </c>
      <c r="I18" s="441">
        <v>2620991</v>
      </c>
      <c r="J18" s="441">
        <v>2657812</v>
      </c>
      <c r="K18" s="441">
        <v>2699875</v>
      </c>
      <c r="L18" s="441">
        <v>2731882</v>
      </c>
      <c r="M18" s="441">
        <v>2765889</v>
      </c>
      <c r="N18" s="441">
        <v>2814347</v>
      </c>
      <c r="O18" s="441">
        <v>2841718</v>
      </c>
      <c r="P18" s="441">
        <v>2877143</v>
      </c>
      <c r="Q18" s="441">
        <v>2909828</v>
      </c>
      <c r="R18" s="441">
        <v>2927218</v>
      </c>
      <c r="S18" s="441">
        <v>2959257</v>
      </c>
      <c r="T18" s="441">
        <v>3008022</v>
      </c>
      <c r="U18" s="441">
        <v>3068168</v>
      </c>
      <c r="V18" s="441">
        <v>3135086</v>
      </c>
      <c r="W18" s="441">
        <v>3169246</v>
      </c>
    </row>
    <row r="23" spans="1:23" x14ac:dyDescent="0.2">
      <c r="A23" t="s">
        <v>63</v>
      </c>
    </row>
    <row r="24" spans="1:23" x14ac:dyDescent="0.2">
      <c r="A24">
        <v>1</v>
      </c>
      <c r="B24" t="s">
        <v>64</v>
      </c>
      <c r="C24" t="s">
        <v>65</v>
      </c>
      <c r="D24" t="s">
        <v>66</v>
      </c>
    </row>
    <row r="28" spans="1:23" x14ac:dyDescent="0.2">
      <c r="A28" t="s">
        <v>67</v>
      </c>
    </row>
    <row r="29" spans="1:23" x14ac:dyDescent="0.2">
      <c r="A29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0E4CC-CA4B-1949-8CF1-787F81D74122}">
  <dimension ref="A1:N111"/>
  <sheetViews>
    <sheetView zoomScale="85" workbookViewId="0">
      <selection activeCell="H47" sqref="H47"/>
    </sheetView>
  </sheetViews>
  <sheetFormatPr baseColWidth="10" defaultRowHeight="15" x14ac:dyDescent="0.2"/>
  <cols>
    <col min="4" max="4" width="46" bestFit="1" customWidth="1"/>
    <col min="5" max="5" width="20.1640625" bestFit="1" customWidth="1"/>
    <col min="6" max="7" width="20.1640625" customWidth="1"/>
    <col min="8" max="8" width="37.33203125" bestFit="1" customWidth="1"/>
    <col min="9" max="9" width="11.33203125" customWidth="1"/>
    <col min="10" max="11" width="13.33203125" bestFit="1" customWidth="1"/>
    <col min="12" max="12" width="13" bestFit="1" customWidth="1"/>
    <col min="13" max="14" width="13.5" bestFit="1" customWidth="1"/>
  </cols>
  <sheetData>
    <row r="1" spans="1:14" x14ac:dyDescent="0.2">
      <c r="D1" t="s">
        <v>33</v>
      </c>
      <c r="E1" t="s">
        <v>35</v>
      </c>
      <c r="G1" t="s">
        <v>51</v>
      </c>
      <c r="H1" t="s">
        <v>44</v>
      </c>
      <c r="I1" t="s">
        <v>38</v>
      </c>
      <c r="J1" t="s">
        <v>49</v>
      </c>
      <c r="K1" t="s">
        <v>48</v>
      </c>
      <c r="L1" t="s">
        <v>47</v>
      </c>
      <c r="M1" t="s">
        <v>45</v>
      </c>
      <c r="N1" t="s">
        <v>46</v>
      </c>
    </row>
    <row r="2" spans="1:14" ht="16" x14ac:dyDescent="0.2">
      <c r="A2" s="596" t="s">
        <v>2</v>
      </c>
      <c r="B2" s="1" t="s">
        <v>8</v>
      </c>
      <c r="C2" s="111" t="s">
        <v>32</v>
      </c>
      <c r="D2" s="221">
        <v>20875</v>
      </c>
      <c r="E2" s="331">
        <v>34499</v>
      </c>
      <c r="F2" s="442"/>
      <c r="G2" s="442"/>
      <c r="H2">
        <v>1999</v>
      </c>
      <c r="I2" s="441">
        <v>11850878</v>
      </c>
      <c r="J2" s="441">
        <v>2370175</v>
      </c>
      <c r="K2" s="441">
        <v>2370175</v>
      </c>
      <c r="L2" s="441">
        <v>2370176</v>
      </c>
      <c r="M2" s="441">
        <v>2370176</v>
      </c>
      <c r="N2" s="441">
        <v>2370176</v>
      </c>
    </row>
    <row r="3" spans="1:14" ht="16" x14ac:dyDescent="0.2">
      <c r="A3" s="597" t="s">
        <v>2</v>
      </c>
      <c r="B3" s="2" t="s">
        <v>9</v>
      </c>
      <c r="C3" s="112" t="s">
        <v>32</v>
      </c>
      <c r="D3" s="222">
        <v>23133</v>
      </c>
      <c r="E3" s="332">
        <v>35458</v>
      </c>
      <c r="F3" s="443"/>
      <c r="G3" s="443"/>
      <c r="H3">
        <v>2000</v>
      </c>
      <c r="I3" s="441">
        <v>12035258</v>
      </c>
      <c r="J3" s="441">
        <v>2407051</v>
      </c>
      <c r="K3" s="441">
        <v>2407051</v>
      </c>
      <c r="L3" s="441">
        <v>2407052</v>
      </c>
      <c r="M3" s="441">
        <v>2407052</v>
      </c>
      <c r="N3" s="441">
        <v>2407052</v>
      </c>
    </row>
    <row r="4" spans="1:14" ht="16" x14ac:dyDescent="0.2">
      <c r="A4" s="598" t="s">
        <v>2</v>
      </c>
      <c r="B4" s="3" t="s">
        <v>10</v>
      </c>
      <c r="C4" s="113" t="s">
        <v>32</v>
      </c>
      <c r="D4" s="223">
        <v>22510</v>
      </c>
      <c r="E4" s="333">
        <v>39157</v>
      </c>
      <c r="F4" s="444"/>
      <c r="G4" s="444"/>
      <c r="H4">
        <v>2001</v>
      </c>
      <c r="I4" s="441">
        <v>12248318</v>
      </c>
      <c r="J4" s="441">
        <v>2449663</v>
      </c>
      <c r="K4" s="441">
        <v>2449663</v>
      </c>
      <c r="L4" s="441">
        <v>2449664</v>
      </c>
      <c r="M4" s="441">
        <v>2449664</v>
      </c>
      <c r="N4" s="441">
        <v>2449664</v>
      </c>
    </row>
    <row r="5" spans="1:14" ht="16" x14ac:dyDescent="0.2">
      <c r="A5" s="599" t="s">
        <v>2</v>
      </c>
      <c r="B5" s="4" t="s">
        <v>11</v>
      </c>
      <c r="C5" s="114" t="s">
        <v>32</v>
      </c>
      <c r="D5" s="224">
        <v>23216</v>
      </c>
      <c r="E5" s="334">
        <v>40052</v>
      </c>
      <c r="F5" s="445"/>
      <c r="G5" s="445"/>
      <c r="H5">
        <v>2002</v>
      </c>
      <c r="I5" s="441">
        <v>12430553</v>
      </c>
      <c r="J5" s="441">
        <v>2486110</v>
      </c>
      <c r="K5" s="441">
        <v>2486110</v>
      </c>
      <c r="L5" s="441">
        <v>2486111</v>
      </c>
      <c r="M5" s="441">
        <v>2486111</v>
      </c>
      <c r="N5" s="441">
        <v>2486111</v>
      </c>
    </row>
    <row r="6" spans="1:14" ht="16" x14ac:dyDescent="0.2">
      <c r="A6" s="600" t="s">
        <v>2</v>
      </c>
      <c r="B6" s="5" t="s">
        <v>12</v>
      </c>
      <c r="C6" s="115" t="s">
        <v>32</v>
      </c>
      <c r="D6" s="225">
        <v>24101</v>
      </c>
      <c r="E6" s="335">
        <v>42088</v>
      </c>
      <c r="F6" s="446"/>
      <c r="G6" s="446"/>
      <c r="H6">
        <v>2003</v>
      </c>
      <c r="I6" s="441">
        <v>12586858</v>
      </c>
      <c r="J6" s="441">
        <v>2517371</v>
      </c>
      <c r="K6" s="441">
        <v>2517371</v>
      </c>
      <c r="L6" s="441">
        <v>2517372</v>
      </c>
      <c r="M6" s="441">
        <v>2517372</v>
      </c>
      <c r="N6" s="441">
        <v>2517372</v>
      </c>
    </row>
    <row r="7" spans="1:14" ht="16" x14ac:dyDescent="0.2">
      <c r="A7" s="601" t="s">
        <v>2</v>
      </c>
      <c r="B7" s="6" t="s">
        <v>13</v>
      </c>
      <c r="C7" s="116" t="s">
        <v>32</v>
      </c>
      <c r="D7" s="226">
        <v>25078</v>
      </c>
      <c r="E7" s="336">
        <v>42850</v>
      </c>
      <c r="F7" s="447"/>
      <c r="G7" s="447"/>
      <c r="H7">
        <v>2004</v>
      </c>
      <c r="I7" s="441">
        <v>12758766</v>
      </c>
      <c r="J7" s="441">
        <v>2551754</v>
      </c>
      <c r="K7" s="441">
        <v>2551753</v>
      </c>
      <c r="L7" s="441">
        <v>2551753</v>
      </c>
      <c r="M7" s="441">
        <v>2551753</v>
      </c>
      <c r="N7" s="441">
        <v>2551753</v>
      </c>
    </row>
    <row r="8" spans="1:14" ht="16" x14ac:dyDescent="0.2">
      <c r="A8" s="602" t="s">
        <v>2</v>
      </c>
      <c r="B8" s="7" t="s">
        <v>14</v>
      </c>
      <c r="C8" s="117" t="s">
        <v>32</v>
      </c>
      <c r="D8" s="227">
        <v>25178</v>
      </c>
      <c r="E8" s="337">
        <v>42545</v>
      </c>
      <c r="F8" s="448"/>
      <c r="G8" s="448"/>
      <c r="H8">
        <v>2005</v>
      </c>
      <c r="I8" s="441">
        <v>12917117</v>
      </c>
      <c r="J8" s="441">
        <v>2583424</v>
      </c>
      <c r="K8" s="441">
        <v>2583424</v>
      </c>
      <c r="L8" s="441">
        <v>2583423</v>
      </c>
      <c r="M8" s="441">
        <v>2583423</v>
      </c>
      <c r="N8" s="441">
        <v>2583423</v>
      </c>
    </row>
    <row r="9" spans="1:14" ht="16" x14ac:dyDescent="0.2">
      <c r="A9" s="603" t="s">
        <v>2</v>
      </c>
      <c r="B9" s="8" t="s">
        <v>15</v>
      </c>
      <c r="C9" s="118" t="s">
        <v>32</v>
      </c>
      <c r="D9" s="228">
        <v>28224</v>
      </c>
      <c r="E9" s="338">
        <v>47335</v>
      </c>
      <c r="F9" s="449"/>
      <c r="G9" s="449"/>
      <c r="H9">
        <v>2006</v>
      </c>
      <c r="I9" s="441">
        <v>13104953</v>
      </c>
      <c r="J9" s="441">
        <v>2620990</v>
      </c>
      <c r="K9" s="441">
        <v>2620990</v>
      </c>
      <c r="L9" s="441">
        <v>2620991</v>
      </c>
      <c r="M9" s="441">
        <v>2620991</v>
      </c>
      <c r="N9" s="441">
        <v>2620991</v>
      </c>
    </row>
    <row r="10" spans="1:14" ht="16" x14ac:dyDescent="0.2">
      <c r="A10" s="604" t="s">
        <v>2</v>
      </c>
      <c r="B10" s="9" t="s">
        <v>16</v>
      </c>
      <c r="C10" s="119" t="s">
        <v>32</v>
      </c>
      <c r="D10" s="229">
        <v>31136</v>
      </c>
      <c r="E10" s="339">
        <v>51170</v>
      </c>
      <c r="F10" s="450"/>
      <c r="G10" s="450"/>
      <c r="H10">
        <v>2007</v>
      </c>
      <c r="I10" s="441">
        <v>13289059</v>
      </c>
      <c r="J10" s="441">
        <v>2657811</v>
      </c>
      <c r="K10" s="441">
        <v>2657812</v>
      </c>
      <c r="L10" s="441">
        <v>2657812</v>
      </c>
      <c r="M10" s="441">
        <v>2657812</v>
      </c>
      <c r="N10" s="441">
        <v>2657812</v>
      </c>
    </row>
    <row r="11" spans="1:14" ht="16" x14ac:dyDescent="0.2">
      <c r="A11" s="605" t="s">
        <v>2</v>
      </c>
      <c r="B11" s="10" t="s">
        <v>17</v>
      </c>
      <c r="C11" s="120" t="s">
        <v>32</v>
      </c>
      <c r="D11" s="230">
        <v>31503</v>
      </c>
      <c r="E11" s="340">
        <v>52821</v>
      </c>
      <c r="F11" s="451"/>
      <c r="G11" s="451"/>
      <c r="H11">
        <v>2008</v>
      </c>
      <c r="I11" s="441">
        <v>13499374</v>
      </c>
      <c r="J11" s="441">
        <v>2699874</v>
      </c>
      <c r="K11" s="441">
        <v>2699875</v>
      </c>
      <c r="L11" s="441">
        <v>2699875</v>
      </c>
      <c r="M11" s="441">
        <v>2699875</v>
      </c>
      <c r="N11" s="441">
        <v>2699875</v>
      </c>
    </row>
    <row r="12" spans="1:14" ht="16" x14ac:dyDescent="0.2">
      <c r="A12" s="606" t="s">
        <v>2</v>
      </c>
      <c r="B12" s="11" t="s">
        <v>18</v>
      </c>
      <c r="C12" s="121" t="s">
        <v>32</v>
      </c>
      <c r="D12" s="231">
        <v>30481</v>
      </c>
      <c r="E12" s="341">
        <v>55537</v>
      </c>
      <c r="F12" s="452"/>
      <c r="G12" s="452"/>
      <c r="H12">
        <v>2009</v>
      </c>
      <c r="I12" s="441">
        <v>13659411</v>
      </c>
      <c r="J12" s="441">
        <v>2731883</v>
      </c>
      <c r="K12" s="441">
        <v>2731882</v>
      </c>
      <c r="L12" s="441">
        <v>2731882</v>
      </c>
      <c r="M12" s="441">
        <v>2731882</v>
      </c>
      <c r="N12" s="441">
        <v>2731882</v>
      </c>
    </row>
    <row r="13" spans="1:14" ht="16" x14ac:dyDescent="0.2">
      <c r="A13" s="607" t="s">
        <v>2</v>
      </c>
      <c r="B13" s="12" t="s">
        <v>19</v>
      </c>
      <c r="C13" s="122" t="s">
        <v>32</v>
      </c>
      <c r="D13" s="232">
        <v>31055</v>
      </c>
      <c r="E13" s="342">
        <v>58113</v>
      </c>
      <c r="F13" s="453"/>
      <c r="G13" s="453"/>
      <c r="H13">
        <v>2010</v>
      </c>
      <c r="I13" s="441">
        <v>13829443</v>
      </c>
      <c r="J13" s="441">
        <v>2765888</v>
      </c>
      <c r="K13" s="441">
        <v>2765888</v>
      </c>
      <c r="L13" s="441">
        <v>2765889</v>
      </c>
      <c r="M13" s="441">
        <v>2765889</v>
      </c>
      <c r="N13" s="441">
        <v>2765889</v>
      </c>
    </row>
    <row r="14" spans="1:14" ht="16" x14ac:dyDescent="0.2">
      <c r="A14" s="608" t="s">
        <v>2</v>
      </c>
      <c r="B14" s="13" t="s">
        <v>20</v>
      </c>
      <c r="C14" s="123" t="s">
        <v>32</v>
      </c>
      <c r="D14" s="233">
        <v>33318</v>
      </c>
      <c r="E14" s="343">
        <v>61040</v>
      </c>
      <c r="F14" s="454"/>
      <c r="G14" s="454"/>
      <c r="H14">
        <v>2011</v>
      </c>
      <c r="I14" s="441">
        <v>14071733</v>
      </c>
      <c r="J14" s="441">
        <v>2814346</v>
      </c>
      <c r="K14" s="441">
        <v>2814346</v>
      </c>
      <c r="L14" s="441">
        <v>2814347</v>
      </c>
      <c r="M14" s="441">
        <v>2814347</v>
      </c>
      <c r="N14" s="441">
        <v>2814347</v>
      </c>
    </row>
    <row r="15" spans="1:14" ht="16" x14ac:dyDescent="0.2">
      <c r="A15" s="609" t="s">
        <v>2</v>
      </c>
      <c r="B15" s="14" t="s">
        <v>21</v>
      </c>
      <c r="C15" s="124" t="s">
        <v>32</v>
      </c>
      <c r="D15" s="234">
        <v>35867</v>
      </c>
      <c r="E15" s="344">
        <v>65634</v>
      </c>
      <c r="F15" s="455"/>
      <c r="G15" s="455"/>
      <c r="H15">
        <v>2012</v>
      </c>
      <c r="I15" s="441">
        <v>14208592</v>
      </c>
      <c r="J15" s="441">
        <v>2841719</v>
      </c>
      <c r="K15" s="441">
        <v>2841719</v>
      </c>
      <c r="L15" s="441">
        <v>2841718</v>
      </c>
      <c r="M15" s="441">
        <v>2841718</v>
      </c>
      <c r="N15" s="441">
        <v>2841718</v>
      </c>
    </row>
    <row r="16" spans="1:14" ht="16" x14ac:dyDescent="0.2">
      <c r="A16" s="610" t="s">
        <v>2</v>
      </c>
      <c r="B16" s="15" t="s">
        <v>22</v>
      </c>
      <c r="C16" s="125" t="s">
        <v>32</v>
      </c>
      <c r="D16" s="235">
        <v>36169</v>
      </c>
      <c r="E16" s="345">
        <v>65502</v>
      </c>
      <c r="F16" s="456"/>
      <c r="G16" s="456"/>
      <c r="H16">
        <v>2013</v>
      </c>
      <c r="I16" s="441">
        <v>14385715</v>
      </c>
      <c r="J16" s="441">
        <v>2877143</v>
      </c>
      <c r="K16" s="441">
        <v>2877143</v>
      </c>
      <c r="L16" s="441">
        <v>2877143</v>
      </c>
      <c r="M16" s="441">
        <v>2877143</v>
      </c>
      <c r="N16" s="441">
        <v>2877143</v>
      </c>
    </row>
    <row r="17" spans="1:14" ht="16" x14ac:dyDescent="0.2">
      <c r="A17" s="611" t="s">
        <v>2</v>
      </c>
      <c r="B17" s="16" t="s">
        <v>23</v>
      </c>
      <c r="C17" s="126" t="s">
        <v>32</v>
      </c>
      <c r="D17" s="236">
        <v>36680</v>
      </c>
      <c r="E17" s="346">
        <v>67552</v>
      </c>
      <c r="F17" s="457"/>
      <c r="G17" s="457"/>
      <c r="H17">
        <v>2014</v>
      </c>
      <c r="I17" s="441">
        <v>14549142</v>
      </c>
      <c r="J17" s="441">
        <v>2909829</v>
      </c>
      <c r="K17" s="441">
        <v>2909829</v>
      </c>
      <c r="L17" s="441">
        <v>2909828</v>
      </c>
      <c r="M17" s="441">
        <v>2909828</v>
      </c>
      <c r="N17" s="441">
        <v>2909828</v>
      </c>
    </row>
    <row r="18" spans="1:14" ht="16" x14ac:dyDescent="0.2">
      <c r="A18" s="612" t="s">
        <v>2</v>
      </c>
      <c r="B18" s="17" t="s">
        <v>24</v>
      </c>
      <c r="C18" s="127" t="s">
        <v>32</v>
      </c>
      <c r="D18" s="237">
        <v>35542</v>
      </c>
      <c r="E18" s="347">
        <v>66938</v>
      </c>
      <c r="F18" s="458"/>
      <c r="G18" s="458"/>
      <c r="H18">
        <v>2015</v>
      </c>
      <c r="I18" s="441">
        <v>14636090</v>
      </c>
      <c r="J18" s="441">
        <v>2927218</v>
      </c>
      <c r="K18" s="441">
        <v>2927218</v>
      </c>
      <c r="L18" s="441">
        <v>2927218</v>
      </c>
      <c r="M18" s="441">
        <v>2927218</v>
      </c>
      <c r="N18" s="441">
        <v>2927218</v>
      </c>
    </row>
    <row r="19" spans="1:14" ht="16" x14ac:dyDescent="0.2">
      <c r="A19" s="613" t="s">
        <v>2</v>
      </c>
      <c r="B19" s="18" t="s">
        <v>25</v>
      </c>
      <c r="C19" s="128" t="s">
        <v>32</v>
      </c>
      <c r="D19" s="238">
        <v>38022</v>
      </c>
      <c r="E19" s="348">
        <v>69928</v>
      </c>
      <c r="F19" s="459"/>
      <c r="G19" s="459"/>
      <c r="H19">
        <v>2016</v>
      </c>
      <c r="I19" s="441">
        <v>14796287</v>
      </c>
      <c r="J19" s="441">
        <v>2959257</v>
      </c>
      <c r="K19" s="441">
        <v>2959257</v>
      </c>
      <c r="L19" s="441">
        <v>2959257</v>
      </c>
      <c r="M19" s="441">
        <v>2959257</v>
      </c>
      <c r="N19" s="441">
        <v>2959257</v>
      </c>
    </row>
    <row r="20" spans="1:14" ht="16" x14ac:dyDescent="0.2">
      <c r="A20" s="614" t="s">
        <v>2</v>
      </c>
      <c r="B20" s="19" t="s">
        <v>26</v>
      </c>
      <c r="C20" s="129" t="s">
        <v>32</v>
      </c>
      <c r="D20" s="239">
        <v>40337</v>
      </c>
      <c r="E20" s="349">
        <v>72637</v>
      </c>
      <c r="F20" s="460"/>
      <c r="G20" s="460"/>
      <c r="H20">
        <v>2017</v>
      </c>
      <c r="I20" s="441">
        <v>15040110</v>
      </c>
      <c r="J20" s="441">
        <v>3008022</v>
      </c>
      <c r="K20" s="441">
        <v>3008022</v>
      </c>
      <c r="L20" s="441">
        <v>3008022</v>
      </c>
      <c r="M20" s="441">
        <v>3008022</v>
      </c>
      <c r="N20" s="441">
        <v>3008022</v>
      </c>
    </row>
    <row r="21" spans="1:14" ht="16" x14ac:dyDescent="0.2">
      <c r="A21" s="615" t="s">
        <v>2</v>
      </c>
      <c r="B21" s="20" t="s">
        <v>27</v>
      </c>
      <c r="C21" s="130" t="s">
        <v>32</v>
      </c>
      <c r="D21" s="240">
        <v>43340</v>
      </c>
      <c r="E21" s="350">
        <v>76603</v>
      </c>
      <c r="F21" s="461"/>
      <c r="G21" s="461"/>
      <c r="H21">
        <v>2018</v>
      </c>
      <c r="I21" s="441">
        <v>15340842</v>
      </c>
      <c r="J21" s="441">
        <v>3068168</v>
      </c>
      <c r="K21" s="441">
        <v>3068168</v>
      </c>
      <c r="L21" s="441">
        <v>3068168</v>
      </c>
      <c r="M21" s="441">
        <v>3068168</v>
      </c>
      <c r="N21" s="441">
        <v>3068168</v>
      </c>
    </row>
    <row r="22" spans="1:14" ht="16" x14ac:dyDescent="0.2">
      <c r="A22" s="616" t="s">
        <v>2</v>
      </c>
      <c r="B22" s="21" t="s">
        <v>28</v>
      </c>
      <c r="C22" s="131" t="s">
        <v>32</v>
      </c>
      <c r="D22" s="241">
        <v>44680</v>
      </c>
      <c r="E22" s="351">
        <v>80065</v>
      </c>
      <c r="F22" s="462"/>
      <c r="G22" s="462"/>
      <c r="H22">
        <v>2019</v>
      </c>
      <c r="I22" s="441">
        <v>15675430</v>
      </c>
      <c r="J22" s="441">
        <v>3135086</v>
      </c>
      <c r="K22" s="441">
        <v>3135086</v>
      </c>
      <c r="L22" s="441">
        <v>3135086</v>
      </c>
      <c r="M22" s="441">
        <v>3135086</v>
      </c>
      <c r="N22" s="441">
        <v>3135086</v>
      </c>
    </row>
    <row r="23" spans="1:14" ht="16" x14ac:dyDescent="0.2">
      <c r="A23" s="617" t="s">
        <v>2</v>
      </c>
      <c r="B23" s="22" t="s">
        <v>29</v>
      </c>
      <c r="C23" s="132" t="s">
        <v>32</v>
      </c>
      <c r="D23" s="242">
        <v>45358</v>
      </c>
      <c r="E23" s="352">
        <v>102290</v>
      </c>
      <c r="F23" s="463"/>
      <c r="G23" s="463"/>
      <c r="H23">
        <v>2020</v>
      </c>
      <c r="I23" s="441">
        <v>15846229</v>
      </c>
      <c r="J23" s="441">
        <v>3169246</v>
      </c>
      <c r="K23" s="441">
        <v>3169246</v>
      </c>
      <c r="L23" s="441">
        <v>3169246</v>
      </c>
      <c r="M23" s="441">
        <v>3169246</v>
      </c>
      <c r="N23" s="441">
        <v>3169246</v>
      </c>
    </row>
    <row r="24" spans="1:14" ht="16" x14ac:dyDescent="0.2">
      <c r="A24" s="618" t="s">
        <v>3</v>
      </c>
      <c r="B24" s="23" t="s">
        <v>8</v>
      </c>
      <c r="C24" s="133" t="s">
        <v>32</v>
      </c>
      <c r="D24" s="243">
        <v>58900</v>
      </c>
      <c r="E24" s="353">
        <v>68716</v>
      </c>
      <c r="F24" s="464"/>
      <c r="G24" s="464"/>
    </row>
    <row r="25" spans="1:14" ht="16" x14ac:dyDescent="0.2">
      <c r="A25" s="619" t="s">
        <v>3</v>
      </c>
      <c r="B25" s="24" t="s">
        <v>9</v>
      </c>
      <c r="C25" s="134" t="s">
        <v>32</v>
      </c>
      <c r="D25" s="244">
        <v>64430</v>
      </c>
      <c r="E25" s="354">
        <v>71662</v>
      </c>
      <c r="F25" s="465"/>
      <c r="G25" s="465"/>
    </row>
    <row r="26" spans="1:14" ht="16" x14ac:dyDescent="0.2">
      <c r="A26" s="620" t="s">
        <v>3</v>
      </c>
      <c r="B26" s="25" t="s">
        <v>10</v>
      </c>
      <c r="C26" s="135" t="s">
        <v>32</v>
      </c>
      <c r="D26" s="245">
        <v>67954</v>
      </c>
      <c r="E26" s="355">
        <v>78344</v>
      </c>
      <c r="F26" s="466"/>
      <c r="G26" s="466"/>
    </row>
    <row r="27" spans="1:14" ht="16" x14ac:dyDescent="0.2">
      <c r="A27" s="621" t="s">
        <v>3</v>
      </c>
      <c r="B27" s="26" t="s">
        <v>11</v>
      </c>
      <c r="C27" s="136" t="s">
        <v>32</v>
      </c>
      <c r="D27" s="246">
        <v>68701</v>
      </c>
      <c r="E27" s="356">
        <v>80977</v>
      </c>
      <c r="F27" s="467"/>
      <c r="G27" s="467"/>
      <c r="H27" s="552" t="s">
        <v>52</v>
      </c>
    </row>
    <row r="28" spans="1:14" ht="16" x14ac:dyDescent="0.2">
      <c r="A28" s="622" t="s">
        <v>3</v>
      </c>
      <c r="B28" s="27" t="s">
        <v>12</v>
      </c>
      <c r="C28" s="137" t="s">
        <v>32</v>
      </c>
      <c r="D28" s="247">
        <v>68628</v>
      </c>
      <c r="E28" s="357">
        <v>82309</v>
      </c>
      <c r="F28" s="468"/>
      <c r="G28" s="468"/>
      <c r="H28" t="s">
        <v>44</v>
      </c>
      <c r="I28" t="s">
        <v>50</v>
      </c>
      <c r="J28" t="s">
        <v>48</v>
      </c>
      <c r="K28" t="s">
        <v>47</v>
      </c>
      <c r="L28" t="s">
        <v>45</v>
      </c>
      <c r="M28" t="s">
        <v>46</v>
      </c>
    </row>
    <row r="29" spans="1:14" ht="16" x14ac:dyDescent="0.2">
      <c r="A29" s="623" t="s">
        <v>3</v>
      </c>
      <c r="B29" s="28" t="s">
        <v>13</v>
      </c>
      <c r="C29" s="138" t="s">
        <v>32</v>
      </c>
      <c r="D29" s="248">
        <v>70814</v>
      </c>
      <c r="E29" s="358">
        <v>85376</v>
      </c>
      <c r="F29" s="469"/>
      <c r="G29" s="469"/>
      <c r="H29">
        <v>1999</v>
      </c>
      <c r="I29" s="553">
        <f>D2/J2*1000000</f>
        <v>8807.3665446644227</v>
      </c>
      <c r="J29" s="553">
        <f>D24/K2*1000000</f>
        <v>24850.485723628004</v>
      </c>
      <c r="K29" s="553">
        <f>D46/L2*1000000</f>
        <v>46290.233299130523</v>
      </c>
      <c r="L29" s="553">
        <f>D68/M2*1000000</f>
        <v>72165.948857806332</v>
      </c>
      <c r="M29" s="553">
        <f>D90/N2*1000000</f>
        <v>134789.14646000971</v>
      </c>
    </row>
    <row r="30" spans="1:14" ht="16" x14ac:dyDescent="0.2">
      <c r="A30" s="624" t="s">
        <v>3</v>
      </c>
      <c r="B30" s="29" t="s">
        <v>14</v>
      </c>
      <c r="C30" s="139" t="s">
        <v>32</v>
      </c>
      <c r="D30" s="249">
        <v>74778</v>
      </c>
      <c r="E30" s="359">
        <v>88958</v>
      </c>
      <c r="F30" s="470"/>
      <c r="G30" s="470"/>
      <c r="H30">
        <v>2000</v>
      </c>
      <c r="I30" s="553">
        <f t="shared" ref="I30:I50" si="0">D3/J3*1000000</f>
        <v>9610.5151074904516</v>
      </c>
      <c r="J30" s="553">
        <f t="shared" ref="J30:J50" si="1">D25/K3*1000000</f>
        <v>26767.193549284999</v>
      </c>
      <c r="K30" s="553">
        <f t="shared" ref="K30:K50" si="2">D47/L3*1000000</f>
        <v>47000.230987947085</v>
      </c>
      <c r="L30" s="553">
        <f t="shared" ref="L30:L50" si="3">D69/M3*1000000</f>
        <v>73831.392092900365</v>
      </c>
      <c r="M30" s="553">
        <f t="shared" ref="M30:M50" si="4">D91/N3*1000000</f>
        <v>146045.03766432963</v>
      </c>
    </row>
    <row r="31" spans="1:14" ht="16" x14ac:dyDescent="0.2">
      <c r="A31" s="625" t="s">
        <v>3</v>
      </c>
      <c r="B31" s="30" t="s">
        <v>15</v>
      </c>
      <c r="C31" s="140" t="s">
        <v>32</v>
      </c>
      <c r="D31" s="250">
        <v>81367</v>
      </c>
      <c r="E31" s="360">
        <v>95636</v>
      </c>
      <c r="F31" s="471"/>
      <c r="G31" s="471"/>
      <c r="H31">
        <v>2001</v>
      </c>
      <c r="I31" s="553">
        <f t="shared" si="0"/>
        <v>9189.0190609892052</v>
      </c>
      <c r="J31" s="553">
        <f t="shared" si="1"/>
        <v>27740.142215480249</v>
      </c>
      <c r="K31" s="553">
        <f t="shared" si="2"/>
        <v>48668.307163757963</v>
      </c>
      <c r="L31" s="553">
        <f t="shared" si="3"/>
        <v>75979.399623785139</v>
      </c>
      <c r="M31" s="553">
        <f t="shared" si="4"/>
        <v>147711.27795485422</v>
      </c>
    </row>
    <row r="32" spans="1:14" ht="16" x14ac:dyDescent="0.2">
      <c r="A32" s="626" t="s">
        <v>3</v>
      </c>
      <c r="B32" s="31" t="s">
        <v>16</v>
      </c>
      <c r="C32" s="141" t="s">
        <v>32</v>
      </c>
      <c r="D32" s="251">
        <v>88965</v>
      </c>
      <c r="E32" s="361">
        <v>102488</v>
      </c>
      <c r="F32" s="472"/>
      <c r="G32" s="472"/>
      <c r="H32">
        <v>2002</v>
      </c>
      <c r="I32" s="553">
        <f t="shared" si="0"/>
        <v>9338.2835031434661</v>
      </c>
      <c r="J32" s="553">
        <f t="shared" si="1"/>
        <v>27633.934138071123</v>
      </c>
      <c r="K32" s="553">
        <f t="shared" si="2"/>
        <v>47688.136209525641</v>
      </c>
      <c r="L32" s="553">
        <f t="shared" si="3"/>
        <v>78346.461602076495</v>
      </c>
      <c r="M32" s="553">
        <f t="shared" si="4"/>
        <v>150967.91736169462</v>
      </c>
    </row>
    <row r="33" spans="1:13" ht="16" x14ac:dyDescent="0.2">
      <c r="A33" s="627" t="s">
        <v>3</v>
      </c>
      <c r="B33" s="32" t="s">
        <v>17</v>
      </c>
      <c r="C33" s="142" t="s">
        <v>32</v>
      </c>
      <c r="D33" s="252">
        <v>92085</v>
      </c>
      <c r="E33" s="362">
        <v>106771</v>
      </c>
      <c r="F33" s="473"/>
      <c r="G33" s="473"/>
      <c r="H33">
        <v>2003</v>
      </c>
      <c r="I33" s="553">
        <f t="shared" si="0"/>
        <v>9573.87687392919</v>
      </c>
      <c r="J33" s="553">
        <f t="shared" si="1"/>
        <v>27261.774287540451</v>
      </c>
      <c r="K33" s="553">
        <f t="shared" si="2"/>
        <v>50266.309468763451</v>
      </c>
      <c r="L33" s="553">
        <f t="shared" si="3"/>
        <v>78690.793414719796</v>
      </c>
      <c r="M33" s="553">
        <f t="shared" si="4"/>
        <v>154671.22062214086</v>
      </c>
    </row>
    <row r="34" spans="1:13" ht="16" x14ac:dyDescent="0.2">
      <c r="A34" s="628" t="s">
        <v>3</v>
      </c>
      <c r="B34" s="33" t="s">
        <v>18</v>
      </c>
      <c r="C34" s="143" t="s">
        <v>32</v>
      </c>
      <c r="D34" s="253">
        <v>89367</v>
      </c>
      <c r="E34" s="363">
        <v>109843</v>
      </c>
      <c r="F34" s="474"/>
      <c r="G34" s="474"/>
      <c r="H34">
        <v>2004</v>
      </c>
      <c r="I34" s="553">
        <f t="shared" si="0"/>
        <v>9827.7498536300918</v>
      </c>
      <c r="J34" s="553">
        <f t="shared" si="1"/>
        <v>27751.118544780784</v>
      </c>
      <c r="K34" s="553">
        <f t="shared" si="2"/>
        <v>50891.289243120314</v>
      </c>
      <c r="L34" s="553">
        <f t="shared" si="3"/>
        <v>81713.237919187319</v>
      </c>
      <c r="M34" s="553">
        <f t="shared" si="4"/>
        <v>163511.90730450794</v>
      </c>
    </row>
    <row r="35" spans="1:13" ht="16" x14ac:dyDescent="0.2">
      <c r="A35" s="629" t="s">
        <v>3</v>
      </c>
      <c r="B35" s="34" t="s">
        <v>19</v>
      </c>
      <c r="C35" s="144" t="s">
        <v>32</v>
      </c>
      <c r="D35" s="254">
        <v>94078</v>
      </c>
      <c r="E35" s="364">
        <v>116568</v>
      </c>
      <c r="F35" s="475"/>
      <c r="G35" s="475"/>
      <c r="H35">
        <v>2005</v>
      </c>
      <c r="I35" s="553">
        <f t="shared" si="0"/>
        <v>9745.9805281672707</v>
      </c>
      <c r="J35" s="553">
        <f t="shared" si="1"/>
        <v>28945.306693752169</v>
      </c>
      <c r="K35" s="553">
        <f t="shared" si="2"/>
        <v>52826.424476363332</v>
      </c>
      <c r="L35" s="553">
        <f t="shared" si="3"/>
        <v>85027.887419133447</v>
      </c>
      <c r="M35" s="553">
        <f t="shared" si="4"/>
        <v>171028.51526830875</v>
      </c>
    </row>
    <row r="36" spans="1:13" ht="16" x14ac:dyDescent="0.2">
      <c r="A36" s="630" t="s">
        <v>3</v>
      </c>
      <c r="B36" s="35" t="s">
        <v>20</v>
      </c>
      <c r="C36" s="145" t="s">
        <v>32</v>
      </c>
      <c r="D36" s="255">
        <v>96369</v>
      </c>
      <c r="E36" s="365">
        <v>117882</v>
      </c>
      <c r="F36" s="476"/>
      <c r="G36" s="476"/>
      <c r="H36">
        <v>2006</v>
      </c>
      <c r="I36" s="553">
        <f t="shared" si="0"/>
        <v>10768.45008947001</v>
      </c>
      <c r="J36" s="553">
        <f>D31/K9*1000000</f>
        <v>31044.376361603823</v>
      </c>
      <c r="K36" s="553">
        <f t="shared" si="2"/>
        <v>55063.905217530315</v>
      </c>
      <c r="L36" s="553">
        <f t="shared" si="3"/>
        <v>86897.665806559424</v>
      </c>
      <c r="M36" s="553">
        <f t="shared" si="4"/>
        <v>179750.71261213793</v>
      </c>
    </row>
    <row r="37" spans="1:13" ht="16" x14ac:dyDescent="0.2">
      <c r="A37" s="631" t="s">
        <v>3</v>
      </c>
      <c r="B37" s="36" t="s">
        <v>21</v>
      </c>
      <c r="C37" s="146" t="s">
        <v>32</v>
      </c>
      <c r="D37" s="256">
        <v>106288</v>
      </c>
      <c r="E37" s="366">
        <v>125628</v>
      </c>
      <c r="F37" s="477"/>
      <c r="G37" s="477"/>
      <c r="H37">
        <v>2007</v>
      </c>
      <c r="I37" s="553">
        <f t="shared" si="0"/>
        <v>11714.903730927444</v>
      </c>
      <c r="J37" s="553">
        <f t="shared" si="1"/>
        <v>33473.022170115873</v>
      </c>
      <c r="K37" s="553">
        <f t="shared" si="2"/>
        <v>56908.464556560059</v>
      </c>
      <c r="L37" s="553">
        <f t="shared" si="3"/>
        <v>90173.797093248126</v>
      </c>
      <c r="M37" s="553">
        <f t="shared" si="4"/>
        <v>189156.34363905349</v>
      </c>
    </row>
    <row r="38" spans="1:13" ht="16" x14ac:dyDescent="0.2">
      <c r="A38" s="632" t="s">
        <v>3</v>
      </c>
      <c r="B38" s="37" t="s">
        <v>22</v>
      </c>
      <c r="C38" s="147" t="s">
        <v>32</v>
      </c>
      <c r="D38" s="257">
        <v>105940</v>
      </c>
      <c r="E38" s="367">
        <v>128224</v>
      </c>
      <c r="F38" s="478"/>
      <c r="G38" s="478"/>
      <c r="H38">
        <v>2008</v>
      </c>
      <c r="I38" s="553">
        <f t="shared" si="0"/>
        <v>11668.322299485088</v>
      </c>
      <c r="J38" s="553">
        <f>D33/K11*1000000</f>
        <v>34107.134589564332</v>
      </c>
      <c r="K38" s="553">
        <f t="shared" si="2"/>
        <v>60495.763692763554</v>
      </c>
      <c r="L38" s="553">
        <f t="shared" si="3"/>
        <v>93397.286911431074</v>
      </c>
      <c r="M38" s="553">
        <f t="shared" si="4"/>
        <v>192244.82614935876</v>
      </c>
    </row>
    <row r="39" spans="1:13" ht="16" x14ac:dyDescent="0.2">
      <c r="A39" s="633" t="s">
        <v>3</v>
      </c>
      <c r="B39" s="38" t="s">
        <v>23</v>
      </c>
      <c r="C39" s="148" t="s">
        <v>32</v>
      </c>
      <c r="D39" s="258">
        <v>114183</v>
      </c>
      <c r="E39" s="368">
        <v>133327</v>
      </c>
      <c r="F39" s="479"/>
      <c r="G39" s="479"/>
      <c r="H39">
        <v>2009</v>
      </c>
      <c r="I39" s="553">
        <f t="shared" si="0"/>
        <v>11157.505647203778</v>
      </c>
      <c r="J39" s="553">
        <f t="shared" si="1"/>
        <v>32712.613502340144</v>
      </c>
      <c r="K39" s="553">
        <f t="shared" si="2"/>
        <v>59154.824403103798</v>
      </c>
      <c r="L39" s="553">
        <f t="shared" si="3"/>
        <v>93432.659243700866</v>
      </c>
      <c r="M39" s="553">
        <f t="shared" si="4"/>
        <v>188542.18447209653</v>
      </c>
    </row>
    <row r="40" spans="1:13" ht="16" x14ac:dyDescent="0.2">
      <c r="A40" s="634" t="s">
        <v>3</v>
      </c>
      <c r="B40" s="39" t="s">
        <v>24</v>
      </c>
      <c r="C40" s="149" t="s">
        <v>32</v>
      </c>
      <c r="D40" s="259">
        <v>117857</v>
      </c>
      <c r="E40" s="369">
        <v>138869</v>
      </c>
      <c r="F40" s="480"/>
      <c r="G40" s="480"/>
      <c r="H40">
        <v>2010</v>
      </c>
      <c r="I40" s="553">
        <f t="shared" si="0"/>
        <v>11227.858828701668</v>
      </c>
      <c r="J40" s="553">
        <f t="shared" si="1"/>
        <v>34013.669389360664</v>
      </c>
      <c r="K40" s="553">
        <f t="shared" si="2"/>
        <v>61621.778748171018</v>
      </c>
      <c r="L40" s="553">
        <f t="shared" si="3"/>
        <v>96431.20168596787</v>
      </c>
      <c r="M40" s="553">
        <f t="shared" si="4"/>
        <v>189145.69601310827</v>
      </c>
    </row>
    <row r="41" spans="1:13" ht="16" x14ac:dyDescent="0.2">
      <c r="A41" s="635" t="s">
        <v>3</v>
      </c>
      <c r="B41" s="40" t="s">
        <v>25</v>
      </c>
      <c r="C41" s="150" t="s">
        <v>32</v>
      </c>
      <c r="D41" s="260">
        <v>127706</v>
      </c>
      <c r="E41" s="370">
        <v>148711</v>
      </c>
      <c r="F41" s="481"/>
      <c r="G41" s="481"/>
      <c r="H41">
        <v>2011</v>
      </c>
      <c r="I41" s="553">
        <f t="shared" si="0"/>
        <v>11838.62964965928</v>
      </c>
      <c r="J41" s="553">
        <f t="shared" si="1"/>
        <v>34242.058368089776</v>
      </c>
      <c r="K41" s="553">
        <f t="shared" si="2"/>
        <v>63489.683397249879</v>
      </c>
      <c r="L41" s="553">
        <f t="shared" si="3"/>
        <v>101444.1360642451</v>
      </c>
      <c r="M41" s="553">
        <f t="shared" si="4"/>
        <v>196330.44539283891</v>
      </c>
    </row>
    <row r="42" spans="1:13" ht="16" x14ac:dyDescent="0.2">
      <c r="A42" s="636" t="s">
        <v>3</v>
      </c>
      <c r="B42" s="41" t="s">
        <v>26</v>
      </c>
      <c r="C42" s="151" t="s">
        <v>32</v>
      </c>
      <c r="D42" s="261">
        <v>128150</v>
      </c>
      <c r="E42" s="371">
        <v>153787</v>
      </c>
      <c r="F42" s="482"/>
      <c r="G42" s="482"/>
      <c r="H42">
        <v>2012</v>
      </c>
      <c r="I42" s="553">
        <f t="shared" si="0"/>
        <v>12621.585737365305</v>
      </c>
      <c r="J42" s="553">
        <f t="shared" si="1"/>
        <v>37402.712935374679</v>
      </c>
      <c r="K42" s="553">
        <f t="shared" si="2"/>
        <v>66415.105228597633</v>
      </c>
      <c r="L42" s="553">
        <f t="shared" si="3"/>
        <v>105138.51128085193</v>
      </c>
      <c r="M42" s="553">
        <f t="shared" si="4"/>
        <v>200406.58503060474</v>
      </c>
    </row>
    <row r="43" spans="1:13" ht="16" x14ac:dyDescent="0.2">
      <c r="A43" s="637" t="s">
        <v>3</v>
      </c>
      <c r="B43" s="42" t="s">
        <v>27</v>
      </c>
      <c r="C43" s="152" t="s">
        <v>32</v>
      </c>
      <c r="D43" s="262">
        <v>128827</v>
      </c>
      <c r="E43" s="372">
        <v>156572</v>
      </c>
      <c r="F43" s="483"/>
      <c r="G43" s="483"/>
      <c r="H43">
        <v>2013</v>
      </c>
      <c r="I43" s="553">
        <f t="shared" si="0"/>
        <v>12571.151312256638</v>
      </c>
      <c r="J43" s="553">
        <f t="shared" si="1"/>
        <v>36821.249413046207</v>
      </c>
      <c r="K43" s="553">
        <f t="shared" si="2"/>
        <v>67670.602399672178</v>
      </c>
      <c r="L43" s="553">
        <f t="shared" si="3"/>
        <v>108641.80195423029</v>
      </c>
      <c r="M43" s="553">
        <f t="shared" si="4"/>
        <v>207364.73647642817</v>
      </c>
    </row>
    <row r="44" spans="1:13" ht="16" x14ac:dyDescent="0.2">
      <c r="A44" s="638" t="s">
        <v>3</v>
      </c>
      <c r="B44" s="43" t="s">
        <v>28</v>
      </c>
      <c r="C44" s="153" t="s">
        <v>32</v>
      </c>
      <c r="D44" s="263">
        <v>132999</v>
      </c>
      <c r="E44" s="373">
        <v>162418</v>
      </c>
      <c r="F44" s="484"/>
      <c r="G44" s="484"/>
      <c r="H44">
        <v>2014</v>
      </c>
      <c r="I44" s="553">
        <f t="shared" si="0"/>
        <v>12605.551735170693</v>
      </c>
      <c r="J44" s="553">
        <f t="shared" si="1"/>
        <v>39240.45021202277</v>
      </c>
      <c r="K44" s="553">
        <f t="shared" si="2"/>
        <v>69402.383920974011</v>
      </c>
      <c r="L44" s="553">
        <f t="shared" si="3"/>
        <v>111019.96406660462</v>
      </c>
      <c r="M44" s="553">
        <f t="shared" si="4"/>
        <v>212549.67647572295</v>
      </c>
    </row>
    <row r="45" spans="1:13" ht="16" x14ac:dyDescent="0.2">
      <c r="A45" s="639" t="s">
        <v>3</v>
      </c>
      <c r="B45" s="44" t="s">
        <v>29</v>
      </c>
      <c r="C45" s="154" t="s">
        <v>32</v>
      </c>
      <c r="D45" s="264">
        <v>132389</v>
      </c>
      <c r="E45" s="374">
        <v>187131</v>
      </c>
      <c r="F45" s="485"/>
      <c r="G45" s="485"/>
      <c r="H45">
        <v>2015</v>
      </c>
      <c r="I45" s="553">
        <f t="shared" si="0"/>
        <v>12141.904019447817</v>
      </c>
      <c r="J45" s="553">
        <f t="shared" si="1"/>
        <v>40262.460807497082</v>
      </c>
      <c r="K45" s="553">
        <f t="shared" si="2"/>
        <v>74406.142624157132</v>
      </c>
      <c r="L45" s="553">
        <f t="shared" si="3"/>
        <v>112096.53671164908</v>
      </c>
      <c r="M45" s="553">
        <f t="shared" si="4"/>
        <v>220546.60773471603</v>
      </c>
    </row>
    <row r="46" spans="1:13" ht="16" x14ac:dyDescent="0.2">
      <c r="A46" s="640" t="s">
        <v>4</v>
      </c>
      <c r="B46" s="45" t="s">
        <v>8</v>
      </c>
      <c r="C46" s="155" t="s">
        <v>32</v>
      </c>
      <c r="D46" s="265">
        <v>109716</v>
      </c>
      <c r="E46" s="375">
        <v>95888</v>
      </c>
      <c r="F46" s="486"/>
      <c r="G46" s="486"/>
      <c r="H46">
        <v>2016</v>
      </c>
      <c r="I46" s="553">
        <f t="shared" si="0"/>
        <v>12848.495416248064</v>
      </c>
      <c r="J46" s="553">
        <f t="shared" si="1"/>
        <v>43154.751344678749</v>
      </c>
      <c r="K46" s="553">
        <f t="shared" si="2"/>
        <v>73231.557786295685</v>
      </c>
      <c r="L46" s="553">
        <f t="shared" si="3"/>
        <v>111815.229295732</v>
      </c>
      <c r="M46" s="553">
        <f t="shared" si="4"/>
        <v>212043.42846870009</v>
      </c>
    </row>
    <row r="47" spans="1:13" ht="16" x14ac:dyDescent="0.2">
      <c r="A47" s="641" t="s">
        <v>4</v>
      </c>
      <c r="B47" s="46" t="s">
        <v>9</v>
      </c>
      <c r="C47" s="156" t="s">
        <v>32</v>
      </c>
      <c r="D47" s="266">
        <v>113132</v>
      </c>
      <c r="E47" s="376">
        <v>99140</v>
      </c>
      <c r="F47" s="487"/>
      <c r="G47" s="487"/>
      <c r="H47">
        <v>2017</v>
      </c>
      <c r="I47" s="553">
        <f t="shared" si="0"/>
        <v>13409.808837834296</v>
      </c>
      <c r="J47" s="553">
        <f t="shared" si="1"/>
        <v>42602.746921398844</v>
      </c>
      <c r="K47" s="553">
        <f t="shared" si="2"/>
        <v>73815.617040034951</v>
      </c>
      <c r="L47" s="553">
        <f t="shared" si="3"/>
        <v>115464.91348799976</v>
      </c>
      <c r="M47" s="553">
        <f t="shared" si="4"/>
        <v>220795.92502980365</v>
      </c>
    </row>
    <row r="48" spans="1:13" ht="16" x14ac:dyDescent="0.2">
      <c r="A48" s="642" t="s">
        <v>4</v>
      </c>
      <c r="B48" s="47" t="s">
        <v>10</v>
      </c>
      <c r="C48" s="157" t="s">
        <v>32</v>
      </c>
      <c r="D48" s="267">
        <v>119221</v>
      </c>
      <c r="E48" s="377">
        <v>105164</v>
      </c>
      <c r="F48" s="488"/>
      <c r="G48" s="488"/>
      <c r="H48">
        <v>2018</v>
      </c>
      <c r="I48" s="553">
        <f t="shared" si="0"/>
        <v>14125.693247566627</v>
      </c>
      <c r="J48" s="553">
        <f t="shared" si="1"/>
        <v>41988.248361888924</v>
      </c>
      <c r="K48" s="553">
        <f t="shared" si="2"/>
        <v>73520.745930470555</v>
      </c>
      <c r="L48" s="553">
        <f t="shared" si="3"/>
        <v>117805.80463651274</v>
      </c>
      <c r="M48" s="553">
        <f t="shared" si="4"/>
        <v>225149.99178662966</v>
      </c>
    </row>
    <row r="49" spans="1:13" ht="16" x14ac:dyDescent="0.2">
      <c r="A49" s="643" t="s">
        <v>4</v>
      </c>
      <c r="B49" s="48" t="s">
        <v>11</v>
      </c>
      <c r="C49" s="158" t="s">
        <v>32</v>
      </c>
      <c r="D49" s="268">
        <v>118558</v>
      </c>
      <c r="E49" s="378">
        <v>107920</v>
      </c>
      <c r="F49" s="489"/>
      <c r="G49" s="489"/>
      <c r="H49">
        <v>2019</v>
      </c>
      <c r="I49" s="553">
        <f t="shared" si="0"/>
        <v>14251.602667359046</v>
      </c>
      <c r="J49" s="553">
        <f t="shared" si="1"/>
        <v>42422.759694630382</v>
      </c>
      <c r="K49" s="553">
        <f t="shared" si="2"/>
        <v>74981.675143839762</v>
      </c>
      <c r="L49" s="553">
        <f t="shared" si="3"/>
        <v>120583.93294474219</v>
      </c>
      <c r="M49" s="553">
        <f t="shared" si="4"/>
        <v>230801.00513989091</v>
      </c>
    </row>
    <row r="50" spans="1:13" ht="16" x14ac:dyDescent="0.2">
      <c r="A50" s="644" t="s">
        <v>4</v>
      </c>
      <c r="B50" s="49" t="s">
        <v>12</v>
      </c>
      <c r="C50" s="159" t="s">
        <v>32</v>
      </c>
      <c r="D50" s="269">
        <v>126539</v>
      </c>
      <c r="E50" s="379">
        <v>113036</v>
      </c>
      <c r="F50" s="490"/>
      <c r="G50" s="490"/>
      <c r="H50">
        <v>2020</v>
      </c>
      <c r="I50" s="553">
        <f t="shared" si="0"/>
        <v>14311.921510668468</v>
      </c>
      <c r="J50" s="553">
        <f t="shared" si="1"/>
        <v>41773.027401470259</v>
      </c>
      <c r="K50" s="553">
        <f t="shared" si="2"/>
        <v>73886.659476733577</v>
      </c>
      <c r="L50" s="553">
        <f t="shared" si="3"/>
        <v>118745.90991043295</v>
      </c>
      <c r="M50" s="553">
        <f t="shared" si="4"/>
        <v>225431.5379746476</v>
      </c>
    </row>
    <row r="51" spans="1:13" ht="16" x14ac:dyDescent="0.2">
      <c r="A51" s="645" t="s">
        <v>4</v>
      </c>
      <c r="B51" s="50" t="s">
        <v>13</v>
      </c>
      <c r="C51" s="160" t="s">
        <v>32</v>
      </c>
      <c r="D51" s="270">
        <v>129862</v>
      </c>
      <c r="E51" s="380">
        <v>116754</v>
      </c>
      <c r="F51" s="491"/>
      <c r="G51" s="491"/>
    </row>
    <row r="52" spans="1:13" ht="16" x14ac:dyDescent="0.2">
      <c r="A52" s="646" t="s">
        <v>4</v>
      </c>
      <c r="B52" s="51" t="s">
        <v>14</v>
      </c>
      <c r="C52" s="161" t="s">
        <v>32</v>
      </c>
      <c r="D52" s="271">
        <v>136473</v>
      </c>
      <c r="E52" s="381">
        <v>121051</v>
      </c>
      <c r="F52" s="492"/>
      <c r="G52" s="492"/>
    </row>
    <row r="53" spans="1:13" ht="16" x14ac:dyDescent="0.2">
      <c r="A53" s="647" t="s">
        <v>4</v>
      </c>
      <c r="B53" s="52" t="s">
        <v>15</v>
      </c>
      <c r="C53" s="162" t="s">
        <v>32</v>
      </c>
      <c r="D53" s="272">
        <v>144322</v>
      </c>
      <c r="E53" s="382">
        <v>129762</v>
      </c>
      <c r="F53" s="493"/>
      <c r="G53" s="493"/>
      <c r="H53" s="552" t="s">
        <v>53</v>
      </c>
    </row>
    <row r="54" spans="1:13" ht="16" x14ac:dyDescent="0.2">
      <c r="A54" s="648" t="s">
        <v>4</v>
      </c>
      <c r="B54" s="53" t="s">
        <v>16</v>
      </c>
      <c r="C54" s="163" t="s">
        <v>32</v>
      </c>
      <c r="D54" s="273">
        <v>151252</v>
      </c>
      <c r="E54" s="383">
        <v>135299</v>
      </c>
      <c r="F54" s="494"/>
      <c r="G54" s="494"/>
    </row>
    <row r="55" spans="1:13" ht="16" x14ac:dyDescent="0.2">
      <c r="A55" s="649" t="s">
        <v>4</v>
      </c>
      <c r="B55" s="54" t="s">
        <v>17</v>
      </c>
      <c r="C55" s="164" t="s">
        <v>32</v>
      </c>
      <c r="D55" s="274">
        <v>163331</v>
      </c>
      <c r="E55" s="384">
        <v>144380</v>
      </c>
      <c r="F55" s="495"/>
      <c r="G55" s="495"/>
      <c r="H55" t="s">
        <v>44</v>
      </c>
      <c r="I55" t="s">
        <v>50</v>
      </c>
      <c r="J55" t="s">
        <v>48</v>
      </c>
      <c r="K55" t="s">
        <v>47</v>
      </c>
      <c r="L55" t="s">
        <v>45</v>
      </c>
      <c r="M55" t="s">
        <v>46</v>
      </c>
    </row>
    <row r="56" spans="1:13" ht="16" x14ac:dyDescent="0.2">
      <c r="A56" s="650" t="s">
        <v>4</v>
      </c>
      <c r="B56" s="55" t="s">
        <v>18</v>
      </c>
      <c r="C56" s="165" t="s">
        <v>32</v>
      </c>
      <c r="D56" s="275">
        <v>161604</v>
      </c>
      <c r="E56" s="385">
        <v>148085</v>
      </c>
      <c r="F56" s="496"/>
      <c r="G56" s="496"/>
      <c r="H56">
        <v>1999</v>
      </c>
      <c r="I56" s="553">
        <f>E2/J2*1000000</f>
        <v>14555.465313742658</v>
      </c>
      <c r="J56" s="553">
        <f>E24/K2*1000000</f>
        <v>28991.952071049604</v>
      </c>
      <c r="K56" s="553">
        <f>E46/L2*1000000</f>
        <v>40456.067397526604</v>
      </c>
      <c r="L56" s="553">
        <f>E68/M2*1000000</f>
        <v>53966.878409029545</v>
      </c>
      <c r="M56" s="553">
        <f>E90/N2*1000000</f>
        <v>92502.413322892477</v>
      </c>
    </row>
    <row r="57" spans="1:13" ht="16" x14ac:dyDescent="0.2">
      <c r="A57" s="651" t="s">
        <v>4</v>
      </c>
      <c r="B57" s="56" t="s">
        <v>19</v>
      </c>
      <c r="C57" s="166" t="s">
        <v>32</v>
      </c>
      <c r="D57" s="276">
        <v>170439</v>
      </c>
      <c r="E57" s="386">
        <v>158821</v>
      </c>
      <c r="F57" s="497"/>
      <c r="G57" s="497"/>
      <c r="H57">
        <v>2000</v>
      </c>
      <c r="I57" s="553">
        <f t="shared" ref="I57:I77" si="5">E3/J3*1000000</f>
        <v>14730.888543699322</v>
      </c>
      <c r="J57" s="553">
        <f t="shared" ref="J57:J77" si="6">E25/K3*1000000</f>
        <v>29771.699893354984</v>
      </c>
      <c r="K57" s="553">
        <f t="shared" ref="K57:K77" si="7">E47/L3*1000000</f>
        <v>41187.311283678129</v>
      </c>
      <c r="L57" s="553">
        <f t="shared" ref="L57:L77" si="8">E69/M3*1000000</f>
        <v>55257.219204238216</v>
      </c>
      <c r="M57" s="553">
        <f t="shared" ref="M57:M77" si="9">E91/N3*1000000</f>
        <v>99879.853031841441</v>
      </c>
    </row>
    <row r="58" spans="1:13" ht="16" x14ac:dyDescent="0.2">
      <c r="A58" s="652" t="s">
        <v>4</v>
      </c>
      <c r="B58" s="57" t="s">
        <v>20</v>
      </c>
      <c r="C58" s="167" t="s">
        <v>32</v>
      </c>
      <c r="D58" s="277">
        <v>178682</v>
      </c>
      <c r="E58" s="387">
        <v>163375</v>
      </c>
      <c r="F58" s="498"/>
      <c r="G58" s="498"/>
      <c r="H58">
        <v>2001</v>
      </c>
      <c r="I58" s="553">
        <f t="shared" si="5"/>
        <v>15984.647684191663</v>
      </c>
      <c r="J58" s="553">
        <f t="shared" si="6"/>
        <v>31981.541950872426</v>
      </c>
      <c r="K58" s="553">
        <f t="shared" si="7"/>
        <v>42929.969171282268</v>
      </c>
      <c r="L58" s="553">
        <f t="shared" si="8"/>
        <v>57948.355366286967</v>
      </c>
      <c r="M58" s="553">
        <f t="shared" si="9"/>
        <v>102327.09465461386</v>
      </c>
    </row>
    <row r="59" spans="1:13" ht="16" x14ac:dyDescent="0.2">
      <c r="A59" s="653" t="s">
        <v>4</v>
      </c>
      <c r="B59" s="58" t="s">
        <v>21</v>
      </c>
      <c r="C59" s="168" t="s">
        <v>32</v>
      </c>
      <c r="D59" s="278">
        <v>188733</v>
      </c>
      <c r="E59" s="388">
        <v>169183</v>
      </c>
      <c r="F59" s="499"/>
      <c r="G59" s="499"/>
      <c r="H59">
        <v>2002</v>
      </c>
      <c r="I59" s="553">
        <f t="shared" si="5"/>
        <v>16110.308876115698</v>
      </c>
      <c r="J59" s="553">
        <f t="shared" si="6"/>
        <v>32571.768747159218</v>
      </c>
      <c r="K59" s="553">
        <f t="shared" si="7"/>
        <v>43409.163951247552</v>
      </c>
      <c r="L59" s="553">
        <f t="shared" si="8"/>
        <v>60527.868626943848</v>
      </c>
      <c r="M59" s="553">
        <f t="shared" si="9"/>
        <v>105850.4628313056</v>
      </c>
    </row>
    <row r="60" spans="1:13" ht="16" x14ac:dyDescent="0.2">
      <c r="A60" s="654" t="s">
        <v>4</v>
      </c>
      <c r="B60" s="59" t="s">
        <v>22</v>
      </c>
      <c r="C60" s="169" t="s">
        <v>32</v>
      </c>
      <c r="D60" s="279">
        <v>194698</v>
      </c>
      <c r="E60" s="389">
        <v>177598</v>
      </c>
      <c r="F60" s="500"/>
      <c r="G60" s="500"/>
      <c r="H60">
        <v>2003</v>
      </c>
      <c r="I60" s="553">
        <f t="shared" si="5"/>
        <v>16719.029495453789</v>
      </c>
      <c r="J60" s="553">
        <f t="shared" si="6"/>
        <v>32696.412249128156</v>
      </c>
      <c r="K60" s="553">
        <f t="shared" si="7"/>
        <v>44902.382325695209</v>
      </c>
      <c r="L60" s="553">
        <f t="shared" si="8"/>
        <v>60635.853580638861</v>
      </c>
      <c r="M60" s="553">
        <f t="shared" si="9"/>
        <v>108511.17752958243</v>
      </c>
    </row>
    <row r="61" spans="1:13" ht="16" x14ac:dyDescent="0.2">
      <c r="A61" s="655" t="s">
        <v>4</v>
      </c>
      <c r="B61" s="60" t="s">
        <v>23</v>
      </c>
      <c r="C61" s="170" t="s">
        <v>32</v>
      </c>
      <c r="D61" s="280">
        <v>201949</v>
      </c>
      <c r="E61" s="390">
        <v>182757</v>
      </c>
      <c r="F61" s="501"/>
      <c r="G61" s="501"/>
      <c r="H61">
        <v>2004</v>
      </c>
      <c r="I61" s="553">
        <f t="shared" si="5"/>
        <v>16792.371051441482</v>
      </c>
      <c r="J61" s="553">
        <f t="shared" si="6"/>
        <v>33457.783727500275</v>
      </c>
      <c r="K61" s="553">
        <f t="shared" si="7"/>
        <v>45754.42842626226</v>
      </c>
      <c r="L61" s="553">
        <f t="shared" si="8"/>
        <v>62589.913678949335</v>
      </c>
      <c r="M61" s="553">
        <f t="shared" si="9"/>
        <v>113860.54998269817</v>
      </c>
    </row>
    <row r="62" spans="1:13" ht="16" x14ac:dyDescent="0.2">
      <c r="A62" s="656" t="s">
        <v>4</v>
      </c>
      <c r="B62" s="61" t="s">
        <v>24</v>
      </c>
      <c r="C62" s="171" t="s">
        <v>32</v>
      </c>
      <c r="D62" s="281">
        <v>217803</v>
      </c>
      <c r="E62" s="391">
        <v>198176</v>
      </c>
      <c r="F62" s="502"/>
      <c r="G62" s="502"/>
      <c r="H62">
        <v>2005</v>
      </c>
      <c r="I62" s="553">
        <f t="shared" si="5"/>
        <v>16468.45426844374</v>
      </c>
      <c r="J62" s="553">
        <f t="shared" si="6"/>
        <v>34434.146311252043</v>
      </c>
      <c r="K62" s="553">
        <f t="shared" si="7"/>
        <v>46856.825227614681</v>
      </c>
      <c r="L62" s="553">
        <f t="shared" si="8"/>
        <v>64134.677131851808</v>
      </c>
      <c r="M62" s="553">
        <f t="shared" si="9"/>
        <v>117390.37703078435</v>
      </c>
    </row>
    <row r="63" spans="1:13" ht="16" x14ac:dyDescent="0.2">
      <c r="A63" s="657" t="s">
        <v>4</v>
      </c>
      <c r="B63" s="62" t="s">
        <v>25</v>
      </c>
      <c r="C63" s="172" t="s">
        <v>32</v>
      </c>
      <c r="D63" s="282">
        <v>216711</v>
      </c>
      <c r="E63" s="392">
        <v>201029</v>
      </c>
      <c r="F63" s="503"/>
      <c r="G63" s="503"/>
      <c r="H63">
        <v>2006</v>
      </c>
      <c r="I63" s="553">
        <f t="shared" si="5"/>
        <v>18059.969706103417</v>
      </c>
      <c r="J63" s="553">
        <f t="shared" si="6"/>
        <v>36488.50243610239</v>
      </c>
      <c r="K63" s="553">
        <f t="shared" si="7"/>
        <v>49508.754513083033</v>
      </c>
      <c r="L63" s="553">
        <f t="shared" si="8"/>
        <v>66335.977498587366</v>
      </c>
      <c r="M63" s="553">
        <f t="shared" si="9"/>
        <v>125058.04102341442</v>
      </c>
    </row>
    <row r="64" spans="1:13" ht="16" x14ac:dyDescent="0.2">
      <c r="A64" s="658" t="s">
        <v>4</v>
      </c>
      <c r="B64" s="63" t="s">
        <v>26</v>
      </c>
      <c r="C64" s="173" t="s">
        <v>32</v>
      </c>
      <c r="D64" s="283">
        <v>222039</v>
      </c>
      <c r="E64" s="393">
        <v>208314</v>
      </c>
      <c r="F64" s="504"/>
      <c r="G64" s="504"/>
      <c r="H64">
        <v>2007</v>
      </c>
      <c r="I64" s="553">
        <f t="shared" si="5"/>
        <v>19252.685762832647</v>
      </c>
      <c r="J64" s="553">
        <f t="shared" si="6"/>
        <v>38561.041939760973</v>
      </c>
      <c r="K64" s="553">
        <f t="shared" si="7"/>
        <v>50906.15890062954</v>
      </c>
      <c r="L64" s="553">
        <f t="shared" si="8"/>
        <v>68644.057593238336</v>
      </c>
      <c r="M64" s="553">
        <f t="shared" si="9"/>
        <v>129776.29719483544</v>
      </c>
    </row>
    <row r="65" spans="1:13" ht="16" x14ac:dyDescent="0.2">
      <c r="A65" s="659" t="s">
        <v>4</v>
      </c>
      <c r="B65" s="64" t="s">
        <v>27</v>
      </c>
      <c r="C65" s="174" t="s">
        <v>32</v>
      </c>
      <c r="D65" s="284">
        <v>225574</v>
      </c>
      <c r="E65" s="394">
        <v>213546</v>
      </c>
      <c r="F65" s="505"/>
      <c r="G65" s="505"/>
      <c r="H65">
        <v>2008</v>
      </c>
      <c r="I65" s="553">
        <f t="shared" si="5"/>
        <v>19564.246331495469</v>
      </c>
      <c r="J65" s="553">
        <f t="shared" si="6"/>
        <v>39546.645678040652</v>
      </c>
      <c r="K65" s="553">
        <f t="shared" si="7"/>
        <v>53476.549840270389</v>
      </c>
      <c r="L65" s="553">
        <f t="shared" si="8"/>
        <v>72288.16148895782</v>
      </c>
      <c r="M65" s="553">
        <f t="shared" si="9"/>
        <v>134548.08092967267</v>
      </c>
    </row>
    <row r="66" spans="1:13" ht="16" x14ac:dyDescent="0.2">
      <c r="A66" s="660" t="s">
        <v>4</v>
      </c>
      <c r="B66" s="65" t="s">
        <v>28</v>
      </c>
      <c r="C66" s="175" t="s">
        <v>32</v>
      </c>
      <c r="D66" s="285">
        <v>235074</v>
      </c>
      <c r="E66" s="395">
        <v>222558</v>
      </c>
      <c r="F66" s="506"/>
      <c r="G66" s="506"/>
      <c r="H66">
        <v>2009</v>
      </c>
      <c r="I66" s="553">
        <f t="shared" si="5"/>
        <v>20329.201506799523</v>
      </c>
      <c r="J66" s="553">
        <f t="shared" si="6"/>
        <v>40207.812782543318</v>
      </c>
      <c r="K66" s="553">
        <f t="shared" si="7"/>
        <v>54206.221205747541</v>
      </c>
      <c r="L66" s="553">
        <f t="shared" si="8"/>
        <v>73811.753216280937</v>
      </c>
      <c r="M66" s="553">
        <f t="shared" si="9"/>
        <v>135318.07010698118</v>
      </c>
    </row>
    <row r="67" spans="1:13" ht="16" x14ac:dyDescent="0.2">
      <c r="A67" s="661" t="s">
        <v>4</v>
      </c>
      <c r="B67" s="66" t="s">
        <v>29</v>
      </c>
      <c r="C67" s="176" t="s">
        <v>32</v>
      </c>
      <c r="D67" s="286">
        <v>234165</v>
      </c>
      <c r="E67" s="396">
        <v>242653</v>
      </c>
      <c r="F67" s="507"/>
      <c r="G67" s="507"/>
      <c r="H67">
        <v>2010</v>
      </c>
      <c r="I67" s="553">
        <f t="shared" si="5"/>
        <v>21010.612143369508</v>
      </c>
      <c r="J67" s="553">
        <f t="shared" si="6"/>
        <v>42144.873545132701</v>
      </c>
      <c r="K67" s="553">
        <f t="shared" si="7"/>
        <v>57421.32095684245</v>
      </c>
      <c r="L67" s="553">
        <f t="shared" si="8"/>
        <v>77551.557564312956</v>
      </c>
      <c r="M67" s="553">
        <f t="shared" si="9"/>
        <v>137420.55447633655</v>
      </c>
    </row>
    <row r="68" spans="1:13" ht="16" x14ac:dyDescent="0.2">
      <c r="A68" s="662" t="s">
        <v>5</v>
      </c>
      <c r="B68" s="67" t="s">
        <v>8</v>
      </c>
      <c r="C68" s="177" t="s">
        <v>32</v>
      </c>
      <c r="D68" s="287">
        <v>171046</v>
      </c>
      <c r="E68" s="397">
        <v>127911</v>
      </c>
      <c r="F68" s="508"/>
      <c r="G68" s="508"/>
      <c r="H68">
        <v>2011</v>
      </c>
      <c r="I68" s="553">
        <f t="shared" si="5"/>
        <v>21688.875497184781</v>
      </c>
      <c r="J68" s="553">
        <f t="shared" si="6"/>
        <v>41886.107820431454</v>
      </c>
      <c r="K68" s="553">
        <f t="shared" si="7"/>
        <v>58050.766305647456</v>
      </c>
      <c r="L68" s="553">
        <f t="shared" si="8"/>
        <v>79990.136255408448</v>
      </c>
      <c r="M68" s="553">
        <f t="shared" si="9"/>
        <v>140240.34705031043</v>
      </c>
    </row>
    <row r="69" spans="1:13" ht="16" x14ac:dyDescent="0.2">
      <c r="A69" s="663" t="s">
        <v>5</v>
      </c>
      <c r="B69" s="68" t="s">
        <v>9</v>
      </c>
      <c r="C69" s="178" t="s">
        <v>32</v>
      </c>
      <c r="D69" s="288">
        <v>177716</v>
      </c>
      <c r="E69" s="398">
        <v>133007</v>
      </c>
      <c r="F69" s="509"/>
      <c r="G69" s="509"/>
      <c r="H69">
        <v>2012</v>
      </c>
      <c r="I69" s="553">
        <f t="shared" si="5"/>
        <v>23096.583441219907</v>
      </c>
      <c r="J69" s="553">
        <f t="shared" si="6"/>
        <v>44208.452700636481</v>
      </c>
      <c r="K69" s="553">
        <f t="shared" si="7"/>
        <v>59535.464110091147</v>
      </c>
      <c r="L69" s="553">
        <f t="shared" si="8"/>
        <v>81776.235361848012</v>
      </c>
      <c r="M69" s="553">
        <f t="shared" si="9"/>
        <v>143724.3245107361</v>
      </c>
    </row>
    <row r="70" spans="1:13" ht="16" x14ac:dyDescent="0.2">
      <c r="A70" s="664" t="s">
        <v>5</v>
      </c>
      <c r="B70" s="69" t="s">
        <v>10</v>
      </c>
      <c r="C70" s="179" t="s">
        <v>32</v>
      </c>
      <c r="D70" s="289">
        <v>186124</v>
      </c>
      <c r="E70" s="399">
        <v>141954</v>
      </c>
      <c r="F70" s="510"/>
      <c r="G70" s="510"/>
      <c r="H70">
        <v>2013</v>
      </c>
      <c r="I70" s="553">
        <f t="shared" si="5"/>
        <v>22766.334520042972</v>
      </c>
      <c r="J70" s="553">
        <f t="shared" si="6"/>
        <v>44566.432742480996</v>
      </c>
      <c r="K70" s="553">
        <f t="shared" si="7"/>
        <v>61727.206468361146</v>
      </c>
      <c r="L70" s="553">
        <f t="shared" si="8"/>
        <v>84751.08814542761</v>
      </c>
      <c r="M70" s="553">
        <f t="shared" si="9"/>
        <v>150018.9597805879</v>
      </c>
    </row>
    <row r="71" spans="1:13" ht="16" x14ac:dyDescent="0.2">
      <c r="A71" s="665" t="s">
        <v>5</v>
      </c>
      <c r="B71" s="70" t="s">
        <v>11</v>
      </c>
      <c r="C71" s="180" t="s">
        <v>32</v>
      </c>
      <c r="D71" s="290">
        <v>194778</v>
      </c>
      <c r="E71" s="400">
        <v>150479</v>
      </c>
      <c r="F71" s="511"/>
      <c r="G71" s="511"/>
      <c r="H71">
        <v>2014</v>
      </c>
      <c r="I71" s="553">
        <f t="shared" si="5"/>
        <v>23215.109891337259</v>
      </c>
      <c r="J71" s="553">
        <f t="shared" si="6"/>
        <v>45819.530975875219</v>
      </c>
      <c r="K71" s="553">
        <f t="shared" si="7"/>
        <v>62806.805075763928</v>
      </c>
      <c r="L71" s="553">
        <f t="shared" si="8"/>
        <v>87126.111921391916</v>
      </c>
      <c r="M71" s="553">
        <f t="shared" si="9"/>
        <v>152756.79524700428</v>
      </c>
    </row>
    <row r="72" spans="1:13" ht="16" x14ac:dyDescent="0.2">
      <c r="A72" s="666" t="s">
        <v>5</v>
      </c>
      <c r="B72" s="71" t="s">
        <v>12</v>
      </c>
      <c r="C72" s="181" t="s">
        <v>32</v>
      </c>
      <c r="D72" s="291">
        <v>198094</v>
      </c>
      <c r="E72" s="401">
        <v>152643</v>
      </c>
      <c r="F72" s="512"/>
      <c r="G72" s="512"/>
      <c r="H72">
        <v>2015</v>
      </c>
      <c r="I72" s="553">
        <f t="shared" si="5"/>
        <v>22867.446155359798</v>
      </c>
      <c r="J72" s="553">
        <f t="shared" si="6"/>
        <v>47440.607429989839</v>
      </c>
      <c r="K72" s="553">
        <f t="shared" si="7"/>
        <v>67701.141493390649</v>
      </c>
      <c r="L72" s="553">
        <f t="shared" si="8"/>
        <v>89151.200901333621</v>
      </c>
      <c r="M72" s="553">
        <f t="shared" si="9"/>
        <v>158828.96319987101</v>
      </c>
    </row>
    <row r="73" spans="1:13" ht="16" x14ac:dyDescent="0.2">
      <c r="A73" s="667" t="s">
        <v>5</v>
      </c>
      <c r="B73" s="72" t="s">
        <v>13</v>
      </c>
      <c r="C73" s="182" t="s">
        <v>32</v>
      </c>
      <c r="D73" s="292">
        <v>208512</v>
      </c>
      <c r="E73" s="402">
        <v>159714</v>
      </c>
      <c r="F73" s="513"/>
      <c r="G73" s="513"/>
      <c r="H73">
        <v>2016</v>
      </c>
      <c r="I73" s="553">
        <f t="shared" si="5"/>
        <v>23630.255837867411</v>
      </c>
      <c r="J73" s="553">
        <f t="shared" si="6"/>
        <v>50252.816838821367</v>
      </c>
      <c r="K73" s="553">
        <f t="shared" si="7"/>
        <v>67932.254616614911</v>
      </c>
      <c r="L73" s="553">
        <f t="shared" si="8"/>
        <v>88709.429427724594</v>
      </c>
      <c r="M73" s="553">
        <f t="shared" si="9"/>
        <v>152261.53051255771</v>
      </c>
    </row>
    <row r="74" spans="1:13" ht="16" x14ac:dyDescent="0.2">
      <c r="A74" s="668" t="s">
        <v>5</v>
      </c>
      <c r="B74" s="73" t="s">
        <v>14</v>
      </c>
      <c r="C74" s="183" t="s">
        <v>32</v>
      </c>
      <c r="D74" s="293">
        <v>219663</v>
      </c>
      <c r="E74" s="403">
        <v>165687</v>
      </c>
      <c r="F74" s="514"/>
      <c r="G74" s="514"/>
      <c r="H74">
        <v>2017</v>
      </c>
      <c r="I74" s="553">
        <f t="shared" si="5"/>
        <v>24147.762217164636</v>
      </c>
      <c r="J74" s="553">
        <f t="shared" si="6"/>
        <v>51125.6234163181</v>
      </c>
      <c r="K74" s="553">
        <f t="shared" si="7"/>
        <v>69252.817964762216</v>
      </c>
      <c r="L74" s="553">
        <f t="shared" si="8"/>
        <v>92290.880851270369</v>
      </c>
      <c r="M74" s="553">
        <f t="shared" si="9"/>
        <v>158662.40339997516</v>
      </c>
    </row>
    <row r="75" spans="1:13" ht="16" x14ac:dyDescent="0.2">
      <c r="A75" s="669" t="s">
        <v>5</v>
      </c>
      <c r="B75" s="74" t="s">
        <v>15</v>
      </c>
      <c r="C75" s="184" t="s">
        <v>32</v>
      </c>
      <c r="D75" s="294">
        <v>227758</v>
      </c>
      <c r="E75" s="404">
        <v>173866</v>
      </c>
      <c r="F75" s="515"/>
      <c r="G75" s="515"/>
      <c r="H75">
        <v>2018</v>
      </c>
      <c r="I75" s="553">
        <f t="shared" si="5"/>
        <v>24967.016147746799</v>
      </c>
      <c r="J75" s="553">
        <f t="shared" si="6"/>
        <v>51031.103903045732</v>
      </c>
      <c r="K75" s="553">
        <f t="shared" si="7"/>
        <v>69600.491237767943</v>
      </c>
      <c r="L75" s="553">
        <f t="shared" si="8"/>
        <v>93378.850180303038</v>
      </c>
      <c r="M75" s="553">
        <f t="shared" si="9"/>
        <v>160257.19582500044</v>
      </c>
    </row>
    <row r="76" spans="1:13" ht="16" x14ac:dyDescent="0.2">
      <c r="A76" s="670" t="s">
        <v>5</v>
      </c>
      <c r="B76" s="75" t="s">
        <v>16</v>
      </c>
      <c r="C76" s="185" t="s">
        <v>32</v>
      </c>
      <c r="D76" s="295">
        <v>239665</v>
      </c>
      <c r="E76" s="405">
        <v>182443</v>
      </c>
      <c r="F76" s="516"/>
      <c r="G76" s="516"/>
      <c r="H76">
        <v>2019</v>
      </c>
      <c r="I76" s="553">
        <f t="shared" si="5"/>
        <v>25538.374385902014</v>
      </c>
      <c r="J76" s="553">
        <f t="shared" si="6"/>
        <v>51806.553313051059</v>
      </c>
      <c r="K76" s="553">
        <f t="shared" si="7"/>
        <v>70989.440162088053</v>
      </c>
      <c r="L76" s="553">
        <f t="shared" si="8"/>
        <v>95151.137799728618</v>
      </c>
      <c r="M76" s="553">
        <f t="shared" si="9"/>
        <v>164912.22250362512</v>
      </c>
    </row>
    <row r="77" spans="1:13" ht="16" x14ac:dyDescent="0.2">
      <c r="A77" s="671" t="s">
        <v>5</v>
      </c>
      <c r="B77" s="76" t="s">
        <v>17</v>
      </c>
      <c r="C77" s="186" t="s">
        <v>32</v>
      </c>
      <c r="D77" s="296">
        <v>252161</v>
      </c>
      <c r="E77" s="406">
        <v>195169</v>
      </c>
      <c r="F77" s="517"/>
      <c r="G77" s="517"/>
      <c r="H77">
        <v>2020</v>
      </c>
      <c r="I77" s="553">
        <f t="shared" si="5"/>
        <v>32275.815761856291</v>
      </c>
      <c r="J77" s="553">
        <f t="shared" si="6"/>
        <v>59045.905556084952</v>
      </c>
      <c r="K77" s="553">
        <f t="shared" si="7"/>
        <v>76564.899032766785</v>
      </c>
      <c r="L77" s="553">
        <f t="shared" si="8"/>
        <v>103198.67880246595</v>
      </c>
      <c r="M77" s="553">
        <f t="shared" si="9"/>
        <v>166671.82036358173</v>
      </c>
    </row>
    <row r="78" spans="1:13" ht="16" x14ac:dyDescent="0.2">
      <c r="A78" s="672" t="s">
        <v>5</v>
      </c>
      <c r="B78" s="77" t="s">
        <v>18</v>
      </c>
      <c r="C78" s="187" t="s">
        <v>32</v>
      </c>
      <c r="D78" s="297">
        <v>255247</v>
      </c>
      <c r="E78" s="407">
        <v>201645</v>
      </c>
      <c r="F78" s="518"/>
      <c r="G78" s="518"/>
    </row>
    <row r="79" spans="1:13" ht="16" x14ac:dyDescent="0.2">
      <c r="A79" s="673" t="s">
        <v>5</v>
      </c>
      <c r="B79" s="78" t="s">
        <v>19</v>
      </c>
      <c r="C79" s="188" t="s">
        <v>32</v>
      </c>
      <c r="D79" s="298">
        <v>266718</v>
      </c>
      <c r="E79" s="408">
        <v>214499</v>
      </c>
      <c r="F79" s="519"/>
      <c r="G79" s="519"/>
    </row>
    <row r="80" spans="1:13" ht="16" x14ac:dyDescent="0.2">
      <c r="A80" s="674" t="s">
        <v>5</v>
      </c>
      <c r="B80" s="79" t="s">
        <v>20</v>
      </c>
      <c r="C80" s="189" t="s">
        <v>32</v>
      </c>
      <c r="D80" s="299">
        <v>285499</v>
      </c>
      <c r="E80" s="409">
        <v>225120</v>
      </c>
      <c r="F80" s="520"/>
      <c r="G80" s="520"/>
    </row>
    <row r="81" spans="1:7" ht="16" x14ac:dyDescent="0.2">
      <c r="A81" s="675" t="s">
        <v>5</v>
      </c>
      <c r="B81" s="80" t="s">
        <v>21</v>
      </c>
      <c r="C81" s="190" t="s">
        <v>32</v>
      </c>
      <c r="D81" s="300">
        <v>298774</v>
      </c>
      <c r="E81" s="410">
        <v>232385</v>
      </c>
      <c r="F81" s="521"/>
      <c r="G81" s="521"/>
    </row>
    <row r="82" spans="1:7" ht="16" x14ac:dyDescent="0.2">
      <c r="A82" s="676" t="s">
        <v>5</v>
      </c>
      <c r="B82" s="81" t="s">
        <v>22</v>
      </c>
      <c r="C82" s="191" t="s">
        <v>32</v>
      </c>
      <c r="D82" s="301">
        <v>312578</v>
      </c>
      <c r="E82" s="411">
        <v>243841</v>
      </c>
      <c r="F82" s="522"/>
      <c r="G82" s="522"/>
    </row>
    <row r="83" spans="1:7" ht="16" x14ac:dyDescent="0.2">
      <c r="A83" s="677" t="s">
        <v>5</v>
      </c>
      <c r="B83" s="82" t="s">
        <v>23</v>
      </c>
      <c r="C83" s="192" t="s">
        <v>32</v>
      </c>
      <c r="D83" s="302">
        <v>323049</v>
      </c>
      <c r="E83" s="412">
        <v>253522</v>
      </c>
      <c r="F83" s="523"/>
      <c r="G83" s="523"/>
    </row>
    <row r="84" spans="1:7" ht="16" x14ac:dyDescent="0.2">
      <c r="A84" s="678" t="s">
        <v>5</v>
      </c>
      <c r="B84" s="83" t="s">
        <v>24</v>
      </c>
      <c r="C84" s="193" t="s">
        <v>32</v>
      </c>
      <c r="D84" s="303">
        <v>328131</v>
      </c>
      <c r="E84" s="413">
        <v>260965</v>
      </c>
      <c r="F84" s="524"/>
      <c r="G84" s="524"/>
    </row>
    <row r="85" spans="1:7" ht="16" x14ac:dyDescent="0.2">
      <c r="A85" s="679" t="s">
        <v>5</v>
      </c>
      <c r="B85" s="84" t="s">
        <v>25</v>
      </c>
      <c r="C85" s="194" t="s">
        <v>32</v>
      </c>
      <c r="D85" s="304">
        <v>330890</v>
      </c>
      <c r="E85" s="414">
        <v>262514</v>
      </c>
      <c r="F85" s="525"/>
      <c r="G85" s="525"/>
    </row>
    <row r="86" spans="1:7" ht="16" x14ac:dyDescent="0.2">
      <c r="A86" s="680" t="s">
        <v>5</v>
      </c>
      <c r="B86" s="85" t="s">
        <v>26</v>
      </c>
      <c r="C86" s="195" t="s">
        <v>32</v>
      </c>
      <c r="D86" s="305">
        <v>347321</v>
      </c>
      <c r="E86" s="415">
        <v>277613</v>
      </c>
      <c r="F86" s="526"/>
      <c r="G86" s="526"/>
    </row>
    <row r="87" spans="1:7" ht="16" x14ac:dyDescent="0.2">
      <c r="A87" s="681" t="s">
        <v>5</v>
      </c>
      <c r="B87" s="86" t="s">
        <v>27</v>
      </c>
      <c r="C87" s="196" t="s">
        <v>32</v>
      </c>
      <c r="D87" s="306">
        <v>361448</v>
      </c>
      <c r="E87" s="416">
        <v>286502</v>
      </c>
      <c r="F87" s="527"/>
      <c r="G87" s="527"/>
    </row>
    <row r="88" spans="1:7" ht="16" x14ac:dyDescent="0.2">
      <c r="A88" s="682" t="s">
        <v>5</v>
      </c>
      <c r="B88" s="87" t="s">
        <v>28</v>
      </c>
      <c r="C88" s="197" t="s">
        <v>32</v>
      </c>
      <c r="D88" s="307">
        <v>378041</v>
      </c>
      <c r="E88" s="417">
        <v>298307</v>
      </c>
      <c r="F88" s="528"/>
      <c r="G88" s="528"/>
    </row>
    <row r="89" spans="1:7" ht="16" x14ac:dyDescent="0.2">
      <c r="A89" s="683" t="s">
        <v>5</v>
      </c>
      <c r="B89" s="88" t="s">
        <v>29</v>
      </c>
      <c r="C89" s="198" t="s">
        <v>32</v>
      </c>
      <c r="D89" s="308">
        <v>376335</v>
      </c>
      <c r="E89" s="418">
        <v>327062</v>
      </c>
      <c r="F89" s="529"/>
      <c r="G89" s="529"/>
    </row>
    <row r="90" spans="1:7" ht="16" x14ac:dyDescent="0.2">
      <c r="A90" s="684" t="s">
        <v>6</v>
      </c>
      <c r="B90" s="89" t="s">
        <v>8</v>
      </c>
      <c r="C90" s="199" t="s">
        <v>32</v>
      </c>
      <c r="D90" s="309">
        <v>319474</v>
      </c>
      <c r="E90" s="419">
        <v>219247</v>
      </c>
      <c r="F90" s="530"/>
      <c r="G90" s="530"/>
    </row>
    <row r="91" spans="1:7" ht="16" x14ac:dyDescent="0.2">
      <c r="A91" s="685" t="s">
        <v>6</v>
      </c>
      <c r="B91" s="90" t="s">
        <v>9</v>
      </c>
      <c r="C91" s="200" t="s">
        <v>32</v>
      </c>
      <c r="D91" s="310">
        <v>351538</v>
      </c>
      <c r="E91" s="420">
        <v>240416</v>
      </c>
      <c r="F91" s="531"/>
      <c r="G91" s="531"/>
    </row>
    <row r="92" spans="1:7" ht="16" x14ac:dyDescent="0.2">
      <c r="A92" s="686" t="s">
        <v>6</v>
      </c>
      <c r="B92" s="91" t="s">
        <v>10</v>
      </c>
      <c r="C92" s="201" t="s">
        <v>32</v>
      </c>
      <c r="D92" s="311">
        <v>361843</v>
      </c>
      <c r="E92" s="421">
        <v>250667</v>
      </c>
      <c r="F92" s="532"/>
      <c r="G92" s="532"/>
    </row>
    <row r="93" spans="1:7" ht="16" x14ac:dyDescent="0.2">
      <c r="A93" s="687" t="s">
        <v>6</v>
      </c>
      <c r="B93" s="92" t="s">
        <v>11</v>
      </c>
      <c r="C93" s="202" t="s">
        <v>32</v>
      </c>
      <c r="D93" s="312">
        <v>375323</v>
      </c>
      <c r="E93" s="422">
        <v>263156</v>
      </c>
      <c r="F93" s="533"/>
      <c r="G93" s="533"/>
    </row>
    <row r="94" spans="1:7" ht="16" x14ac:dyDescent="0.2">
      <c r="A94" s="688" t="s">
        <v>6</v>
      </c>
      <c r="B94" s="93" t="s">
        <v>12</v>
      </c>
      <c r="C94" s="203" t="s">
        <v>32</v>
      </c>
      <c r="D94" s="313">
        <v>389365</v>
      </c>
      <c r="E94" s="423">
        <v>273163</v>
      </c>
      <c r="F94" s="534"/>
      <c r="G94" s="534"/>
    </row>
    <row r="95" spans="1:7" ht="16" x14ac:dyDescent="0.2">
      <c r="A95" s="689" t="s">
        <v>6</v>
      </c>
      <c r="B95" s="94" t="s">
        <v>13</v>
      </c>
      <c r="C95" s="204" t="s">
        <v>32</v>
      </c>
      <c r="D95" s="314">
        <v>417242</v>
      </c>
      <c r="E95" s="424">
        <v>290544</v>
      </c>
      <c r="F95" s="535"/>
      <c r="G95" s="535"/>
    </row>
    <row r="96" spans="1:7" ht="16" x14ac:dyDescent="0.2">
      <c r="A96" s="690" t="s">
        <v>6</v>
      </c>
      <c r="B96" s="95" t="s">
        <v>14</v>
      </c>
      <c r="C96" s="205" t="s">
        <v>32</v>
      </c>
      <c r="D96" s="315">
        <v>441839</v>
      </c>
      <c r="E96" s="425">
        <v>303269</v>
      </c>
      <c r="F96" s="536"/>
      <c r="G96" s="536"/>
    </row>
    <row r="97" spans="1:7" ht="16" x14ac:dyDescent="0.2">
      <c r="A97" s="691" t="s">
        <v>6</v>
      </c>
      <c r="B97" s="96" t="s">
        <v>15</v>
      </c>
      <c r="C97" s="206" t="s">
        <v>32</v>
      </c>
      <c r="D97" s="316">
        <v>471125</v>
      </c>
      <c r="E97" s="426">
        <v>327776</v>
      </c>
      <c r="F97" s="537"/>
      <c r="G97" s="537"/>
    </row>
    <row r="98" spans="1:7" ht="16" x14ac:dyDescent="0.2">
      <c r="A98" s="692" t="s">
        <v>6</v>
      </c>
      <c r="B98" s="97" t="s">
        <v>16</v>
      </c>
      <c r="C98" s="207" t="s">
        <v>32</v>
      </c>
      <c r="D98" s="317">
        <v>502742</v>
      </c>
      <c r="E98" s="427">
        <v>344921</v>
      </c>
      <c r="F98" s="538"/>
      <c r="G98" s="538"/>
    </row>
    <row r="99" spans="1:7" ht="16" x14ac:dyDescent="0.2">
      <c r="A99" s="693" t="s">
        <v>6</v>
      </c>
      <c r="B99" s="98" t="s">
        <v>17</v>
      </c>
      <c r="C99" s="208" t="s">
        <v>32</v>
      </c>
      <c r="D99" s="318">
        <v>519037</v>
      </c>
      <c r="E99" s="428">
        <v>363263</v>
      </c>
      <c r="F99" s="539"/>
      <c r="G99" s="539"/>
    </row>
    <row r="100" spans="1:7" ht="16" x14ac:dyDescent="0.2">
      <c r="A100" s="694" t="s">
        <v>6</v>
      </c>
      <c r="B100" s="99" t="s">
        <v>18</v>
      </c>
      <c r="C100" s="209" t="s">
        <v>32</v>
      </c>
      <c r="D100" s="319">
        <v>515075</v>
      </c>
      <c r="E100" s="429">
        <v>369673</v>
      </c>
      <c r="F100" s="540"/>
      <c r="G100" s="540"/>
    </row>
    <row r="101" spans="1:7" ht="16" x14ac:dyDescent="0.2">
      <c r="A101" s="695" t="s">
        <v>6</v>
      </c>
      <c r="B101" s="100" t="s">
        <v>19</v>
      </c>
      <c r="C101" s="210" t="s">
        <v>32</v>
      </c>
      <c r="D101" s="320">
        <v>523156</v>
      </c>
      <c r="E101" s="430">
        <v>380090</v>
      </c>
      <c r="F101" s="541"/>
      <c r="G101" s="541"/>
    </row>
    <row r="102" spans="1:7" ht="16" x14ac:dyDescent="0.2">
      <c r="A102" s="696" t="s">
        <v>6</v>
      </c>
      <c r="B102" s="101" t="s">
        <v>20</v>
      </c>
      <c r="C102" s="211" t="s">
        <v>32</v>
      </c>
      <c r="D102" s="321">
        <v>552542</v>
      </c>
      <c r="E102" s="431">
        <v>394685</v>
      </c>
      <c r="F102" s="542"/>
      <c r="G102" s="542"/>
    </row>
    <row r="103" spans="1:7" ht="16" x14ac:dyDescent="0.2">
      <c r="A103" s="697" t="s">
        <v>6</v>
      </c>
      <c r="B103" s="102" t="s">
        <v>21</v>
      </c>
      <c r="C103" s="212" t="s">
        <v>32</v>
      </c>
      <c r="D103" s="322">
        <v>569499</v>
      </c>
      <c r="E103" s="432">
        <v>408424</v>
      </c>
      <c r="F103" s="543"/>
      <c r="G103" s="543"/>
    </row>
    <row r="104" spans="1:7" ht="16" x14ac:dyDescent="0.2">
      <c r="A104" s="698" t="s">
        <v>6</v>
      </c>
      <c r="B104" s="103" t="s">
        <v>22</v>
      </c>
      <c r="C104" s="213" t="s">
        <v>32</v>
      </c>
      <c r="D104" s="323">
        <v>596618</v>
      </c>
      <c r="E104" s="433">
        <v>431626</v>
      </c>
      <c r="F104" s="544"/>
      <c r="G104" s="544"/>
    </row>
    <row r="105" spans="1:7" ht="16" x14ac:dyDescent="0.2">
      <c r="A105" s="699" t="s">
        <v>6</v>
      </c>
      <c r="B105" s="104" t="s">
        <v>23</v>
      </c>
      <c r="C105" s="214" t="s">
        <v>32</v>
      </c>
      <c r="D105" s="324">
        <v>618483</v>
      </c>
      <c r="E105" s="434">
        <v>444496</v>
      </c>
      <c r="F105" s="545"/>
      <c r="G105" s="545"/>
    </row>
    <row r="106" spans="1:7" ht="16" x14ac:dyDescent="0.2">
      <c r="A106" s="700" t="s">
        <v>6</v>
      </c>
      <c r="B106" s="105" t="s">
        <v>24</v>
      </c>
      <c r="C106" s="215" t="s">
        <v>32</v>
      </c>
      <c r="D106" s="325">
        <v>645588</v>
      </c>
      <c r="E106" s="435">
        <v>464927</v>
      </c>
      <c r="F106" s="546"/>
      <c r="G106" s="546"/>
    </row>
    <row r="107" spans="1:7" ht="16" x14ac:dyDescent="0.2">
      <c r="A107" s="701" t="s">
        <v>6</v>
      </c>
      <c r="B107" s="106" t="s">
        <v>25</v>
      </c>
      <c r="C107" s="216" t="s">
        <v>32</v>
      </c>
      <c r="D107" s="326">
        <v>627491</v>
      </c>
      <c r="E107" s="436">
        <v>450581</v>
      </c>
      <c r="F107" s="547"/>
      <c r="G107" s="547"/>
    </row>
    <row r="108" spans="1:7" ht="16" x14ac:dyDescent="0.2">
      <c r="A108" s="702" t="s">
        <v>6</v>
      </c>
      <c r="B108" s="107" t="s">
        <v>26</v>
      </c>
      <c r="C108" s="217" t="s">
        <v>32</v>
      </c>
      <c r="D108" s="327">
        <v>664159</v>
      </c>
      <c r="E108" s="437">
        <v>477260</v>
      </c>
      <c r="F108" s="548"/>
      <c r="G108" s="548"/>
    </row>
    <row r="109" spans="1:7" ht="16" x14ac:dyDescent="0.2">
      <c r="A109" s="703" t="s">
        <v>6</v>
      </c>
      <c r="B109" s="108" t="s">
        <v>27</v>
      </c>
      <c r="C109" s="218" t="s">
        <v>32</v>
      </c>
      <c r="D109" s="328">
        <v>690798</v>
      </c>
      <c r="E109" s="438">
        <v>491696</v>
      </c>
      <c r="F109" s="549"/>
      <c r="G109" s="549"/>
    </row>
    <row r="110" spans="1:7" ht="16" x14ac:dyDescent="0.2">
      <c r="A110" s="704" t="s">
        <v>6</v>
      </c>
      <c r="B110" s="109" t="s">
        <v>28</v>
      </c>
      <c r="C110" s="219" t="s">
        <v>32</v>
      </c>
      <c r="D110" s="329">
        <v>723581</v>
      </c>
      <c r="E110" s="439">
        <v>517014</v>
      </c>
      <c r="F110" s="550"/>
      <c r="G110" s="550"/>
    </row>
    <row r="111" spans="1:7" ht="16" x14ac:dyDescent="0.2">
      <c r="A111" s="705" t="s">
        <v>6</v>
      </c>
      <c r="B111" s="110" t="s">
        <v>29</v>
      </c>
      <c r="C111" s="220" t="s">
        <v>32</v>
      </c>
      <c r="D111" s="330">
        <v>714448</v>
      </c>
      <c r="E111" s="440">
        <v>528224</v>
      </c>
      <c r="F111" s="551"/>
      <c r="G111" s="551"/>
    </row>
  </sheetData>
  <mergeCells count="5">
    <mergeCell ref="A2:A23"/>
    <mergeCell ref="A24:A45"/>
    <mergeCell ref="A46:A67"/>
    <mergeCell ref="A68:A89"/>
    <mergeCell ref="A90:A111"/>
  </mergeCells>
  <pageMargins left="0.7" right="0.7" top="0.75" bottom="0.75" header="0.3" footer="0.3"/>
  <pageSetup orientation="portrait" horizontalDpi="0" verticalDpi="0"/>
  <ignoredErrors>
    <ignoredError sqref="B2:B11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CA742-EF8B-0043-A328-A294C86718C0}">
  <dimension ref="A1:S50"/>
  <sheetViews>
    <sheetView zoomScale="110" zoomScaleNormal="155" workbookViewId="0">
      <selection activeCell="J37" sqref="J37"/>
    </sheetView>
  </sheetViews>
  <sheetFormatPr baseColWidth="10" defaultRowHeight="15" x14ac:dyDescent="0.2"/>
  <cols>
    <col min="1" max="1" width="37.33203125" bestFit="1" customWidth="1"/>
    <col min="2" max="2" width="11" bestFit="1" customWidth="1"/>
    <col min="3" max="3" width="13.5" bestFit="1" customWidth="1"/>
    <col min="4" max="4" width="11.83203125" bestFit="1" customWidth="1"/>
    <col min="5" max="5" width="13" bestFit="1" customWidth="1"/>
    <col min="6" max="6" width="13.5" bestFit="1" customWidth="1"/>
    <col min="8" max="8" width="10.1640625" bestFit="1" customWidth="1"/>
    <col min="9" max="9" width="11" bestFit="1" customWidth="1"/>
    <col min="10" max="10" width="13.33203125" bestFit="1" customWidth="1"/>
    <col min="11" max="11" width="12.6640625" bestFit="1" customWidth="1"/>
    <col min="12" max="12" width="8.5" bestFit="1" customWidth="1"/>
    <col min="14" max="14" width="8.5" bestFit="1" customWidth="1"/>
    <col min="15" max="15" width="9.5" bestFit="1" customWidth="1"/>
    <col min="16" max="16" width="9.1640625" bestFit="1" customWidth="1"/>
    <col min="18" max="18" width="9.1640625" bestFit="1" customWidth="1"/>
  </cols>
  <sheetData>
    <row r="1" spans="1:19" ht="16" x14ac:dyDescent="0.2">
      <c r="I1" s="707" t="s">
        <v>77</v>
      </c>
      <c r="J1" s="707" t="s">
        <v>77</v>
      </c>
      <c r="K1" s="706" t="s">
        <v>79</v>
      </c>
      <c r="L1" s="706" t="s">
        <v>79</v>
      </c>
      <c r="M1" s="706" t="s">
        <v>80</v>
      </c>
      <c r="N1" s="706" t="s">
        <v>80</v>
      </c>
      <c r="O1" s="706" t="s">
        <v>81</v>
      </c>
      <c r="P1" s="706" t="s">
        <v>81</v>
      </c>
      <c r="Q1" s="706" t="s">
        <v>82</v>
      </c>
      <c r="R1" s="706" t="s">
        <v>82</v>
      </c>
      <c r="S1" s="556" t="s">
        <v>83</v>
      </c>
    </row>
    <row r="2" spans="1:19" ht="32" x14ac:dyDescent="0.2">
      <c r="A2" t="s">
        <v>52</v>
      </c>
      <c r="I2" s="707" t="s">
        <v>30</v>
      </c>
      <c r="J2" s="707" t="s">
        <v>30</v>
      </c>
      <c r="K2" s="556" t="s">
        <v>86</v>
      </c>
      <c r="L2" s="556" t="s">
        <v>87</v>
      </c>
      <c r="M2" s="556" t="s">
        <v>86</v>
      </c>
      <c r="N2" s="556" t="s">
        <v>87</v>
      </c>
      <c r="O2" s="556" t="s">
        <v>86</v>
      </c>
      <c r="P2" s="556" t="s">
        <v>87</v>
      </c>
      <c r="Q2" s="556" t="s">
        <v>86</v>
      </c>
      <c r="R2" s="556" t="s">
        <v>87</v>
      </c>
      <c r="S2" s="556" t="s">
        <v>86</v>
      </c>
    </row>
    <row r="3" spans="1:19" ht="48" x14ac:dyDescent="0.2">
      <c r="A3" t="s">
        <v>44</v>
      </c>
      <c r="B3" t="s">
        <v>50</v>
      </c>
      <c r="C3" t="s">
        <v>48</v>
      </c>
      <c r="D3" t="s">
        <v>47</v>
      </c>
      <c r="E3" t="s">
        <v>45</v>
      </c>
      <c r="F3" t="s">
        <v>46</v>
      </c>
      <c r="I3" s="707" t="s">
        <v>31</v>
      </c>
      <c r="J3" s="707" t="s">
        <v>31</v>
      </c>
      <c r="K3" s="556" t="s">
        <v>88</v>
      </c>
      <c r="L3" s="556" t="s">
        <v>34</v>
      </c>
      <c r="M3" s="556" t="s">
        <v>88</v>
      </c>
      <c r="N3" s="556" t="s">
        <v>34</v>
      </c>
      <c r="O3" s="556" t="s">
        <v>88</v>
      </c>
      <c r="P3" s="556" t="s">
        <v>34</v>
      </c>
      <c r="Q3" s="556" t="s">
        <v>88</v>
      </c>
      <c r="R3" s="556" t="s">
        <v>34</v>
      </c>
      <c r="S3" s="556" t="s">
        <v>88</v>
      </c>
    </row>
    <row r="4" spans="1:19" ht="16" x14ac:dyDescent="0.2">
      <c r="A4">
        <v>2000</v>
      </c>
      <c r="B4" s="553">
        <v>9610.5151074904497</v>
      </c>
      <c r="C4" s="553">
        <v>26767.193549284999</v>
      </c>
      <c r="D4" s="553">
        <v>47000.230987947085</v>
      </c>
      <c r="E4" s="553">
        <v>73831.392092900365</v>
      </c>
      <c r="F4" s="553">
        <v>146045.03766432963</v>
      </c>
      <c r="I4" s="559" t="s">
        <v>9</v>
      </c>
      <c r="J4" s="560" t="s">
        <v>32</v>
      </c>
      <c r="K4" s="561">
        <v>17</v>
      </c>
      <c r="L4" s="561">
        <v>30004</v>
      </c>
      <c r="M4" s="561">
        <v>25</v>
      </c>
      <c r="N4" s="561">
        <v>60009</v>
      </c>
      <c r="O4" s="561">
        <v>29</v>
      </c>
      <c r="P4" s="562" t="s">
        <v>32</v>
      </c>
      <c r="Q4" s="562" t="s">
        <v>32</v>
      </c>
      <c r="R4" s="562" t="s">
        <v>32</v>
      </c>
      <c r="S4" s="562" t="s">
        <v>32</v>
      </c>
    </row>
    <row r="5" spans="1:19" ht="16" x14ac:dyDescent="0.2">
      <c r="A5">
        <v>2001</v>
      </c>
      <c r="B5" s="553">
        <v>9189.0190609892052</v>
      </c>
      <c r="C5" s="553">
        <v>27740.142215480249</v>
      </c>
      <c r="D5" s="553">
        <v>48668.307163757963</v>
      </c>
      <c r="E5" s="553">
        <v>75979.399623785139</v>
      </c>
      <c r="F5" s="553">
        <v>147711.27795485422</v>
      </c>
      <c r="I5" s="559" t="s">
        <v>10</v>
      </c>
      <c r="J5" s="560" t="s">
        <v>32</v>
      </c>
      <c r="K5" s="561">
        <v>16</v>
      </c>
      <c r="L5" s="561">
        <v>30754</v>
      </c>
      <c r="M5" s="561">
        <v>22</v>
      </c>
      <c r="N5" s="561">
        <v>61509</v>
      </c>
      <c r="O5" s="561">
        <v>26</v>
      </c>
      <c r="P5" s="561">
        <v>100000</v>
      </c>
      <c r="Q5" s="561">
        <v>29</v>
      </c>
      <c r="R5" s="562" t="s">
        <v>32</v>
      </c>
      <c r="S5" s="562" t="s">
        <v>32</v>
      </c>
    </row>
    <row r="6" spans="1:19" ht="16" x14ac:dyDescent="0.2">
      <c r="A6">
        <v>2002</v>
      </c>
      <c r="B6" s="553">
        <v>9338.2835031434661</v>
      </c>
      <c r="C6" s="553">
        <v>27633.934138071123</v>
      </c>
      <c r="D6" s="553">
        <v>47688.136209525641</v>
      </c>
      <c r="E6" s="553">
        <v>78346.461602076495</v>
      </c>
      <c r="F6" s="553">
        <v>150967.91736169462</v>
      </c>
      <c r="I6" s="559" t="s">
        <v>11</v>
      </c>
      <c r="J6" s="560" t="s">
        <v>32</v>
      </c>
      <c r="K6" s="561">
        <v>16</v>
      </c>
      <c r="L6" s="561">
        <v>31677</v>
      </c>
      <c r="M6" s="561">
        <v>22</v>
      </c>
      <c r="N6" s="561">
        <v>63354</v>
      </c>
      <c r="O6" s="561">
        <v>26</v>
      </c>
      <c r="P6" s="561">
        <v>103000</v>
      </c>
      <c r="Q6" s="561">
        <v>29</v>
      </c>
      <c r="R6" s="562" t="s">
        <v>32</v>
      </c>
      <c r="S6" s="562" t="s">
        <v>32</v>
      </c>
    </row>
    <row r="7" spans="1:19" ht="16" x14ac:dyDescent="0.2">
      <c r="A7">
        <v>2003</v>
      </c>
      <c r="B7" s="553">
        <v>9573.87687392919</v>
      </c>
      <c r="C7" s="553">
        <v>27261.774287540451</v>
      </c>
      <c r="D7" s="553">
        <v>50266.309468763451</v>
      </c>
      <c r="E7" s="553">
        <v>78690.793414719796</v>
      </c>
      <c r="F7" s="553">
        <v>154671.22062214086</v>
      </c>
      <c r="I7" s="559" t="s">
        <v>12</v>
      </c>
      <c r="J7" s="560" t="s">
        <v>32</v>
      </c>
      <c r="K7" s="561">
        <v>16</v>
      </c>
      <c r="L7" s="561">
        <v>32183</v>
      </c>
      <c r="M7" s="561">
        <v>22</v>
      </c>
      <c r="N7" s="561">
        <v>64368</v>
      </c>
      <c r="O7" s="561">
        <v>26</v>
      </c>
      <c r="P7" s="561">
        <v>104648</v>
      </c>
      <c r="Q7" s="561">
        <v>29</v>
      </c>
      <c r="R7" s="562" t="s">
        <v>32</v>
      </c>
      <c r="S7" s="562" t="s">
        <v>32</v>
      </c>
    </row>
    <row r="8" spans="1:19" ht="16" x14ac:dyDescent="0.2">
      <c r="A8">
        <v>2004</v>
      </c>
      <c r="B8" s="553">
        <v>9827.7498536300918</v>
      </c>
      <c r="C8" s="553">
        <v>27751.118544780784</v>
      </c>
      <c r="D8" s="553">
        <v>50891.289243120314</v>
      </c>
      <c r="E8" s="553">
        <v>81713.237919187319</v>
      </c>
      <c r="F8" s="553">
        <v>163511.90730450794</v>
      </c>
      <c r="I8" s="559" t="s">
        <v>13</v>
      </c>
      <c r="J8" s="560" t="s">
        <v>32</v>
      </c>
      <c r="K8" s="561">
        <v>16</v>
      </c>
      <c r="L8" s="561">
        <v>35000</v>
      </c>
      <c r="M8" s="561">
        <v>22</v>
      </c>
      <c r="N8" s="561">
        <v>70000</v>
      </c>
      <c r="O8" s="561">
        <v>26</v>
      </c>
      <c r="P8" s="561">
        <v>113804</v>
      </c>
      <c r="Q8" s="561">
        <v>29</v>
      </c>
      <c r="R8" s="562" t="s">
        <v>32</v>
      </c>
      <c r="S8" s="562" t="s">
        <v>32</v>
      </c>
    </row>
    <row r="9" spans="1:19" ht="16" x14ac:dyDescent="0.2">
      <c r="A9">
        <v>2005</v>
      </c>
      <c r="B9" s="553">
        <v>9745.9805281672707</v>
      </c>
      <c r="C9" s="553">
        <v>28945.306693752169</v>
      </c>
      <c r="D9" s="553">
        <v>52826.424476363332</v>
      </c>
      <c r="E9" s="553">
        <v>85027.887419133447</v>
      </c>
      <c r="F9" s="553">
        <v>171028.51526830875</v>
      </c>
      <c r="I9" s="559" t="s">
        <v>14</v>
      </c>
      <c r="J9" s="560" t="s">
        <v>32</v>
      </c>
      <c r="K9" s="561">
        <v>15</v>
      </c>
      <c r="L9" s="561">
        <v>35595</v>
      </c>
      <c r="M9" s="561">
        <v>22</v>
      </c>
      <c r="N9" s="561">
        <v>71190</v>
      </c>
      <c r="O9" s="561">
        <v>26</v>
      </c>
      <c r="P9" s="561">
        <v>115739</v>
      </c>
      <c r="Q9" s="561">
        <v>29</v>
      </c>
      <c r="R9" s="562" t="s">
        <v>32</v>
      </c>
      <c r="S9" s="562" t="s">
        <v>32</v>
      </c>
    </row>
    <row r="10" spans="1:19" ht="16" x14ac:dyDescent="0.2">
      <c r="A10">
        <v>2006</v>
      </c>
      <c r="B10" s="553">
        <v>10768.45008947001</v>
      </c>
      <c r="C10" s="553">
        <v>31044.376361603823</v>
      </c>
      <c r="D10" s="553">
        <v>55063.905217530315</v>
      </c>
      <c r="E10" s="553">
        <v>86897.665806559424</v>
      </c>
      <c r="F10" s="553">
        <v>179750.71261213793</v>
      </c>
      <c r="I10" s="559" t="s">
        <v>15</v>
      </c>
      <c r="J10" s="560" t="s">
        <v>32</v>
      </c>
      <c r="K10" s="561">
        <v>15.25</v>
      </c>
      <c r="L10" s="561">
        <v>36378</v>
      </c>
      <c r="M10" s="561">
        <v>22</v>
      </c>
      <c r="N10" s="561">
        <v>72756</v>
      </c>
      <c r="O10" s="561">
        <v>26</v>
      </c>
      <c r="P10" s="561">
        <v>118285</v>
      </c>
      <c r="Q10" s="561">
        <v>29</v>
      </c>
      <c r="R10" s="562" t="s">
        <v>32</v>
      </c>
      <c r="S10" s="562" t="s">
        <v>32</v>
      </c>
    </row>
    <row r="11" spans="1:19" ht="16" x14ac:dyDescent="0.2">
      <c r="A11">
        <v>2007</v>
      </c>
      <c r="B11" s="553">
        <v>11714.903730927444</v>
      </c>
      <c r="C11" s="553">
        <v>33473.022170115873</v>
      </c>
      <c r="D11" s="553">
        <v>56908.464556560059</v>
      </c>
      <c r="E11" s="553">
        <v>90173.797093248126</v>
      </c>
      <c r="F11" s="553">
        <v>189156.34363905349</v>
      </c>
      <c r="I11" s="559" t="s">
        <v>16</v>
      </c>
      <c r="J11" s="560" t="s">
        <v>32</v>
      </c>
      <c r="K11" s="561">
        <v>15</v>
      </c>
      <c r="L11" s="561">
        <v>37178</v>
      </c>
      <c r="M11" s="561">
        <v>22</v>
      </c>
      <c r="N11" s="561">
        <v>74357</v>
      </c>
      <c r="O11" s="561">
        <v>26</v>
      </c>
      <c r="P11" s="561">
        <v>120887</v>
      </c>
      <c r="Q11" s="561">
        <v>29</v>
      </c>
      <c r="R11" s="562" t="s">
        <v>32</v>
      </c>
      <c r="S11" s="562" t="s">
        <v>32</v>
      </c>
    </row>
    <row r="12" spans="1:19" ht="16" x14ac:dyDescent="0.2">
      <c r="A12">
        <v>2008</v>
      </c>
      <c r="B12" s="553">
        <v>11668.322299485088</v>
      </c>
      <c r="C12" s="553">
        <v>34107.134589564332</v>
      </c>
      <c r="D12" s="553">
        <v>60495.763692763554</v>
      </c>
      <c r="E12" s="553">
        <v>93397.286911431074</v>
      </c>
      <c r="F12" s="553">
        <v>192244.82614935876</v>
      </c>
      <c r="I12" s="559" t="s">
        <v>17</v>
      </c>
      <c r="J12" s="560" t="s">
        <v>32</v>
      </c>
      <c r="K12" s="561">
        <v>15</v>
      </c>
      <c r="L12" s="561">
        <v>37885</v>
      </c>
      <c r="M12" s="561">
        <v>22</v>
      </c>
      <c r="N12" s="561">
        <v>75769</v>
      </c>
      <c r="O12" s="561">
        <v>26</v>
      </c>
      <c r="P12" s="561">
        <v>123184</v>
      </c>
      <c r="Q12" s="561">
        <v>29</v>
      </c>
      <c r="R12" s="562" t="s">
        <v>32</v>
      </c>
      <c r="S12" s="562" t="s">
        <v>32</v>
      </c>
    </row>
    <row r="13" spans="1:19" ht="16" x14ac:dyDescent="0.2">
      <c r="A13">
        <v>2009</v>
      </c>
      <c r="B13" s="553">
        <v>11157.505647203778</v>
      </c>
      <c r="C13" s="553">
        <v>32712.613502340144</v>
      </c>
      <c r="D13" s="553">
        <v>59154.824403103798</v>
      </c>
      <c r="E13" s="553">
        <v>93432.659243700866</v>
      </c>
      <c r="F13" s="553">
        <v>188542.18447209653</v>
      </c>
      <c r="I13" s="559" t="s">
        <v>18</v>
      </c>
      <c r="J13" s="560" t="s">
        <v>32</v>
      </c>
      <c r="K13" s="561">
        <v>15</v>
      </c>
      <c r="L13" s="561">
        <v>40726</v>
      </c>
      <c r="M13" s="561">
        <v>22</v>
      </c>
      <c r="N13" s="561">
        <v>81452</v>
      </c>
      <c r="O13" s="561">
        <v>26</v>
      </c>
      <c r="P13" s="561">
        <v>126264</v>
      </c>
      <c r="Q13" s="561">
        <v>29</v>
      </c>
      <c r="R13" s="562" t="s">
        <v>32</v>
      </c>
      <c r="S13" s="562" t="s">
        <v>32</v>
      </c>
    </row>
    <row r="14" spans="1:19" ht="16" x14ac:dyDescent="0.2">
      <c r="A14">
        <v>2010</v>
      </c>
      <c r="B14" s="553">
        <v>11227.858828701668</v>
      </c>
      <c r="C14" s="553">
        <v>34013.669389360664</v>
      </c>
      <c r="D14" s="553">
        <v>61621.778748171018</v>
      </c>
      <c r="E14" s="553">
        <v>96431.20168596787</v>
      </c>
      <c r="F14" s="553">
        <v>189145.69601310827</v>
      </c>
      <c r="I14" s="559" t="s">
        <v>19</v>
      </c>
      <c r="J14" s="560" t="s">
        <v>32</v>
      </c>
      <c r="K14" s="561">
        <v>15</v>
      </c>
      <c r="L14" s="561">
        <v>40970</v>
      </c>
      <c r="M14" s="561">
        <v>22</v>
      </c>
      <c r="N14" s="561">
        <v>81941</v>
      </c>
      <c r="O14" s="561">
        <v>26</v>
      </c>
      <c r="P14" s="561">
        <v>127021</v>
      </c>
      <c r="Q14" s="561">
        <v>29</v>
      </c>
      <c r="R14" s="562" t="s">
        <v>32</v>
      </c>
      <c r="S14" s="562" t="s">
        <v>32</v>
      </c>
    </row>
    <row r="15" spans="1:19" ht="16" x14ac:dyDescent="0.2">
      <c r="A15">
        <v>2011</v>
      </c>
      <c r="B15" s="553">
        <v>11838.62964965928</v>
      </c>
      <c r="C15" s="553">
        <v>34242.058368089776</v>
      </c>
      <c r="D15" s="553">
        <v>63489.683397249879</v>
      </c>
      <c r="E15" s="553">
        <v>101444.1360642451</v>
      </c>
      <c r="F15" s="553">
        <v>196330.44539283891</v>
      </c>
      <c r="I15" s="559" t="s">
        <v>20</v>
      </c>
      <c r="J15" s="560" t="s">
        <v>32</v>
      </c>
      <c r="K15" s="561">
        <v>15</v>
      </c>
      <c r="L15" s="561">
        <v>41544</v>
      </c>
      <c r="M15" s="561">
        <v>22</v>
      </c>
      <c r="N15" s="561">
        <v>83088</v>
      </c>
      <c r="O15" s="561">
        <v>26</v>
      </c>
      <c r="P15" s="561">
        <v>128800</v>
      </c>
      <c r="Q15" s="561">
        <v>29</v>
      </c>
      <c r="R15" s="562" t="s">
        <v>32</v>
      </c>
      <c r="S15" s="562" t="s">
        <v>32</v>
      </c>
    </row>
    <row r="16" spans="1:19" ht="16" x14ac:dyDescent="0.2">
      <c r="A16">
        <v>2012</v>
      </c>
      <c r="B16" s="553">
        <v>12621.585737365305</v>
      </c>
      <c r="C16" s="553">
        <v>37402.712935374679</v>
      </c>
      <c r="D16" s="553">
        <v>66415.105228597633</v>
      </c>
      <c r="E16" s="553">
        <v>105138.51128085193</v>
      </c>
      <c r="F16" s="553">
        <v>200406.58503060474</v>
      </c>
      <c r="I16" s="559" t="s">
        <v>21</v>
      </c>
      <c r="J16" s="560" t="s">
        <v>32</v>
      </c>
      <c r="K16" s="561">
        <v>15</v>
      </c>
      <c r="L16" s="561">
        <v>42707</v>
      </c>
      <c r="M16" s="561">
        <v>22</v>
      </c>
      <c r="N16" s="561">
        <v>85414</v>
      </c>
      <c r="O16" s="561">
        <v>26</v>
      </c>
      <c r="P16" s="561">
        <v>132406</v>
      </c>
      <c r="Q16" s="561">
        <v>29</v>
      </c>
      <c r="R16" s="562" t="s">
        <v>32</v>
      </c>
      <c r="S16" s="562" t="s">
        <v>32</v>
      </c>
    </row>
    <row r="17" spans="1:19" ht="16" x14ac:dyDescent="0.2">
      <c r="A17">
        <v>2013</v>
      </c>
      <c r="B17" s="553">
        <v>12571.151312256638</v>
      </c>
      <c r="C17" s="553">
        <v>36821.249413046207</v>
      </c>
      <c r="D17" s="553">
        <v>67670.602399672178</v>
      </c>
      <c r="E17" s="553">
        <v>108641.80195423029</v>
      </c>
      <c r="F17" s="553">
        <v>207364.73647642817</v>
      </c>
      <c r="I17" s="559" t="s">
        <v>22</v>
      </c>
      <c r="J17" s="560" t="s">
        <v>32</v>
      </c>
      <c r="K17" s="561">
        <v>15</v>
      </c>
      <c r="L17" s="561">
        <v>43561</v>
      </c>
      <c r="M17" s="561">
        <v>22</v>
      </c>
      <c r="N17" s="561">
        <v>87123</v>
      </c>
      <c r="O17" s="561">
        <v>26</v>
      </c>
      <c r="P17" s="561">
        <v>135054</v>
      </c>
      <c r="Q17" s="561">
        <v>29</v>
      </c>
      <c r="R17" s="562" t="s">
        <v>32</v>
      </c>
      <c r="S17" s="562" t="s">
        <v>32</v>
      </c>
    </row>
    <row r="18" spans="1:19" ht="16" x14ac:dyDescent="0.2">
      <c r="A18">
        <v>2014</v>
      </c>
      <c r="B18" s="553">
        <v>12605.551735170693</v>
      </c>
      <c r="C18" s="553">
        <v>39240.45021202277</v>
      </c>
      <c r="D18" s="553">
        <v>69402.383920974011</v>
      </c>
      <c r="E18" s="553">
        <v>111019.96406660462</v>
      </c>
      <c r="F18" s="553">
        <v>212549.67647572295</v>
      </c>
      <c r="I18" s="559" t="s">
        <v>23</v>
      </c>
      <c r="J18" s="560" t="s">
        <v>32</v>
      </c>
      <c r="K18" s="561">
        <v>15</v>
      </c>
      <c r="L18" s="561">
        <v>43953</v>
      </c>
      <c r="M18" s="561">
        <v>22</v>
      </c>
      <c r="N18" s="561">
        <v>87907</v>
      </c>
      <c r="O18" s="561">
        <v>26</v>
      </c>
      <c r="P18" s="561">
        <v>136270</v>
      </c>
      <c r="Q18" s="561">
        <v>29</v>
      </c>
      <c r="R18" s="562" t="s">
        <v>32</v>
      </c>
      <c r="S18" s="562" t="s">
        <v>32</v>
      </c>
    </row>
    <row r="19" spans="1:19" ht="16" x14ac:dyDescent="0.2">
      <c r="A19">
        <v>2015</v>
      </c>
      <c r="B19" s="553">
        <v>12141.904019447817</v>
      </c>
      <c r="C19" s="553">
        <v>40262.460807497082</v>
      </c>
      <c r="D19" s="553">
        <v>74406.142624157132</v>
      </c>
      <c r="E19" s="553">
        <v>112096.53671164908</v>
      </c>
      <c r="F19" s="553">
        <v>220546.60773471603</v>
      </c>
      <c r="I19" s="559" t="s">
        <v>24</v>
      </c>
      <c r="J19" s="560" t="s">
        <v>32</v>
      </c>
      <c r="K19" s="561">
        <v>15</v>
      </c>
      <c r="L19" s="561">
        <v>44701</v>
      </c>
      <c r="M19" s="561">
        <v>22</v>
      </c>
      <c r="N19" s="561">
        <v>89401</v>
      </c>
      <c r="O19" s="561">
        <v>26</v>
      </c>
      <c r="P19" s="561">
        <v>138586</v>
      </c>
      <c r="Q19" s="561">
        <v>29</v>
      </c>
      <c r="R19" s="562" t="s">
        <v>32</v>
      </c>
      <c r="S19" s="562" t="s">
        <v>32</v>
      </c>
    </row>
    <row r="20" spans="1:19" ht="16" x14ac:dyDescent="0.2">
      <c r="A20">
        <v>2016</v>
      </c>
      <c r="B20" s="553">
        <v>12848.495416248064</v>
      </c>
      <c r="C20" s="553">
        <v>43154.751344678749</v>
      </c>
      <c r="D20" s="553">
        <v>73231.557786295685</v>
      </c>
      <c r="E20" s="553">
        <v>111815.229295732</v>
      </c>
      <c r="F20" s="553">
        <v>212043.42846870009</v>
      </c>
      <c r="I20" s="559" t="s">
        <v>25</v>
      </c>
      <c r="J20" s="560" t="s">
        <v>32</v>
      </c>
      <c r="K20" s="561">
        <v>15</v>
      </c>
      <c r="L20" s="561">
        <v>45282</v>
      </c>
      <c r="M20" s="561">
        <v>20.5</v>
      </c>
      <c r="N20" s="561">
        <v>90563</v>
      </c>
      <c r="O20" s="561">
        <v>26</v>
      </c>
      <c r="P20" s="561">
        <v>140388</v>
      </c>
      <c r="Q20" s="561">
        <v>29</v>
      </c>
      <c r="R20" s="561">
        <v>200000</v>
      </c>
      <c r="S20" s="561">
        <v>33</v>
      </c>
    </row>
    <row r="21" spans="1:19" ht="16" x14ac:dyDescent="0.2">
      <c r="A21">
        <v>2017</v>
      </c>
      <c r="B21" s="553">
        <v>13409.808837834296</v>
      </c>
      <c r="C21" s="553">
        <v>42602.746921398844</v>
      </c>
      <c r="D21" s="553">
        <v>73815.617040034951</v>
      </c>
      <c r="E21" s="553">
        <v>115464.91348799976</v>
      </c>
      <c r="F21" s="553">
        <v>220795.92502980365</v>
      </c>
      <c r="I21" s="559" t="s">
        <v>26</v>
      </c>
      <c r="J21" s="560" t="s">
        <v>32</v>
      </c>
      <c r="K21" s="561">
        <v>15</v>
      </c>
      <c r="L21" s="561">
        <v>45916</v>
      </c>
      <c r="M21" s="561">
        <v>20.5</v>
      </c>
      <c r="N21" s="561">
        <v>91831</v>
      </c>
      <c r="O21" s="561">
        <v>26</v>
      </c>
      <c r="P21" s="561">
        <v>142353</v>
      </c>
      <c r="Q21" s="561">
        <v>29</v>
      </c>
      <c r="R21" s="561">
        <v>202800</v>
      </c>
      <c r="S21" s="561">
        <v>33</v>
      </c>
    </row>
    <row r="22" spans="1:19" ht="16" x14ac:dyDescent="0.2">
      <c r="A22">
        <v>2018</v>
      </c>
      <c r="B22" s="553">
        <v>14125.693247566627</v>
      </c>
      <c r="C22" s="553">
        <v>41988.248361888924</v>
      </c>
      <c r="D22" s="553">
        <v>73520.745930470555</v>
      </c>
      <c r="E22" s="553">
        <v>117805.80463651274</v>
      </c>
      <c r="F22" s="553">
        <v>225149.99178662966</v>
      </c>
      <c r="I22" s="559" t="s">
        <v>27</v>
      </c>
      <c r="J22" s="560" t="s">
        <v>32</v>
      </c>
      <c r="K22" s="561">
        <v>15</v>
      </c>
      <c r="L22" s="561">
        <v>46605</v>
      </c>
      <c r="M22" s="561">
        <v>20.5</v>
      </c>
      <c r="N22" s="561">
        <v>93208</v>
      </c>
      <c r="O22" s="561">
        <v>26</v>
      </c>
      <c r="P22" s="561">
        <v>144489</v>
      </c>
      <c r="Q22" s="561">
        <v>29</v>
      </c>
      <c r="R22" s="561">
        <v>205842</v>
      </c>
      <c r="S22" s="561">
        <v>33</v>
      </c>
    </row>
    <row r="23" spans="1:19" ht="16" x14ac:dyDescent="0.2">
      <c r="A23">
        <v>2019</v>
      </c>
      <c r="B23" s="553">
        <v>14251.602667359046</v>
      </c>
      <c r="C23" s="553">
        <v>42422.759694630382</v>
      </c>
      <c r="D23" s="553">
        <v>74981.675143839762</v>
      </c>
      <c r="E23" s="553">
        <v>120583.93294474219</v>
      </c>
      <c r="F23" s="553">
        <v>230801.00513989091</v>
      </c>
      <c r="I23" s="559" t="s">
        <v>28</v>
      </c>
      <c r="J23" s="560" t="s">
        <v>32</v>
      </c>
      <c r="K23" s="561">
        <v>15</v>
      </c>
      <c r="L23" s="561">
        <v>47630</v>
      </c>
      <c r="M23" s="561">
        <v>20.5</v>
      </c>
      <c r="N23" s="561">
        <v>95259</v>
      </c>
      <c r="O23" s="561">
        <v>26</v>
      </c>
      <c r="P23" s="561">
        <v>147667</v>
      </c>
      <c r="Q23" s="561">
        <v>29</v>
      </c>
      <c r="R23" s="561">
        <v>210371</v>
      </c>
      <c r="S23" s="561">
        <v>33</v>
      </c>
    </row>
    <row r="24" spans="1:19" ht="16" x14ac:dyDescent="0.2">
      <c r="A24">
        <v>2020</v>
      </c>
      <c r="B24" s="553">
        <v>14311.921510668468</v>
      </c>
      <c r="C24" s="553">
        <v>41773.027401470259</v>
      </c>
      <c r="D24" s="553">
        <v>73886.659476733577</v>
      </c>
      <c r="E24" s="553">
        <v>118745.90991043299</v>
      </c>
      <c r="F24" s="553">
        <v>225431.5379746476</v>
      </c>
      <c r="I24" s="559" t="s">
        <v>29</v>
      </c>
      <c r="J24" s="560" t="s">
        <v>32</v>
      </c>
      <c r="K24" s="561">
        <v>15</v>
      </c>
      <c r="L24" s="561">
        <v>48535</v>
      </c>
      <c r="M24" s="561">
        <v>20.5</v>
      </c>
      <c r="N24" s="561">
        <v>97069</v>
      </c>
      <c r="O24" s="561">
        <v>26</v>
      </c>
      <c r="P24" s="561">
        <v>150473</v>
      </c>
      <c r="Q24" s="561">
        <v>29</v>
      </c>
      <c r="R24" s="561">
        <v>214368</v>
      </c>
      <c r="S24" s="561">
        <v>33</v>
      </c>
    </row>
    <row r="27" spans="1:19" x14ac:dyDescent="0.2">
      <c r="A27" s="552" t="s">
        <v>90</v>
      </c>
    </row>
    <row r="29" spans="1:19" x14ac:dyDescent="0.2">
      <c r="A29" t="s">
        <v>44</v>
      </c>
      <c r="B29" t="s">
        <v>50</v>
      </c>
      <c r="C29" t="s">
        <v>48</v>
      </c>
      <c r="D29" t="s">
        <v>47</v>
      </c>
      <c r="E29" t="s">
        <v>45</v>
      </c>
      <c r="F29" t="s">
        <v>46</v>
      </c>
    </row>
    <row r="30" spans="1:19" x14ac:dyDescent="0.2">
      <c r="A30">
        <v>2000</v>
      </c>
      <c r="B30" s="553">
        <f>B4*$K4/100</f>
        <v>1633.7875682733763</v>
      </c>
      <c r="C30" s="553">
        <f t="shared" ref="B30:C50" si="0">C4*$K4/100</f>
        <v>4550.4229033784495</v>
      </c>
      <c r="D30" s="553">
        <f xml:space="preserve"> L4*(K4/100) + (D4-L4)*(M4/100)</f>
        <v>9349.7377469867715</v>
      </c>
      <c r="E30" s="553">
        <f xml:space="preserve"> L4*(K4/100) + (N4-L4)*(M4/100) + (E4-N4)*(O4/100)</f>
        <v>16610.423706941107</v>
      </c>
      <c r="F30" s="553">
        <f>L4*(K4/100) + (N4-L4)*(M4/100) + (F4-N4)*(O4/100)</f>
        <v>37552.38092265559</v>
      </c>
    </row>
    <row r="31" spans="1:19" x14ac:dyDescent="0.2">
      <c r="A31">
        <v>2001</v>
      </c>
      <c r="B31" s="553">
        <f t="shared" si="0"/>
        <v>1470.2430497582727</v>
      </c>
      <c r="C31" s="553">
        <f t="shared" si="0"/>
        <v>4438.4227544768401</v>
      </c>
      <c r="D31" s="553">
        <f t="shared" ref="D31:D50" si="1" xml:space="preserve"> L5*(K5/100) + (D5-L5)*(M5/100)</f>
        <v>8861.7875760267525</v>
      </c>
      <c r="E31" s="553">
        <f t="shared" ref="E31:E49" si="2" xml:space="preserve"> L5*(K5/100) + (N5-L5)*(M5/100) + (E5-N5)*(O5/100)</f>
        <v>15449.043902184138</v>
      </c>
      <c r="F31" s="553">
        <f>L5*(K5/100) + (N5-L5)*(M5/100) + (P5-N5)*(O5/100) + (F5-P5)*(Q5/100)</f>
        <v>35530.670606907719</v>
      </c>
    </row>
    <row r="32" spans="1:19" x14ac:dyDescent="0.2">
      <c r="A32">
        <v>2002</v>
      </c>
      <c r="B32" s="553">
        <f t="shared" si="0"/>
        <v>1494.1253605029547</v>
      </c>
      <c r="C32" s="553">
        <f t="shared" si="0"/>
        <v>4421.4294620913797</v>
      </c>
      <c r="D32" s="553">
        <f t="shared" si="1"/>
        <v>8590.7699660956405</v>
      </c>
      <c r="E32" s="553">
        <f t="shared" si="2"/>
        <v>15935.300016539888</v>
      </c>
      <c r="F32" s="553">
        <f t="shared" ref="F32:F43" si="3">L6*(K6/100) + (N6-L6)*(M6/100) + (P6-N6)*(O6/100) + (F6-P6)*(Q6/100)</f>
        <v>36255.916034891445</v>
      </c>
    </row>
    <row r="33" spans="1:7" x14ac:dyDescent="0.2">
      <c r="A33">
        <v>2003</v>
      </c>
      <c r="B33" s="553">
        <f t="shared" si="0"/>
        <v>1531.8202998286704</v>
      </c>
      <c r="C33" s="553">
        <f t="shared" si="0"/>
        <v>4361.8838860064725</v>
      </c>
      <c r="D33" s="553">
        <f t="shared" si="1"/>
        <v>9127.6080831279596</v>
      </c>
      <c r="E33" s="553">
        <f t="shared" si="2"/>
        <v>15953.906287827147</v>
      </c>
      <c r="F33" s="553">
        <f t="shared" si="3"/>
        <v>37209.513980420845</v>
      </c>
    </row>
    <row r="34" spans="1:7" x14ac:dyDescent="0.2">
      <c r="A34">
        <v>2004</v>
      </c>
      <c r="B34" s="553">
        <f t="shared" si="0"/>
        <v>1572.4399765808148</v>
      </c>
      <c r="C34" s="553">
        <f t="shared" si="0"/>
        <v>4440.1789671649258</v>
      </c>
      <c r="D34" s="553">
        <f t="shared" si="1"/>
        <v>9096.0836334864689</v>
      </c>
      <c r="E34" s="553">
        <f t="shared" si="2"/>
        <v>16345.441858988703</v>
      </c>
      <c r="F34" s="553">
        <f t="shared" si="3"/>
        <v>39104.333118307302</v>
      </c>
    </row>
    <row r="35" spans="1:7" x14ac:dyDescent="0.2">
      <c r="A35">
        <v>2005</v>
      </c>
      <c r="B35" s="553">
        <f t="shared" si="0"/>
        <v>1461.8970792250905</v>
      </c>
      <c r="C35" s="553">
        <f t="shared" si="0"/>
        <v>4341.796004062825</v>
      </c>
      <c r="D35" s="553">
        <f t="shared" si="1"/>
        <v>9130.1633847999328</v>
      </c>
      <c r="E35" s="553">
        <f t="shared" si="2"/>
        <v>16768.000728974697</v>
      </c>
      <c r="F35" s="553">
        <f t="shared" si="3"/>
        <v>40786.849427809539</v>
      </c>
    </row>
    <row r="36" spans="1:7" x14ac:dyDescent="0.2">
      <c r="A36">
        <v>2006</v>
      </c>
      <c r="B36" s="553">
        <f t="shared" si="0"/>
        <v>1642.1886386441765</v>
      </c>
      <c r="C36" s="553">
        <f t="shared" si="0"/>
        <v>4734.2673951445831</v>
      </c>
      <c r="D36" s="553">
        <f t="shared" si="1"/>
        <v>9658.5441478566681</v>
      </c>
      <c r="E36" s="553">
        <f t="shared" si="2"/>
        <v>17227.638109705451</v>
      </c>
      <c r="F36" s="553">
        <f t="shared" si="3"/>
        <v>43213.40165752</v>
      </c>
    </row>
    <row r="37" spans="1:7" x14ac:dyDescent="0.2">
      <c r="A37">
        <v>2007</v>
      </c>
      <c r="B37" s="553">
        <f t="shared" si="0"/>
        <v>1757.2355596391167</v>
      </c>
      <c r="C37" s="553">
        <f t="shared" si="0"/>
        <v>5020.953325517381</v>
      </c>
      <c r="D37" s="553">
        <f t="shared" si="1"/>
        <v>9917.4022024432124</v>
      </c>
      <c r="E37" s="553">
        <f t="shared" si="2"/>
        <v>17868.447244244511</v>
      </c>
      <c r="F37" s="553">
        <f t="shared" si="3"/>
        <v>45651.989655325509</v>
      </c>
    </row>
    <row r="38" spans="1:7" x14ac:dyDescent="0.2">
      <c r="A38">
        <v>2008</v>
      </c>
      <c r="B38" s="553">
        <f t="shared" si="0"/>
        <v>1750.248344922763</v>
      </c>
      <c r="C38" s="553">
        <f t="shared" si="0"/>
        <v>5116.0701884346499</v>
      </c>
      <c r="D38" s="553">
        <f t="shared" si="1"/>
        <v>10657.118012407982</v>
      </c>
      <c r="E38" s="553">
        <f t="shared" si="2"/>
        <v>18600.584596972079</v>
      </c>
      <c r="F38" s="553">
        <f t="shared" si="3"/>
        <v>46372.769583314039</v>
      </c>
    </row>
    <row r="39" spans="1:7" x14ac:dyDescent="0.2">
      <c r="A39">
        <v>2009</v>
      </c>
      <c r="B39" s="553">
        <f t="shared" si="0"/>
        <v>1673.6258470805667</v>
      </c>
      <c r="C39" s="553">
        <f t="shared" si="0"/>
        <v>4906.8920253510214</v>
      </c>
      <c r="D39" s="553">
        <f t="shared" si="1"/>
        <v>10163.241368682835</v>
      </c>
      <c r="E39" s="553">
        <f t="shared" si="2"/>
        <v>18183.591403362225</v>
      </c>
      <c r="F39" s="553">
        <f t="shared" si="3"/>
        <v>44780.41349690799</v>
      </c>
    </row>
    <row r="40" spans="1:7" x14ac:dyDescent="0.2">
      <c r="A40">
        <v>2010</v>
      </c>
      <c r="B40" s="553">
        <f t="shared" si="0"/>
        <v>1684.1788243052504</v>
      </c>
      <c r="C40" s="553">
        <f t="shared" si="0"/>
        <v>5102.0504084040995</v>
      </c>
      <c r="D40" s="553">
        <f t="shared" si="1"/>
        <v>10688.891324597624</v>
      </c>
      <c r="E40" s="553">
        <f t="shared" si="2"/>
        <v>18926.572438351646</v>
      </c>
      <c r="F40" s="553">
        <f t="shared" si="3"/>
        <v>44896.081843801396</v>
      </c>
    </row>
    <row r="41" spans="1:7" x14ac:dyDescent="0.2">
      <c r="A41">
        <v>2011</v>
      </c>
      <c r="B41" s="553">
        <f t="shared" si="0"/>
        <v>1775.7944474488922</v>
      </c>
      <c r="C41" s="553">
        <f t="shared" si="0"/>
        <v>5136.3087552134666</v>
      </c>
      <c r="D41" s="553">
        <f t="shared" si="1"/>
        <v>11059.650347394972</v>
      </c>
      <c r="E41" s="553">
        <f t="shared" si="2"/>
        <v>20143.875376703727</v>
      </c>
      <c r="F41" s="553">
        <f t="shared" si="3"/>
        <v>46840.229163923286</v>
      </c>
    </row>
    <row r="42" spans="1:7" x14ac:dyDescent="0.2">
      <c r="A42">
        <v>2012</v>
      </c>
      <c r="B42" s="553">
        <f t="shared" si="0"/>
        <v>1893.237860604796</v>
      </c>
      <c r="C42" s="553">
        <f t="shared" si="0"/>
        <v>5610.4069403062012</v>
      </c>
      <c r="D42" s="553">
        <f t="shared" si="1"/>
        <v>11621.833150291481</v>
      </c>
      <c r="E42" s="553">
        <f t="shared" si="2"/>
        <v>20929.962933021503</v>
      </c>
      <c r="F42" s="553">
        <f t="shared" si="3"/>
        <v>47739.679658875379</v>
      </c>
    </row>
    <row r="43" spans="1:7" x14ac:dyDescent="0.2">
      <c r="A43">
        <v>2013</v>
      </c>
      <c r="B43" s="553">
        <f t="shared" si="0"/>
        <v>1885.6726968384955</v>
      </c>
      <c r="C43" s="553">
        <f t="shared" si="0"/>
        <v>5523.1874119569311</v>
      </c>
      <c r="D43" s="553">
        <f t="shared" si="1"/>
        <v>11838.26252792788</v>
      </c>
      <c r="E43" s="553">
        <f t="shared" si="2"/>
        <v>21712.678508099874</v>
      </c>
      <c r="F43" s="553">
        <f t="shared" si="3"/>
        <v>49549.96357816417</v>
      </c>
    </row>
    <row r="44" spans="1:7" x14ac:dyDescent="0.2">
      <c r="A44">
        <v>2014</v>
      </c>
      <c r="B44" s="553">
        <f t="shared" si="0"/>
        <v>1890.8327602756042</v>
      </c>
      <c r="C44" s="553">
        <f t="shared" si="0"/>
        <v>5886.0675318034155</v>
      </c>
      <c r="D44" s="553">
        <f t="shared" si="1"/>
        <v>12191.814462614282</v>
      </c>
      <c r="E44" s="553">
        <f t="shared" si="2"/>
        <v>22272.2006573172</v>
      </c>
      <c r="F44" s="553">
        <f>L18*(K18/100) + (N18-L18)*(M18/100) + (P18-N18)*(O18/100) + (F18-P18)*(Q18/100)</f>
        <v>50958.316177959656</v>
      </c>
    </row>
    <row r="45" spans="1:7" x14ac:dyDescent="0.2">
      <c r="A45">
        <v>2015</v>
      </c>
      <c r="B45" s="553">
        <f t="shared" si="0"/>
        <v>1821.2856029171724</v>
      </c>
      <c r="C45" s="553">
        <f t="shared" si="0"/>
        <v>6039.3691211245632</v>
      </c>
      <c r="D45" s="553">
        <f t="shared" si="1"/>
        <v>13240.281377314568</v>
      </c>
      <c r="E45" s="553">
        <f t="shared" si="2"/>
        <v>22439.989545028762</v>
      </c>
      <c r="F45" s="553">
        <f>L19*(K19/100) + (N19-L19)*(M19/100) + (P19-N19)*(O19/100) + (F19-P19)*(Q19/100)</f>
        <v>53095.826243067648</v>
      </c>
      <c r="G45" s="553"/>
    </row>
    <row r="46" spans="1:7" x14ac:dyDescent="0.2">
      <c r="A46">
        <v>2016</v>
      </c>
      <c r="B46" s="553">
        <f t="shared" si="0"/>
        <v>1927.2743124372096</v>
      </c>
      <c r="C46" s="553">
        <f t="shared" si="0"/>
        <v>6473.2127017018129</v>
      </c>
      <c r="D46" s="553">
        <f t="shared" si="1"/>
        <v>12521.959346190615</v>
      </c>
      <c r="E46" s="553">
        <f t="shared" si="2"/>
        <v>21600.48461689032</v>
      </c>
      <c r="F46" s="553">
        <f>L20*(K20/100) + (N20-L20)*(M20/100) + (P20-N20)*(O20/100) + (R20-P20)*(Q20/100) + (F20-R20)*(S20/100)</f>
        <v>50291.216394671028</v>
      </c>
      <c r="G46" s="553"/>
    </row>
    <row r="47" spans="1:7" x14ac:dyDescent="0.2">
      <c r="A47">
        <v>2017</v>
      </c>
      <c r="B47" s="553">
        <f t="shared" si="0"/>
        <v>2011.4713256751443</v>
      </c>
      <c r="C47" s="553">
        <f t="shared" si="0"/>
        <v>6390.4120382098272</v>
      </c>
      <c r="D47" s="553">
        <f t="shared" si="1"/>
        <v>12606.821493207164</v>
      </c>
      <c r="E47" s="553">
        <f t="shared" si="2"/>
        <v>22444.792506879938</v>
      </c>
      <c r="F47" s="553">
        <f>L21*(K21/100) + (N21-L21)*(M21/100) + (P21-N21)*(O21/100) + (R21-P21)*(Q21/100) + (F21-R21)*(S21/100)</f>
        <v>52903.980259835203</v>
      </c>
      <c r="G47" s="553"/>
    </row>
    <row r="48" spans="1:7" x14ac:dyDescent="0.2">
      <c r="A48">
        <v>2018</v>
      </c>
      <c r="B48" s="553">
        <f t="shared" si="0"/>
        <v>2118.853987134994</v>
      </c>
      <c r="C48" s="553">
        <f t="shared" si="0"/>
        <v>6298.2372542833382</v>
      </c>
      <c r="D48" s="553">
        <f t="shared" si="1"/>
        <v>12508.477915746464</v>
      </c>
      <c r="E48" s="553">
        <f t="shared" si="2"/>
        <v>22939.794205493308</v>
      </c>
      <c r="F48" s="553">
        <f>L22*(K22/100) + (N22-L22)*(M22/100) + (P22-N22)*(O22/100) + (R22-P22)*(Q22/100) + (F22-R22)*(S22/100)</f>
        <v>54041.432289587785</v>
      </c>
      <c r="G48" s="553"/>
    </row>
    <row r="49" spans="1:7" x14ac:dyDescent="0.2">
      <c r="A49">
        <v>2019</v>
      </c>
      <c r="B49" s="553">
        <f t="shared" si="0"/>
        <v>2137.7404001038567</v>
      </c>
      <c r="C49" s="553">
        <f t="shared" si="0"/>
        <v>6363.4139541945569</v>
      </c>
      <c r="D49" s="553">
        <f t="shared" si="1"/>
        <v>12751.59340448715</v>
      </c>
      <c r="E49" s="553">
        <f t="shared" si="2"/>
        <v>23492.92756563297</v>
      </c>
      <c r="F49" s="553">
        <f t="shared" ref="F49:F50" si="4">L23*(K23/100) + (N23-L23)*(M23/100) + (P23-N23)*(O23/100) + (R23-P23)*(Q23/100) + (F23-R23)*(S23/100)</f>
        <v>55460.586696163999</v>
      </c>
      <c r="G49" s="553"/>
    </row>
    <row r="50" spans="1:7" x14ac:dyDescent="0.2">
      <c r="A50">
        <v>2020</v>
      </c>
      <c r="B50" s="553">
        <f t="shared" si="0"/>
        <v>2146.7882266002703</v>
      </c>
      <c r="C50" s="553">
        <f t="shared" si="0"/>
        <v>6265.9541102205394</v>
      </c>
      <c r="D50" s="553">
        <f t="shared" si="1"/>
        <v>12477.340192730382</v>
      </c>
      <c r="E50" s="553">
        <f xml:space="preserve"> L24*(K24/100) + (N24-L24)*(M24/100) + (E24-N24)*(O24/100)</f>
        <v>22865.716576712581</v>
      </c>
      <c r="F50" s="553">
        <f t="shared" si="4"/>
        <v>53295.277531633707</v>
      </c>
      <c r="G50" s="553"/>
    </row>
  </sheetData>
  <mergeCells count="7">
    <mergeCell ref="M1:N1"/>
    <mergeCell ref="O1:P1"/>
    <mergeCell ref="Q1:R1"/>
    <mergeCell ref="I2:J2"/>
    <mergeCell ref="I3:J3"/>
    <mergeCell ref="I1:J1"/>
    <mergeCell ref="K1:L1"/>
  </mergeCells>
  <pageMargins left="0.7" right="0.7" top="0.75" bottom="0.75" header="0.3" footer="0.3"/>
  <pageSetup orientation="portrait" horizontalDpi="0" verticalDpi="0"/>
  <ignoredErrors>
    <ignoredError sqref="I4:I2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2D0A8-7995-0F41-A76C-95F5BBDDC3C7}">
  <dimension ref="A1:O49"/>
  <sheetViews>
    <sheetView workbookViewId="0">
      <selection activeCell="E54" sqref="E54"/>
    </sheetView>
  </sheetViews>
  <sheetFormatPr baseColWidth="10" defaultRowHeight="15" x14ac:dyDescent="0.2"/>
  <cols>
    <col min="1" max="1" width="35" bestFit="1" customWidth="1"/>
    <col min="2" max="2" width="12.1640625" bestFit="1" customWidth="1"/>
    <col min="3" max="3" width="13.33203125" bestFit="1" customWidth="1"/>
    <col min="4" max="4" width="12.1640625" bestFit="1" customWidth="1"/>
    <col min="5" max="5" width="13" bestFit="1" customWidth="1"/>
    <col min="6" max="6" width="13.5" bestFit="1" customWidth="1"/>
    <col min="10" max="10" width="28.6640625" bestFit="1" customWidth="1"/>
    <col min="11" max="11" width="11" bestFit="1" customWidth="1"/>
    <col min="12" max="12" width="13.33203125" bestFit="1" customWidth="1"/>
    <col min="13" max="13" width="11.83203125" bestFit="1" customWidth="1"/>
    <col min="14" max="14" width="13" bestFit="1" customWidth="1"/>
    <col min="15" max="15" width="13.5" bestFit="1" customWidth="1"/>
  </cols>
  <sheetData>
    <row r="1" spans="1:15" x14ac:dyDescent="0.2">
      <c r="A1" s="552" t="s">
        <v>91</v>
      </c>
    </row>
    <row r="2" spans="1:15" x14ac:dyDescent="0.2">
      <c r="A2" t="s">
        <v>44</v>
      </c>
      <c r="B2" t="s">
        <v>50</v>
      </c>
      <c r="C2" t="s">
        <v>48</v>
      </c>
      <c r="D2" t="s">
        <v>47</v>
      </c>
      <c r="E2" t="s">
        <v>45</v>
      </c>
      <c r="F2" t="s">
        <v>46</v>
      </c>
    </row>
    <row r="3" spans="1:15" x14ac:dyDescent="0.2">
      <c r="A3">
        <v>2000</v>
      </c>
      <c r="B3" s="553">
        <v>1633.7875682733763</v>
      </c>
      <c r="C3" s="553">
        <v>4550.4229033784495</v>
      </c>
      <c r="D3" s="553">
        <v>9349.7377469867715</v>
      </c>
      <c r="E3" s="553">
        <v>16610.423706941107</v>
      </c>
      <c r="F3" s="553">
        <v>37552.38092265559</v>
      </c>
    </row>
    <row r="4" spans="1:15" x14ac:dyDescent="0.2">
      <c r="A4">
        <v>2001</v>
      </c>
      <c r="B4" s="553">
        <v>1470.2430497582727</v>
      </c>
      <c r="C4" s="553">
        <v>4438.4227544768401</v>
      </c>
      <c r="D4" s="553">
        <v>8861.7875760267525</v>
      </c>
      <c r="E4" s="553">
        <v>15449.043902184138</v>
      </c>
      <c r="F4" s="553">
        <v>35530.670606907719</v>
      </c>
    </row>
    <row r="5" spans="1:15" x14ac:dyDescent="0.2">
      <c r="A5">
        <v>2002</v>
      </c>
      <c r="B5" s="553">
        <v>1494.1253605029547</v>
      </c>
      <c r="C5" s="553">
        <v>4421.4294620913797</v>
      </c>
      <c r="D5" s="553">
        <v>8590.7699660956405</v>
      </c>
      <c r="E5" s="553">
        <v>15935.300016539888</v>
      </c>
      <c r="F5" s="553">
        <v>36255.916034891445</v>
      </c>
    </row>
    <row r="6" spans="1:15" x14ac:dyDescent="0.2">
      <c r="A6">
        <v>2003</v>
      </c>
      <c r="B6" s="553">
        <v>1531.8202998286704</v>
      </c>
      <c r="C6" s="553">
        <v>4361.8838860064725</v>
      </c>
      <c r="D6" s="553">
        <v>9127.6080831279596</v>
      </c>
      <c r="E6" s="553">
        <v>15953.906287827147</v>
      </c>
      <c r="F6" s="553">
        <v>37209.513980420845</v>
      </c>
    </row>
    <row r="7" spans="1:15" x14ac:dyDescent="0.2">
      <c r="A7">
        <v>2004</v>
      </c>
      <c r="B7" s="553">
        <v>1572.4399765808148</v>
      </c>
      <c r="C7" s="553">
        <v>4440.1789671649258</v>
      </c>
      <c r="D7" s="553">
        <v>9096.0836334864689</v>
      </c>
      <c r="E7" s="553">
        <v>16345.441858988703</v>
      </c>
      <c r="F7" s="553">
        <v>39104.333118307302</v>
      </c>
    </row>
    <row r="8" spans="1:15" x14ac:dyDescent="0.2">
      <c r="A8">
        <v>2005</v>
      </c>
      <c r="B8" s="553">
        <v>1461.8970792250905</v>
      </c>
      <c r="C8" s="553">
        <v>4341.796004062825</v>
      </c>
      <c r="D8" s="553">
        <v>9130.1633847999328</v>
      </c>
      <c r="E8" s="553">
        <v>16768.000728974697</v>
      </c>
      <c r="F8" s="553">
        <v>40786.849427809539</v>
      </c>
      <c r="J8" s="552" t="s">
        <v>93</v>
      </c>
    </row>
    <row r="9" spans="1:15" x14ac:dyDescent="0.2">
      <c r="A9">
        <v>2006</v>
      </c>
      <c r="B9" s="553">
        <v>1642.1886386441765</v>
      </c>
      <c r="C9" s="553">
        <v>4734.2673951445831</v>
      </c>
      <c r="D9" s="553">
        <v>9658.5441478566681</v>
      </c>
      <c r="E9" s="553">
        <v>17227.638109705451</v>
      </c>
      <c r="F9" s="553">
        <v>43213.40165752</v>
      </c>
      <c r="J9" t="s">
        <v>44</v>
      </c>
      <c r="K9" t="s">
        <v>50</v>
      </c>
      <c r="L9" t="s">
        <v>48</v>
      </c>
      <c r="M9" t="s">
        <v>47</v>
      </c>
      <c r="N9" t="s">
        <v>45</v>
      </c>
      <c r="O9" t="s">
        <v>46</v>
      </c>
    </row>
    <row r="10" spans="1:15" x14ac:dyDescent="0.2">
      <c r="A10">
        <v>2007</v>
      </c>
      <c r="B10" s="553">
        <v>1757.2355596391167</v>
      </c>
      <c r="C10" s="553">
        <v>5020.953325517381</v>
      </c>
      <c r="D10" s="553">
        <v>9917.4022024432124</v>
      </c>
      <c r="E10" s="553">
        <v>17868.447244244511</v>
      </c>
      <c r="F10" s="553">
        <v>45651.989655325509</v>
      </c>
      <c r="J10">
        <v>2000</v>
      </c>
      <c r="K10">
        <f>B3/B29</f>
        <v>0.16999999999999996</v>
      </c>
      <c r="L10">
        <f>C3/C29</f>
        <v>0.16999999999999998</v>
      </c>
      <c r="M10" s="565">
        <f>D3/D29</f>
        <v>0.19892961269455151</v>
      </c>
      <c r="N10" s="565">
        <f>E3/E29</f>
        <v>0.2249777938094488</v>
      </c>
      <c r="O10" s="565">
        <f>F3/F29</f>
        <v>0.25712877016038094</v>
      </c>
    </row>
    <row r="11" spans="1:15" x14ac:dyDescent="0.2">
      <c r="A11">
        <v>2008</v>
      </c>
      <c r="B11" s="553">
        <v>1750.248344922763</v>
      </c>
      <c r="C11" s="553">
        <v>5116.0701884346499</v>
      </c>
      <c r="D11" s="553">
        <v>10657.118012407982</v>
      </c>
      <c r="E11" s="553">
        <v>18600.584596972079</v>
      </c>
      <c r="F11" s="553">
        <v>46372.769583314039</v>
      </c>
      <c r="J11">
        <v>2001</v>
      </c>
      <c r="K11">
        <f t="shared" ref="K11:K30" si="0">B4/B30</f>
        <v>0.15999999999999998</v>
      </c>
      <c r="L11">
        <f t="shared" ref="L11:L30" si="1">C4/C30</f>
        <v>0.16</v>
      </c>
      <c r="M11" s="565">
        <f t="shared" ref="M11:M30" si="2">D4/D30</f>
        <v>0.18208538764680721</v>
      </c>
      <c r="N11" s="565">
        <f t="shared" ref="N11:N30" si="3">E4/E30</f>
        <v>0.20333200813221294</v>
      </c>
      <c r="O11" s="565">
        <f t="shared" ref="O11:O30" si="4">F4/F30</f>
        <v>0.24054135269053151</v>
      </c>
    </row>
    <row r="12" spans="1:15" x14ac:dyDescent="0.2">
      <c r="A12">
        <v>2009</v>
      </c>
      <c r="B12" s="553">
        <v>1673.6258470805667</v>
      </c>
      <c r="C12" s="553">
        <v>4906.8920253510214</v>
      </c>
      <c r="D12" s="553">
        <v>10163.241368682835</v>
      </c>
      <c r="E12" s="553">
        <v>18183.591403362225</v>
      </c>
      <c r="F12" s="553">
        <v>44780.41349690799</v>
      </c>
      <c r="J12">
        <v>2002</v>
      </c>
      <c r="K12">
        <f t="shared" si="0"/>
        <v>0.16</v>
      </c>
      <c r="L12">
        <f t="shared" si="1"/>
        <v>0.16</v>
      </c>
      <c r="M12" s="565">
        <f t="shared" si="2"/>
        <v>0.18014480432514043</v>
      </c>
      <c r="N12" s="565">
        <f t="shared" si="3"/>
        <v>0.20339527389859224</v>
      </c>
      <c r="O12" s="565">
        <f t="shared" si="4"/>
        <v>0.24015642971366</v>
      </c>
    </row>
    <row r="13" spans="1:15" x14ac:dyDescent="0.2">
      <c r="A13">
        <v>2010</v>
      </c>
      <c r="B13" s="553">
        <v>1684.1788243052504</v>
      </c>
      <c r="C13" s="553">
        <v>5102.0504084040995</v>
      </c>
      <c r="D13" s="553">
        <v>10688.891324597624</v>
      </c>
      <c r="E13" s="553">
        <v>18926.572438351646</v>
      </c>
      <c r="F13" s="553">
        <v>44896.081843801396</v>
      </c>
      <c r="J13">
        <v>2003</v>
      </c>
      <c r="K13">
        <f t="shared" si="0"/>
        <v>0.16</v>
      </c>
      <c r="L13">
        <f t="shared" si="1"/>
        <v>0.16</v>
      </c>
      <c r="M13" s="565">
        <f t="shared" si="2"/>
        <v>0.18158500553536855</v>
      </c>
      <c r="N13" s="565">
        <f t="shared" si="3"/>
        <v>0.20274171342695893</v>
      </c>
      <c r="O13" s="565">
        <f t="shared" si="4"/>
        <v>0.24057167086903031</v>
      </c>
    </row>
    <row r="14" spans="1:15" x14ac:dyDescent="0.2">
      <c r="A14">
        <v>2011</v>
      </c>
      <c r="B14" s="553">
        <v>1775.7944474488922</v>
      </c>
      <c r="C14" s="553">
        <v>5136.3087552134666</v>
      </c>
      <c r="D14" s="553">
        <v>11059.650347394972</v>
      </c>
      <c r="E14" s="553">
        <v>20143.875376703727</v>
      </c>
      <c r="F14" s="553">
        <v>46840.229163923286</v>
      </c>
      <c r="J14">
        <v>2004</v>
      </c>
      <c r="K14">
        <f t="shared" si="0"/>
        <v>0.16</v>
      </c>
      <c r="L14">
        <f t="shared" si="1"/>
        <v>0.16</v>
      </c>
      <c r="M14" s="565">
        <f t="shared" si="2"/>
        <v>0.17873557083673436</v>
      </c>
      <c r="N14" s="565">
        <f t="shared" si="3"/>
        <v>0.20003419611341314</v>
      </c>
      <c r="O14" s="565">
        <f t="shared" si="4"/>
        <v>0.23915281622569157</v>
      </c>
    </row>
    <row r="15" spans="1:15" x14ac:dyDescent="0.2">
      <c r="A15">
        <v>2012</v>
      </c>
      <c r="B15" s="553">
        <v>1893.237860604796</v>
      </c>
      <c r="C15" s="553">
        <v>5610.4069403062012</v>
      </c>
      <c r="D15" s="553">
        <v>11621.833150291481</v>
      </c>
      <c r="E15" s="553">
        <v>20929.962933021503</v>
      </c>
      <c r="F15" s="553">
        <v>47739.679658875379</v>
      </c>
      <c r="J15">
        <v>2005</v>
      </c>
      <c r="K15">
        <f t="shared" si="0"/>
        <v>0.15</v>
      </c>
      <c r="L15">
        <f t="shared" si="1"/>
        <v>0.15</v>
      </c>
      <c r="M15" s="565">
        <f t="shared" si="2"/>
        <v>0.17283326432371238</v>
      </c>
      <c r="N15" s="565">
        <f t="shared" si="3"/>
        <v>0.19720589606465358</v>
      </c>
      <c r="O15" s="565">
        <f t="shared" si="4"/>
        <v>0.23847981936709978</v>
      </c>
    </row>
    <row r="16" spans="1:15" x14ac:dyDescent="0.2">
      <c r="A16">
        <v>2013</v>
      </c>
      <c r="B16" s="553">
        <v>1885.6726968384955</v>
      </c>
      <c r="C16" s="553">
        <v>5523.1874119569311</v>
      </c>
      <c r="D16" s="553">
        <v>11838.26252792788</v>
      </c>
      <c r="E16" s="553">
        <v>21712.678508099874</v>
      </c>
      <c r="F16" s="553">
        <v>49549.96357816417</v>
      </c>
      <c r="J16">
        <v>2006</v>
      </c>
      <c r="K16">
        <f t="shared" si="0"/>
        <v>0.1525</v>
      </c>
      <c r="L16">
        <f t="shared" si="1"/>
        <v>0.1525</v>
      </c>
      <c r="M16" s="565">
        <f t="shared" si="2"/>
        <v>0.17540608697658705</v>
      </c>
      <c r="N16" s="565">
        <f t="shared" si="3"/>
        <v>0.1982520238006788</v>
      </c>
      <c r="O16" s="565">
        <f t="shared" si="4"/>
        <v>0.24040740105862565</v>
      </c>
    </row>
    <row r="17" spans="1:15" x14ac:dyDescent="0.2">
      <c r="A17">
        <v>2014</v>
      </c>
      <c r="B17" s="553">
        <v>1890.8327602756042</v>
      </c>
      <c r="C17" s="553">
        <v>5886.0675318034155</v>
      </c>
      <c r="D17" s="553">
        <v>12191.814462614282</v>
      </c>
      <c r="E17" s="553">
        <v>22272.2006573172</v>
      </c>
      <c r="F17" s="553">
        <v>50958.316177959656</v>
      </c>
      <c r="J17">
        <v>2007</v>
      </c>
      <c r="K17">
        <f t="shared" si="0"/>
        <v>0.15</v>
      </c>
      <c r="L17">
        <f t="shared" si="1"/>
        <v>0.15</v>
      </c>
      <c r="M17" s="565">
        <f t="shared" si="2"/>
        <v>0.17426936888424616</v>
      </c>
      <c r="N17" s="565">
        <f t="shared" si="3"/>
        <v>0.19815564853908579</v>
      </c>
      <c r="O17" s="565">
        <f t="shared" si="4"/>
        <v>0.24134527437492789</v>
      </c>
    </row>
    <row r="18" spans="1:15" x14ac:dyDescent="0.2">
      <c r="A18">
        <v>2015</v>
      </c>
      <c r="B18" s="553">
        <v>1821.2856029171724</v>
      </c>
      <c r="C18" s="553">
        <v>6039.3691211245632</v>
      </c>
      <c r="D18" s="553">
        <v>13240.281377314568</v>
      </c>
      <c r="E18" s="553">
        <v>22439.989545028762</v>
      </c>
      <c r="F18" s="553">
        <v>53095.826243067648</v>
      </c>
      <c r="J18">
        <v>2008</v>
      </c>
      <c r="K18">
        <f t="shared" si="0"/>
        <v>0.15</v>
      </c>
      <c r="L18">
        <f t="shared" si="1"/>
        <v>0.15</v>
      </c>
      <c r="M18" s="565">
        <f t="shared" si="2"/>
        <v>0.17616304616851669</v>
      </c>
      <c r="N18" s="565">
        <f t="shared" si="3"/>
        <v>0.19915551309976562</v>
      </c>
      <c r="O18" s="565">
        <f t="shared" si="4"/>
        <v>0.24121725672495409</v>
      </c>
    </row>
    <row r="19" spans="1:15" x14ac:dyDescent="0.2">
      <c r="A19">
        <v>2016</v>
      </c>
      <c r="B19" s="553">
        <v>1927.2743124372096</v>
      </c>
      <c r="C19" s="553">
        <v>6473.2127017018129</v>
      </c>
      <c r="D19" s="553">
        <v>12521.959346190615</v>
      </c>
      <c r="E19" s="553">
        <v>21600.48461689032</v>
      </c>
      <c r="F19" s="553">
        <v>50291.216394671028</v>
      </c>
      <c r="J19">
        <v>2009</v>
      </c>
      <c r="K19">
        <f t="shared" si="0"/>
        <v>0.15</v>
      </c>
      <c r="L19">
        <f t="shared" si="1"/>
        <v>0.15</v>
      </c>
      <c r="M19" s="565">
        <f t="shared" si="2"/>
        <v>0.17180748098289644</v>
      </c>
      <c r="N19" s="565">
        <f t="shared" si="3"/>
        <v>0.19461708090672955</v>
      </c>
      <c r="O19" s="565">
        <f t="shared" si="4"/>
        <v>0.23750872316606317</v>
      </c>
    </row>
    <row r="20" spans="1:15" x14ac:dyDescent="0.2">
      <c r="A20">
        <v>2017</v>
      </c>
      <c r="B20" s="553">
        <v>2011.4713256751443</v>
      </c>
      <c r="C20" s="553">
        <v>6390.4120382098272</v>
      </c>
      <c r="D20" s="553">
        <v>12606.821493207164</v>
      </c>
      <c r="E20" s="553">
        <v>22444.792506879938</v>
      </c>
      <c r="F20" s="553">
        <v>52903.980259835203</v>
      </c>
      <c r="J20">
        <v>2010</v>
      </c>
      <c r="K20">
        <f t="shared" si="0"/>
        <v>0.15000000000000002</v>
      </c>
      <c r="L20">
        <f t="shared" si="1"/>
        <v>0.15</v>
      </c>
      <c r="M20" s="565">
        <f t="shared" si="2"/>
        <v>0.17345963621530283</v>
      </c>
      <c r="N20" s="565">
        <f t="shared" si="3"/>
        <v>0.19627021241513509</v>
      </c>
      <c r="O20" s="565">
        <f t="shared" si="4"/>
        <v>0.23736242901710006</v>
      </c>
    </row>
    <row r="21" spans="1:15" x14ac:dyDescent="0.2">
      <c r="A21">
        <v>2018</v>
      </c>
      <c r="B21" s="553">
        <v>2118.853987134994</v>
      </c>
      <c r="C21" s="553">
        <v>6298.2372542833382</v>
      </c>
      <c r="D21" s="553">
        <v>12508.477915746464</v>
      </c>
      <c r="E21" s="553">
        <v>22939.794205493308</v>
      </c>
      <c r="F21" s="553">
        <v>54041.432289587785</v>
      </c>
      <c r="J21">
        <v>2011</v>
      </c>
      <c r="K21">
        <f t="shared" si="0"/>
        <v>0.15000000000000002</v>
      </c>
      <c r="L21">
        <f t="shared" si="1"/>
        <v>0.15</v>
      </c>
      <c r="M21" s="565">
        <f t="shared" si="2"/>
        <v>0.17419602296952125</v>
      </c>
      <c r="N21" s="565">
        <f t="shared" si="3"/>
        <v>0.19857111665820196</v>
      </c>
      <c r="O21" s="565">
        <f t="shared" si="4"/>
        <v>0.23857853054935191</v>
      </c>
    </row>
    <row r="22" spans="1:15" x14ac:dyDescent="0.2">
      <c r="A22">
        <v>2019</v>
      </c>
      <c r="B22" s="553">
        <v>2137.7404001038567</v>
      </c>
      <c r="C22" s="553">
        <v>6363.4139541945569</v>
      </c>
      <c r="D22" s="553">
        <v>12751.59340448715</v>
      </c>
      <c r="E22" s="553">
        <v>23492.92756563297</v>
      </c>
      <c r="F22" s="553">
        <v>55460.586696163999</v>
      </c>
      <c r="J22">
        <v>2012</v>
      </c>
      <c r="K22">
        <f t="shared" si="0"/>
        <v>0.15000000000000002</v>
      </c>
      <c r="L22">
        <f t="shared" si="1"/>
        <v>0.15</v>
      </c>
      <c r="M22" s="565">
        <f t="shared" si="2"/>
        <v>0.17498779999353586</v>
      </c>
      <c r="N22" s="565">
        <f t="shared" si="3"/>
        <v>0.19907037562204208</v>
      </c>
      <c r="O22" s="565">
        <f t="shared" si="4"/>
        <v>0.23821412680419107</v>
      </c>
    </row>
    <row r="23" spans="1:15" x14ac:dyDescent="0.2">
      <c r="A23">
        <v>2020</v>
      </c>
      <c r="B23" s="553">
        <v>2146.7882266002703</v>
      </c>
      <c r="C23" s="553">
        <v>6265.9541102205394</v>
      </c>
      <c r="D23" s="553">
        <v>12477.340192730382</v>
      </c>
      <c r="E23" s="553">
        <v>22865.716576712581</v>
      </c>
      <c r="F23" s="553">
        <v>53295.277531633707</v>
      </c>
      <c r="J23">
        <v>2013</v>
      </c>
      <c r="K23">
        <f t="shared" si="0"/>
        <v>0.15</v>
      </c>
      <c r="L23">
        <f t="shared" si="1"/>
        <v>0.15</v>
      </c>
      <c r="M23" s="565">
        <f t="shared" si="2"/>
        <v>0.17493951742899261</v>
      </c>
      <c r="N23" s="565">
        <f t="shared" si="3"/>
        <v>0.19985565516712628</v>
      </c>
      <c r="O23" s="565">
        <f t="shared" si="4"/>
        <v>0.23895077060894912</v>
      </c>
    </row>
    <row r="24" spans="1:15" x14ac:dyDescent="0.2">
      <c r="J24">
        <v>2014</v>
      </c>
      <c r="K24">
        <f t="shared" si="0"/>
        <v>0.15000000000000002</v>
      </c>
      <c r="L24">
        <f t="shared" si="1"/>
        <v>0.15</v>
      </c>
      <c r="M24" s="565">
        <f t="shared" si="2"/>
        <v>0.17566852568777264</v>
      </c>
      <c r="N24" s="565">
        <f t="shared" si="3"/>
        <v>0.20061437458181267</v>
      </c>
      <c r="O24" s="565">
        <f t="shared" si="4"/>
        <v>0.23974779459981924</v>
      </c>
    </row>
    <row r="25" spans="1:15" x14ac:dyDescent="0.2">
      <c r="J25">
        <v>2015</v>
      </c>
      <c r="K25">
        <f t="shared" si="0"/>
        <v>0.15</v>
      </c>
      <c r="L25">
        <f t="shared" si="1"/>
        <v>0.15000000000000002</v>
      </c>
      <c r="M25" s="565">
        <f t="shared" si="2"/>
        <v>0.17794607958907818</v>
      </c>
      <c r="N25" s="565">
        <f t="shared" si="3"/>
        <v>0.20018450349409231</v>
      </c>
      <c r="O25" s="565">
        <f t="shared" si="4"/>
        <v>0.24074651062841937</v>
      </c>
    </row>
    <row r="26" spans="1:15" x14ac:dyDescent="0.2">
      <c r="J26">
        <v>2016</v>
      </c>
      <c r="K26">
        <f t="shared" si="0"/>
        <v>0.15</v>
      </c>
      <c r="L26">
        <f t="shared" si="1"/>
        <v>0.15000000000000002</v>
      </c>
      <c r="M26" s="565">
        <f t="shared" si="2"/>
        <v>0.17099130108268615</v>
      </c>
      <c r="N26" s="565">
        <f t="shared" si="3"/>
        <v>0.19318016653850223</v>
      </c>
      <c r="O26" s="565">
        <f t="shared" si="4"/>
        <v>0.23717413342094945</v>
      </c>
    </row>
    <row r="27" spans="1:15" x14ac:dyDescent="0.2">
      <c r="A27" s="552" t="s">
        <v>92</v>
      </c>
      <c r="J27">
        <v>2017</v>
      </c>
      <c r="K27">
        <f t="shared" si="0"/>
        <v>0.15</v>
      </c>
      <c r="L27">
        <f t="shared" si="1"/>
        <v>0.15000000000000002</v>
      </c>
      <c r="M27" s="565">
        <f t="shared" si="2"/>
        <v>0.17078799851215326</v>
      </c>
      <c r="N27" s="565">
        <f t="shared" si="3"/>
        <v>0.19438625837807103</v>
      </c>
      <c r="O27" s="565">
        <f t="shared" si="4"/>
        <v>0.23960578191238846</v>
      </c>
    </row>
    <row r="28" spans="1:15" x14ac:dyDescent="0.2">
      <c r="A28" t="s">
        <v>44</v>
      </c>
      <c r="B28" t="s">
        <v>50</v>
      </c>
      <c r="C28" t="s">
        <v>48</v>
      </c>
      <c r="D28" t="s">
        <v>47</v>
      </c>
      <c r="E28" t="s">
        <v>45</v>
      </c>
      <c r="F28" t="s">
        <v>46</v>
      </c>
      <c r="J28">
        <v>2018</v>
      </c>
      <c r="K28">
        <f t="shared" si="0"/>
        <v>0.15</v>
      </c>
      <c r="L28">
        <f t="shared" si="1"/>
        <v>0.15</v>
      </c>
      <c r="M28" s="565">
        <f t="shared" si="2"/>
        <v>0.17013535101474461</v>
      </c>
      <c r="N28" s="565">
        <f t="shared" si="3"/>
        <v>0.19472549995540159</v>
      </c>
      <c r="O28" s="565">
        <f t="shared" si="4"/>
        <v>0.24002413618030161</v>
      </c>
    </row>
    <row r="29" spans="1:15" x14ac:dyDescent="0.2">
      <c r="A29">
        <v>2000</v>
      </c>
      <c r="B29" s="553">
        <v>9610.5151074904516</v>
      </c>
      <c r="C29" s="553">
        <v>26767.193549284999</v>
      </c>
      <c r="D29" s="553">
        <v>47000.230987947085</v>
      </c>
      <c r="E29" s="553">
        <v>73831.392092900365</v>
      </c>
      <c r="F29" s="553">
        <v>146045.03766432963</v>
      </c>
      <c r="J29">
        <v>2019</v>
      </c>
      <c r="K29">
        <f t="shared" si="0"/>
        <v>0.15</v>
      </c>
      <c r="L29">
        <f t="shared" si="1"/>
        <v>0.15</v>
      </c>
      <c r="M29" s="565">
        <f t="shared" si="2"/>
        <v>0.1700627970770906</v>
      </c>
      <c r="N29" s="565">
        <f t="shared" si="3"/>
        <v>0.19482635034303158</v>
      </c>
      <c r="O29" s="565">
        <f t="shared" si="4"/>
        <v>0.24029612289837626</v>
      </c>
    </row>
    <row r="30" spans="1:15" x14ac:dyDescent="0.2">
      <c r="A30">
        <v>2001</v>
      </c>
      <c r="B30" s="553">
        <v>9189.0190609892052</v>
      </c>
      <c r="C30" s="553">
        <v>27740.142215480249</v>
      </c>
      <c r="D30" s="553">
        <v>48668.307163757963</v>
      </c>
      <c r="E30" s="553">
        <v>75979.399623785139</v>
      </c>
      <c r="F30" s="553">
        <v>147711.27795485422</v>
      </c>
      <c r="J30">
        <v>2020</v>
      </c>
      <c r="K30">
        <f t="shared" si="0"/>
        <v>0.15</v>
      </c>
      <c r="L30">
        <f t="shared" si="1"/>
        <v>0.15000000000000002</v>
      </c>
      <c r="M30" s="565">
        <f t="shared" si="2"/>
        <v>0.1688713535176051</v>
      </c>
      <c r="N30" s="565">
        <f t="shared" si="3"/>
        <v>0.19256003506949937</v>
      </c>
      <c r="O30" s="565">
        <f t="shared" si="4"/>
        <v>0.23641446982288425</v>
      </c>
    </row>
    <row r="31" spans="1:15" x14ac:dyDescent="0.2">
      <c r="A31">
        <v>2002</v>
      </c>
      <c r="B31" s="553">
        <v>9338.2835031434661</v>
      </c>
      <c r="C31" s="553">
        <v>27633.934138071123</v>
      </c>
      <c r="D31" s="553">
        <v>47688.136209525641</v>
      </c>
      <c r="E31" s="553">
        <v>78346.461602076495</v>
      </c>
      <c r="F31" s="553">
        <v>150967.91736169462</v>
      </c>
    </row>
    <row r="32" spans="1:15" x14ac:dyDescent="0.2">
      <c r="A32">
        <v>2003</v>
      </c>
      <c r="B32" s="553">
        <v>9573.87687392919</v>
      </c>
      <c r="C32" s="553">
        <v>27261.774287540451</v>
      </c>
      <c r="D32" s="553">
        <v>50266.309468763451</v>
      </c>
      <c r="E32" s="553">
        <v>78690.793414719796</v>
      </c>
      <c r="F32" s="553">
        <v>154671.22062214086</v>
      </c>
    </row>
    <row r="33" spans="1:6" x14ac:dyDescent="0.2">
      <c r="A33">
        <v>2004</v>
      </c>
      <c r="B33" s="553">
        <v>9827.7498536300918</v>
      </c>
      <c r="C33" s="553">
        <v>27751.118544780784</v>
      </c>
      <c r="D33" s="553">
        <v>50891.289243120314</v>
      </c>
      <c r="E33" s="553">
        <v>81713.237919187319</v>
      </c>
      <c r="F33" s="553">
        <v>163511.90730450794</v>
      </c>
    </row>
    <row r="34" spans="1:6" x14ac:dyDescent="0.2">
      <c r="A34">
        <v>2005</v>
      </c>
      <c r="B34" s="553">
        <v>9745.9805281672707</v>
      </c>
      <c r="C34" s="553">
        <v>28945.306693752169</v>
      </c>
      <c r="D34" s="553">
        <v>52826.424476363332</v>
      </c>
      <c r="E34" s="553">
        <v>85027.887419133447</v>
      </c>
      <c r="F34" s="553">
        <v>171028.51526830875</v>
      </c>
    </row>
    <row r="35" spans="1:6" x14ac:dyDescent="0.2">
      <c r="A35">
        <v>2006</v>
      </c>
      <c r="B35" s="553">
        <v>10768.45008947001</v>
      </c>
      <c r="C35" s="553">
        <v>31044.376361603823</v>
      </c>
      <c r="D35" s="553">
        <v>55063.905217530315</v>
      </c>
      <c r="E35" s="553">
        <v>86897.665806559424</v>
      </c>
      <c r="F35" s="553">
        <v>179750.71261213793</v>
      </c>
    </row>
    <row r="36" spans="1:6" x14ac:dyDescent="0.2">
      <c r="A36">
        <v>2007</v>
      </c>
      <c r="B36" s="553">
        <v>11714.903730927444</v>
      </c>
      <c r="C36" s="553">
        <v>33473.022170115873</v>
      </c>
      <c r="D36" s="553">
        <v>56908.464556560059</v>
      </c>
      <c r="E36" s="553">
        <v>90173.797093248126</v>
      </c>
      <c r="F36" s="553">
        <v>189156.34363905349</v>
      </c>
    </row>
    <row r="37" spans="1:6" x14ac:dyDescent="0.2">
      <c r="A37">
        <v>2008</v>
      </c>
      <c r="B37" s="553">
        <v>11668.322299485088</v>
      </c>
      <c r="C37" s="553">
        <v>34107.134589564332</v>
      </c>
      <c r="D37" s="553">
        <v>60495.763692763554</v>
      </c>
      <c r="E37" s="553">
        <v>93397.286911431074</v>
      </c>
      <c r="F37" s="553">
        <v>192244.82614935876</v>
      </c>
    </row>
    <row r="38" spans="1:6" x14ac:dyDescent="0.2">
      <c r="A38">
        <v>2009</v>
      </c>
      <c r="B38" s="553">
        <v>11157.505647203778</v>
      </c>
      <c r="C38" s="553">
        <v>32712.613502340144</v>
      </c>
      <c r="D38" s="553">
        <v>59154.824403103798</v>
      </c>
      <c r="E38" s="553">
        <v>93432.659243700866</v>
      </c>
      <c r="F38" s="553">
        <v>188542.18447209653</v>
      </c>
    </row>
    <row r="39" spans="1:6" x14ac:dyDescent="0.2">
      <c r="A39">
        <v>2010</v>
      </c>
      <c r="B39" s="553">
        <v>11227.858828701668</v>
      </c>
      <c r="C39" s="553">
        <v>34013.669389360664</v>
      </c>
      <c r="D39" s="553">
        <v>61621.778748171018</v>
      </c>
      <c r="E39" s="553">
        <v>96431.20168596787</v>
      </c>
      <c r="F39" s="553">
        <v>189145.69601310827</v>
      </c>
    </row>
    <row r="40" spans="1:6" x14ac:dyDescent="0.2">
      <c r="A40">
        <v>2011</v>
      </c>
      <c r="B40" s="553">
        <v>11838.62964965928</v>
      </c>
      <c r="C40" s="553">
        <v>34242.058368089776</v>
      </c>
      <c r="D40" s="553">
        <v>63489.683397249879</v>
      </c>
      <c r="E40" s="553">
        <v>101444.1360642451</v>
      </c>
      <c r="F40" s="553">
        <v>196330.44539283891</v>
      </c>
    </row>
    <row r="41" spans="1:6" x14ac:dyDescent="0.2">
      <c r="A41">
        <v>2012</v>
      </c>
      <c r="B41" s="553">
        <v>12621.585737365305</v>
      </c>
      <c r="C41" s="553">
        <v>37402.712935374679</v>
      </c>
      <c r="D41" s="553">
        <v>66415.105228597633</v>
      </c>
      <c r="E41" s="553">
        <v>105138.51128085193</v>
      </c>
      <c r="F41" s="553">
        <v>200406.58503060474</v>
      </c>
    </row>
    <row r="42" spans="1:6" x14ac:dyDescent="0.2">
      <c r="A42">
        <v>2013</v>
      </c>
      <c r="B42" s="553">
        <v>12571.151312256638</v>
      </c>
      <c r="C42" s="553">
        <v>36821.249413046207</v>
      </c>
      <c r="D42" s="553">
        <v>67670.602399672178</v>
      </c>
      <c r="E42" s="553">
        <v>108641.80195423029</v>
      </c>
      <c r="F42" s="553">
        <v>207364.73647642817</v>
      </c>
    </row>
    <row r="43" spans="1:6" x14ac:dyDescent="0.2">
      <c r="A43">
        <v>2014</v>
      </c>
      <c r="B43" s="553">
        <v>12605.551735170693</v>
      </c>
      <c r="C43" s="553">
        <v>39240.45021202277</v>
      </c>
      <c r="D43" s="553">
        <v>69402.383920974011</v>
      </c>
      <c r="E43" s="553">
        <v>111019.96406660462</v>
      </c>
      <c r="F43" s="553">
        <v>212549.67647572295</v>
      </c>
    </row>
    <row r="44" spans="1:6" x14ac:dyDescent="0.2">
      <c r="A44">
        <v>2015</v>
      </c>
      <c r="B44" s="553">
        <v>12141.904019447817</v>
      </c>
      <c r="C44" s="553">
        <v>40262.460807497082</v>
      </c>
      <c r="D44" s="553">
        <v>74406.142624157132</v>
      </c>
      <c r="E44" s="553">
        <v>112096.53671164908</v>
      </c>
      <c r="F44" s="553">
        <v>220546.60773471603</v>
      </c>
    </row>
    <row r="45" spans="1:6" x14ac:dyDescent="0.2">
      <c r="A45">
        <v>2016</v>
      </c>
      <c r="B45" s="553">
        <v>12848.495416248064</v>
      </c>
      <c r="C45" s="553">
        <v>43154.751344678749</v>
      </c>
      <c r="D45" s="553">
        <v>73231.557786295685</v>
      </c>
      <c r="E45" s="553">
        <v>111815.229295732</v>
      </c>
      <c r="F45" s="553">
        <v>212043.42846870009</v>
      </c>
    </row>
    <row r="46" spans="1:6" x14ac:dyDescent="0.2">
      <c r="A46">
        <v>2017</v>
      </c>
      <c r="B46" s="553">
        <v>13409.808837834296</v>
      </c>
      <c r="C46" s="553">
        <v>42602.746921398844</v>
      </c>
      <c r="D46" s="553">
        <v>73815.617040034951</v>
      </c>
      <c r="E46" s="553">
        <v>115464.91348799976</v>
      </c>
      <c r="F46" s="553">
        <v>220795.92502980365</v>
      </c>
    </row>
    <row r="47" spans="1:6" x14ac:dyDescent="0.2">
      <c r="A47">
        <v>2018</v>
      </c>
      <c r="B47" s="553">
        <v>14125.693247566627</v>
      </c>
      <c r="C47" s="553">
        <v>41988.248361888924</v>
      </c>
      <c r="D47" s="553">
        <v>73520.745930470555</v>
      </c>
      <c r="E47" s="553">
        <v>117805.80463651274</v>
      </c>
      <c r="F47" s="553">
        <v>225149.99178662966</v>
      </c>
    </row>
    <row r="48" spans="1:6" x14ac:dyDescent="0.2">
      <c r="A48">
        <v>2019</v>
      </c>
      <c r="B48" s="553">
        <v>14251.602667359046</v>
      </c>
      <c r="C48" s="553">
        <v>42422.759694630382</v>
      </c>
      <c r="D48" s="553">
        <v>74981.675143839762</v>
      </c>
      <c r="E48" s="553">
        <v>120583.93294474219</v>
      </c>
      <c r="F48" s="553">
        <v>230801.00513989091</v>
      </c>
    </row>
    <row r="49" spans="1:6" x14ac:dyDescent="0.2">
      <c r="A49">
        <v>2020</v>
      </c>
      <c r="B49" s="553">
        <v>14311.921510668468</v>
      </c>
      <c r="C49" s="553">
        <v>41773.027401470259</v>
      </c>
      <c r="D49" s="553">
        <v>73886.659476733577</v>
      </c>
      <c r="E49" s="553">
        <v>118745.90991043295</v>
      </c>
      <c r="F49" s="553">
        <v>225431.5379746476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A459D-16F7-854E-ABCB-D5530523279C}">
  <dimension ref="B1:Q51"/>
  <sheetViews>
    <sheetView workbookViewId="0">
      <selection activeCell="J55" sqref="J55"/>
    </sheetView>
  </sheetViews>
  <sheetFormatPr baseColWidth="10" defaultRowHeight="15" x14ac:dyDescent="0.2"/>
  <cols>
    <col min="1" max="1" width="8.6640625" bestFit="1" customWidth="1"/>
    <col min="2" max="2" width="21" bestFit="1" customWidth="1"/>
    <col min="3" max="3" width="18.5" bestFit="1" customWidth="1"/>
    <col min="4" max="4" width="13.33203125" bestFit="1" customWidth="1"/>
    <col min="5" max="5" width="11.83203125" bestFit="1" customWidth="1"/>
    <col min="6" max="6" width="13" bestFit="1" customWidth="1"/>
    <col min="7" max="7" width="13.5" bestFit="1" customWidth="1"/>
    <col min="8" max="8" width="12.1640625" bestFit="1" customWidth="1"/>
    <col min="9" max="9" width="30.83203125" bestFit="1" customWidth="1"/>
    <col min="10" max="10" width="33.6640625" customWidth="1"/>
    <col min="11" max="11" width="29.1640625" bestFit="1" customWidth="1"/>
    <col min="12" max="12" width="12.1640625" bestFit="1" customWidth="1"/>
    <col min="13" max="13" width="13.33203125" bestFit="1" customWidth="1"/>
    <col min="14" max="14" width="12.1640625" bestFit="1" customWidth="1"/>
    <col min="15" max="15" width="13" bestFit="1" customWidth="1"/>
    <col min="16" max="16" width="13.5" bestFit="1" customWidth="1"/>
  </cols>
  <sheetData>
    <row r="1" spans="2:16" x14ac:dyDescent="0.2">
      <c r="B1" t="s">
        <v>97</v>
      </c>
    </row>
    <row r="2" spans="2:16" x14ac:dyDescent="0.2">
      <c r="B2" t="s">
        <v>44</v>
      </c>
      <c r="C2" t="s">
        <v>50</v>
      </c>
      <c r="D2" t="s">
        <v>48</v>
      </c>
      <c r="E2" t="s">
        <v>47</v>
      </c>
      <c r="F2" t="s">
        <v>45</v>
      </c>
      <c r="G2" t="s">
        <v>46</v>
      </c>
      <c r="H2" t="s">
        <v>1</v>
      </c>
      <c r="I2" t="s">
        <v>95</v>
      </c>
    </row>
    <row r="3" spans="2:16" x14ac:dyDescent="0.2">
      <c r="B3">
        <v>2000</v>
      </c>
      <c r="C3" s="566">
        <f>L31/$Q31</f>
        <v>0.15845633364563441</v>
      </c>
      <c r="D3" s="566">
        <f>M31/$Q31</f>
        <v>0.44133236401626363</v>
      </c>
      <c r="E3" s="566">
        <f>N31/$Q31</f>
        <v>0.77493081271402897</v>
      </c>
      <c r="F3" s="566">
        <f>O31/$Q31</f>
        <v>1.2173178615448004</v>
      </c>
      <c r="G3" s="566">
        <f>P31/$Q31</f>
        <v>2.4079626280792725</v>
      </c>
      <c r="H3" s="566">
        <f xml:space="preserve"> SUM(C3:G3)</f>
        <v>5</v>
      </c>
      <c r="I3" s="566">
        <f>1/5*H3</f>
        <v>1</v>
      </c>
      <c r="J3" s="566"/>
    </row>
    <row r="4" spans="2:16" x14ac:dyDescent="0.2">
      <c r="B4">
        <v>2001</v>
      </c>
      <c r="C4" s="566">
        <f t="shared" ref="C4:C23" si="0">L32/$Q32</f>
        <v>0.14855110322315213</v>
      </c>
      <c r="D4" s="566">
        <f t="shared" ref="D4:D23" si="1">M32/$Q32</f>
        <v>0.44845142907268232</v>
      </c>
      <c r="E4" s="566">
        <f t="shared" ref="E4:E23" si="2">N32/$Q32</f>
        <v>0.78677938017044413</v>
      </c>
      <c r="F4" s="566">
        <f t="shared" ref="F4:F23" si="3">O32/$Q32</f>
        <v>1.2282947245438618</v>
      </c>
      <c r="G4" s="566">
        <f t="shared" ref="G4:G23" si="4">P32/$Q32</f>
        <v>2.3879233629898593</v>
      </c>
      <c r="H4" s="566">
        <f t="shared" ref="H4:H23" si="5" xml:space="preserve"> SUM(C4:G4)</f>
        <v>5</v>
      </c>
      <c r="I4" s="566">
        <f t="shared" ref="I4:I23" si="6">1/5*H4</f>
        <v>1</v>
      </c>
      <c r="J4" s="566"/>
      <c r="K4" t="s">
        <v>93</v>
      </c>
    </row>
    <row r="5" spans="2:16" x14ac:dyDescent="0.2">
      <c r="B5">
        <v>2002</v>
      </c>
      <c r="C5" s="566">
        <f t="shared" si="0"/>
        <v>0.14871074846427687</v>
      </c>
      <c r="D5" s="566">
        <f t="shared" si="1"/>
        <v>0.4400662099519419</v>
      </c>
      <c r="E5" s="566">
        <f t="shared" si="2"/>
        <v>0.75942633634947043</v>
      </c>
      <c r="F5" s="566">
        <f t="shared" si="3"/>
        <v>1.2476555183241718</v>
      </c>
      <c r="G5" s="566">
        <f t="shared" si="4"/>
        <v>2.404141186910139</v>
      </c>
      <c r="H5" s="566">
        <f t="shared" si="5"/>
        <v>5</v>
      </c>
      <c r="I5" s="566">
        <f t="shared" si="6"/>
        <v>1</v>
      </c>
      <c r="J5" s="566"/>
      <c r="K5" t="s">
        <v>44</v>
      </c>
      <c r="L5" t="s">
        <v>50</v>
      </c>
      <c r="M5" t="s">
        <v>48</v>
      </c>
      <c r="N5" t="s">
        <v>47</v>
      </c>
      <c r="O5" t="s">
        <v>45</v>
      </c>
      <c r="P5" t="s">
        <v>46</v>
      </c>
    </row>
    <row r="6" spans="2:16" x14ac:dyDescent="0.2">
      <c r="B6">
        <v>2003</v>
      </c>
      <c r="C6" s="566">
        <f t="shared" si="0"/>
        <v>0.14937524387686293</v>
      </c>
      <c r="D6" s="566">
        <f t="shared" si="1"/>
        <v>0.42534850158837179</v>
      </c>
      <c r="E6" s="566">
        <f t="shared" si="2"/>
        <v>0.78427395030878899</v>
      </c>
      <c r="F6" s="566">
        <f t="shared" si="3"/>
        <v>1.227763487244796</v>
      </c>
      <c r="G6" s="566">
        <f t="shared" si="4"/>
        <v>2.4132388169811807</v>
      </c>
      <c r="H6" s="566">
        <f t="shared" si="5"/>
        <v>5</v>
      </c>
      <c r="I6" s="566">
        <f t="shared" si="6"/>
        <v>1</v>
      </c>
      <c r="J6" s="566"/>
      <c r="K6">
        <v>2000</v>
      </c>
      <c r="L6">
        <v>0.16999999999999996</v>
      </c>
      <c r="M6">
        <v>0.16999999999999998</v>
      </c>
      <c r="N6">
        <v>0.19892961269455151</v>
      </c>
      <c r="O6">
        <v>0.2249777938094488</v>
      </c>
      <c r="P6">
        <v>0.25712877016038094</v>
      </c>
    </row>
    <row r="7" spans="2:16" x14ac:dyDescent="0.2">
      <c r="B7">
        <v>2004</v>
      </c>
      <c r="C7" s="566">
        <f t="shared" si="0"/>
        <v>0.14725634087812353</v>
      </c>
      <c r="D7" s="566">
        <f t="shared" si="1"/>
        <v>0.41581524082748267</v>
      </c>
      <c r="E7" s="566">
        <f t="shared" si="2"/>
        <v>0.76254128850705449</v>
      </c>
      <c r="F7" s="566">
        <f t="shared" si="3"/>
        <v>1.2243690159491072</v>
      </c>
      <c r="G7" s="566">
        <f t="shared" si="4"/>
        <v>2.4500181138382318</v>
      </c>
      <c r="H7" s="566">
        <f t="shared" si="5"/>
        <v>5</v>
      </c>
      <c r="I7" s="566">
        <f t="shared" si="6"/>
        <v>1</v>
      </c>
      <c r="J7" s="566"/>
      <c r="K7">
        <v>2001</v>
      </c>
      <c r="L7">
        <v>0.15999999999999998</v>
      </c>
      <c r="M7">
        <v>0.16</v>
      </c>
      <c r="N7">
        <v>0.18208538764680721</v>
      </c>
      <c r="O7">
        <v>0.20333200813221294</v>
      </c>
      <c r="P7">
        <v>0.24054135269053151</v>
      </c>
    </row>
    <row r="8" spans="2:16" x14ac:dyDescent="0.2">
      <c r="B8">
        <v>2005</v>
      </c>
      <c r="C8" s="566">
        <f t="shared" si="0"/>
        <v>0.14020003396098046</v>
      </c>
      <c r="D8" s="566">
        <f t="shared" si="1"/>
        <v>0.41639042575002772</v>
      </c>
      <c r="E8" s="566">
        <f t="shared" si="2"/>
        <v>0.75993036146728854</v>
      </c>
      <c r="F8" s="566">
        <f t="shared" si="3"/>
        <v>1.2231619660371575</v>
      </c>
      <c r="G8" s="566">
        <f t="shared" si="4"/>
        <v>2.4603172127845458</v>
      </c>
      <c r="H8" s="566">
        <f t="shared" si="5"/>
        <v>5</v>
      </c>
      <c r="I8" s="566">
        <f t="shared" si="6"/>
        <v>1</v>
      </c>
      <c r="J8" s="566"/>
      <c r="K8">
        <v>2002</v>
      </c>
      <c r="L8">
        <v>0.16</v>
      </c>
      <c r="M8">
        <v>0.16</v>
      </c>
      <c r="N8">
        <v>0.18014480432514043</v>
      </c>
      <c r="O8">
        <v>0.20339527389859224</v>
      </c>
      <c r="P8">
        <v>0.24015642971366</v>
      </c>
    </row>
    <row r="9" spans="2:16" x14ac:dyDescent="0.2">
      <c r="B9">
        <v>2006</v>
      </c>
      <c r="C9" s="566">
        <f t="shared" si="0"/>
        <v>0.14811150303873014</v>
      </c>
      <c r="D9" s="566">
        <f t="shared" si="1"/>
        <v>0.42699081164088554</v>
      </c>
      <c r="E9" s="566">
        <f t="shared" si="2"/>
        <v>0.75736040908297342</v>
      </c>
      <c r="F9" s="566">
        <f t="shared" si="3"/>
        <v>1.1952085756289399</v>
      </c>
      <c r="G9" s="566">
        <f t="shared" si="4"/>
        <v>2.4723287006084718</v>
      </c>
      <c r="H9" s="566">
        <f t="shared" si="5"/>
        <v>5.0000000000000009</v>
      </c>
      <c r="I9" s="566">
        <f t="shared" si="6"/>
        <v>1.0000000000000002</v>
      </c>
      <c r="J9" s="566"/>
      <c r="K9">
        <v>2003</v>
      </c>
      <c r="L9">
        <v>0.16</v>
      </c>
      <c r="M9">
        <v>0.16</v>
      </c>
      <c r="N9">
        <v>0.18158500553536855</v>
      </c>
      <c r="O9">
        <v>0.20274171342695893</v>
      </c>
      <c r="P9">
        <v>0.24057167086903031</v>
      </c>
    </row>
    <row r="10" spans="2:16" x14ac:dyDescent="0.2">
      <c r="B10">
        <v>2007</v>
      </c>
      <c r="C10" s="566">
        <f t="shared" si="0"/>
        <v>0.15356697519678852</v>
      </c>
      <c r="D10" s="566">
        <f t="shared" si="1"/>
        <v>0.43878728186123861</v>
      </c>
      <c r="E10" s="566">
        <f t="shared" si="2"/>
        <v>0.74599509870259151</v>
      </c>
      <c r="F10" s="566">
        <f t="shared" si="3"/>
        <v>1.1820598427165034</v>
      </c>
      <c r="G10" s="566">
        <f t="shared" si="4"/>
        <v>2.4795908015228778</v>
      </c>
      <c r="H10" s="566">
        <f t="shared" si="5"/>
        <v>5</v>
      </c>
      <c r="I10" s="566">
        <f t="shared" si="6"/>
        <v>1</v>
      </c>
      <c r="J10" s="566"/>
      <c r="K10">
        <v>2004</v>
      </c>
      <c r="L10">
        <v>0.16</v>
      </c>
      <c r="M10">
        <v>0.16</v>
      </c>
      <c r="N10">
        <v>0.17873557083673436</v>
      </c>
      <c r="O10">
        <v>0.20003419611341314</v>
      </c>
      <c r="P10">
        <v>0.23915281622569157</v>
      </c>
    </row>
    <row r="11" spans="2:16" x14ac:dyDescent="0.2">
      <c r="B11">
        <v>2008</v>
      </c>
      <c r="C11" s="566">
        <f t="shared" si="0"/>
        <v>0.148863553467739</v>
      </c>
      <c r="D11" s="566">
        <f t="shared" si="1"/>
        <v>0.43513618524481767</v>
      </c>
      <c r="E11" s="566">
        <f t="shared" si="2"/>
        <v>0.77180027444449495</v>
      </c>
      <c r="F11" s="566">
        <f t="shared" si="3"/>
        <v>1.1915553630615026</v>
      </c>
      <c r="G11" s="566">
        <f t="shared" si="4"/>
        <v>2.4526446237814459</v>
      </c>
      <c r="H11" s="566">
        <f t="shared" si="5"/>
        <v>5</v>
      </c>
      <c r="I11" s="566">
        <f t="shared" si="6"/>
        <v>1</v>
      </c>
      <c r="J11" s="566"/>
      <c r="K11">
        <v>2005</v>
      </c>
      <c r="L11">
        <v>0.15</v>
      </c>
      <c r="M11">
        <v>0.15</v>
      </c>
      <c r="N11">
        <v>0.17283326432371238</v>
      </c>
      <c r="O11">
        <v>0.19720589606465358</v>
      </c>
      <c r="P11">
        <v>0.23847981936709978</v>
      </c>
    </row>
    <row r="12" spans="2:16" x14ac:dyDescent="0.2">
      <c r="B12">
        <v>2009</v>
      </c>
      <c r="C12" s="566">
        <f t="shared" si="0"/>
        <v>0.14490275080884771</v>
      </c>
      <c r="D12" s="566">
        <f t="shared" si="1"/>
        <v>0.42483937113880704</v>
      </c>
      <c r="E12" s="566">
        <f t="shared" si="2"/>
        <v>0.76824489726091039</v>
      </c>
      <c r="F12" s="566">
        <f t="shared" si="3"/>
        <v>1.2134118294791936</v>
      </c>
      <c r="G12" s="566">
        <f t="shared" si="4"/>
        <v>2.448601151312241</v>
      </c>
      <c r="H12" s="566">
        <f t="shared" si="5"/>
        <v>5</v>
      </c>
      <c r="I12" s="566">
        <f t="shared" si="6"/>
        <v>1</v>
      </c>
      <c r="J12" s="566"/>
      <c r="K12">
        <v>2006</v>
      </c>
      <c r="L12">
        <v>0.1525</v>
      </c>
      <c r="M12">
        <v>0.1525</v>
      </c>
      <c r="N12">
        <v>0.17540608697658705</v>
      </c>
      <c r="O12">
        <v>0.1982520238006788</v>
      </c>
      <c r="P12">
        <v>0.24040740105862565</v>
      </c>
    </row>
    <row r="13" spans="2:16" x14ac:dyDescent="0.2">
      <c r="B13">
        <v>2010</v>
      </c>
      <c r="C13" s="566">
        <f t="shared" si="0"/>
        <v>0.14305184197777707</v>
      </c>
      <c r="D13" s="566">
        <f t="shared" si="1"/>
        <v>0.43336117177862854</v>
      </c>
      <c r="E13" s="566">
        <f t="shared" si="2"/>
        <v>0.78511041956984018</v>
      </c>
      <c r="F13" s="566">
        <f t="shared" si="3"/>
        <v>1.2286101237793501</v>
      </c>
      <c r="G13" s="566">
        <f t="shared" si="4"/>
        <v>2.4098664428944043</v>
      </c>
      <c r="H13" s="566">
        <f t="shared" si="5"/>
        <v>5</v>
      </c>
      <c r="I13" s="566">
        <f t="shared" si="6"/>
        <v>1</v>
      </c>
      <c r="J13" s="566"/>
      <c r="K13">
        <v>2007</v>
      </c>
      <c r="L13">
        <v>0.15</v>
      </c>
      <c r="M13">
        <v>0.15</v>
      </c>
      <c r="N13">
        <v>0.17426936888424616</v>
      </c>
      <c r="O13">
        <v>0.19815564853908579</v>
      </c>
      <c r="P13">
        <v>0.24134527437492789</v>
      </c>
    </row>
    <row r="14" spans="2:16" x14ac:dyDescent="0.2">
      <c r="B14">
        <v>2011</v>
      </c>
      <c r="C14" s="566">
        <f t="shared" si="0"/>
        <v>0.14531454932960619</v>
      </c>
      <c r="D14" s="566">
        <f t="shared" si="1"/>
        <v>0.42030787575319101</v>
      </c>
      <c r="E14" s="566">
        <f t="shared" si="2"/>
        <v>0.77931103539642133</v>
      </c>
      <c r="F14" s="566">
        <f t="shared" si="3"/>
        <v>1.2451870993980529</v>
      </c>
      <c r="G14" s="566">
        <f t="shared" si="4"/>
        <v>2.4098794401227286</v>
      </c>
      <c r="H14" s="566">
        <f t="shared" si="5"/>
        <v>5</v>
      </c>
      <c r="I14" s="566">
        <f t="shared" si="6"/>
        <v>1</v>
      </c>
      <c r="J14" s="566"/>
      <c r="K14">
        <v>2008</v>
      </c>
      <c r="L14">
        <v>0.15</v>
      </c>
      <c r="M14">
        <v>0.15</v>
      </c>
      <c r="N14">
        <v>0.17616304616851669</v>
      </c>
      <c r="O14">
        <v>0.19915551309976562</v>
      </c>
      <c r="P14">
        <v>0.24121725672495409</v>
      </c>
    </row>
    <row r="15" spans="2:16" x14ac:dyDescent="0.2">
      <c r="B15">
        <v>2012</v>
      </c>
      <c r="C15" s="566">
        <f t="shared" si="0"/>
        <v>0.14955034759571278</v>
      </c>
      <c r="D15" s="566">
        <f t="shared" si="1"/>
        <v>0.443176383451449</v>
      </c>
      <c r="E15" s="566">
        <f t="shared" si="2"/>
        <v>0.78693773343696816</v>
      </c>
      <c r="F15" s="566">
        <f t="shared" si="3"/>
        <v>1.2457627143631305</v>
      </c>
      <c r="G15" s="566">
        <f t="shared" si="4"/>
        <v>2.3745728211527393</v>
      </c>
      <c r="H15" s="566">
        <f t="shared" si="5"/>
        <v>5</v>
      </c>
      <c r="I15" s="566">
        <f t="shared" si="6"/>
        <v>1</v>
      </c>
      <c r="J15" s="566"/>
      <c r="K15">
        <v>2009</v>
      </c>
      <c r="L15">
        <v>0.15</v>
      </c>
      <c r="M15">
        <v>0.15</v>
      </c>
      <c r="N15">
        <v>0.17180748098289644</v>
      </c>
      <c r="O15">
        <v>0.19461708090672955</v>
      </c>
      <c r="P15">
        <v>0.23750872316606317</v>
      </c>
    </row>
    <row r="16" spans="2:16" x14ac:dyDescent="0.2">
      <c r="B16">
        <v>2013</v>
      </c>
      <c r="C16" s="566">
        <f t="shared" si="0"/>
        <v>0.14514009998370792</v>
      </c>
      <c r="D16" s="566">
        <f t="shared" si="1"/>
        <v>0.42511936167087883</v>
      </c>
      <c r="E16" s="566">
        <f t="shared" si="2"/>
        <v>0.78129025371528005</v>
      </c>
      <c r="F16" s="566">
        <f t="shared" si="3"/>
        <v>1.2543228226577303</v>
      </c>
      <c r="G16" s="566">
        <f t="shared" si="4"/>
        <v>2.3941274619724027</v>
      </c>
      <c r="H16" s="566">
        <f t="shared" si="5"/>
        <v>5</v>
      </c>
      <c r="I16" s="566">
        <f t="shared" si="6"/>
        <v>1</v>
      </c>
      <c r="J16" s="566"/>
      <c r="K16">
        <v>2010</v>
      </c>
      <c r="L16">
        <v>0.15000000000000002</v>
      </c>
      <c r="M16">
        <v>0.15</v>
      </c>
      <c r="N16">
        <v>0.17345963621530283</v>
      </c>
      <c r="O16">
        <v>0.19627021241513509</v>
      </c>
      <c r="P16">
        <v>0.23736242901710006</v>
      </c>
    </row>
    <row r="17" spans="2:17" x14ac:dyDescent="0.2">
      <c r="B17">
        <v>2014</v>
      </c>
      <c r="C17" s="566">
        <f t="shared" si="0"/>
        <v>0.1416933553355795</v>
      </c>
      <c r="D17" s="566">
        <f t="shared" si="1"/>
        <v>0.44108430731413506</v>
      </c>
      <c r="E17" s="566">
        <f t="shared" si="2"/>
        <v>0.78012108098477595</v>
      </c>
      <c r="F17" s="566">
        <f t="shared" si="3"/>
        <v>1.2479256400925527</v>
      </c>
      <c r="G17" s="566">
        <f t="shared" si="4"/>
        <v>2.3891756162729565</v>
      </c>
      <c r="H17" s="566">
        <f t="shared" si="5"/>
        <v>5</v>
      </c>
      <c r="I17" s="566">
        <f t="shared" si="6"/>
        <v>1</v>
      </c>
      <c r="J17" s="566"/>
      <c r="K17">
        <v>2011</v>
      </c>
      <c r="L17">
        <v>0.15000000000000002</v>
      </c>
      <c r="M17">
        <v>0.15</v>
      </c>
      <c r="N17">
        <v>0.17419602296952125</v>
      </c>
      <c r="O17">
        <v>0.19857111665820196</v>
      </c>
      <c r="P17">
        <v>0.23857853054935191</v>
      </c>
    </row>
    <row r="18" spans="2:17" x14ac:dyDescent="0.2">
      <c r="B18">
        <v>2015</v>
      </c>
      <c r="C18" s="566">
        <f t="shared" si="0"/>
        <v>0.13213415509163734</v>
      </c>
      <c r="D18" s="566">
        <f t="shared" si="1"/>
        <v>0.43815584707205851</v>
      </c>
      <c r="E18" s="566">
        <f t="shared" si="2"/>
        <v>0.80972413993089554</v>
      </c>
      <c r="F18" s="566">
        <f t="shared" si="3"/>
        <v>1.2198894953681294</v>
      </c>
      <c r="G18" s="566">
        <f t="shared" si="4"/>
        <v>2.4000963625372793</v>
      </c>
      <c r="H18" s="566">
        <f t="shared" si="5"/>
        <v>5</v>
      </c>
      <c r="I18" s="566">
        <f t="shared" si="6"/>
        <v>1</v>
      </c>
      <c r="J18" s="566"/>
      <c r="K18">
        <v>2012</v>
      </c>
      <c r="L18">
        <v>0.15000000000000002</v>
      </c>
      <c r="M18">
        <v>0.15</v>
      </c>
      <c r="N18">
        <v>0.17498779999353586</v>
      </c>
      <c r="O18">
        <v>0.19907037562204208</v>
      </c>
      <c r="P18">
        <v>0.23821412680419107</v>
      </c>
    </row>
    <row r="19" spans="2:17" x14ac:dyDescent="0.2">
      <c r="B19">
        <v>2016</v>
      </c>
      <c r="C19" s="566">
        <f t="shared" si="0"/>
        <v>0.14178636953506063</v>
      </c>
      <c r="D19" s="566">
        <f t="shared" si="1"/>
        <v>0.47622350501931654</v>
      </c>
      <c r="E19" s="566">
        <f t="shared" si="2"/>
        <v>0.80812860786682783</v>
      </c>
      <c r="F19" s="566">
        <f t="shared" si="3"/>
        <v>1.233909100401247</v>
      </c>
      <c r="G19" s="566">
        <f t="shared" si="4"/>
        <v>2.3399524171775483</v>
      </c>
      <c r="H19" s="566">
        <f t="shared" si="5"/>
        <v>5</v>
      </c>
      <c r="I19" s="566">
        <f t="shared" si="6"/>
        <v>1</v>
      </c>
      <c r="J19" s="566"/>
      <c r="K19">
        <v>2013</v>
      </c>
      <c r="L19">
        <v>0.15</v>
      </c>
      <c r="M19">
        <v>0.15</v>
      </c>
      <c r="N19">
        <v>0.17493951742899261</v>
      </c>
      <c r="O19">
        <v>0.19985565516712628</v>
      </c>
      <c r="P19">
        <v>0.23895077060894912</v>
      </c>
    </row>
    <row r="20" spans="2:17" x14ac:dyDescent="0.2">
      <c r="B20">
        <v>2017</v>
      </c>
      <c r="C20" s="566">
        <f t="shared" si="0"/>
        <v>0.14385459120717028</v>
      </c>
      <c r="D20" s="566">
        <f t="shared" si="1"/>
        <v>0.45702372172444339</v>
      </c>
      <c r="E20" s="566">
        <f t="shared" si="2"/>
        <v>0.79186180372979864</v>
      </c>
      <c r="F20" s="566">
        <f t="shared" si="3"/>
        <v>1.2386573238630934</v>
      </c>
      <c r="G20" s="566">
        <f t="shared" si="4"/>
        <v>2.3686025594754945</v>
      </c>
      <c r="H20" s="566">
        <f t="shared" si="5"/>
        <v>5</v>
      </c>
      <c r="I20" s="566">
        <f t="shared" si="6"/>
        <v>1</v>
      </c>
      <c r="J20" s="566"/>
      <c r="K20">
        <v>2014</v>
      </c>
      <c r="L20">
        <v>0.15000000000000002</v>
      </c>
      <c r="M20">
        <v>0.15</v>
      </c>
      <c r="N20">
        <v>0.17566852568777264</v>
      </c>
      <c r="O20">
        <v>0.20061437458181267</v>
      </c>
      <c r="P20">
        <v>0.23974779459981924</v>
      </c>
    </row>
    <row r="21" spans="2:17" x14ac:dyDescent="0.2">
      <c r="B21">
        <v>2018</v>
      </c>
      <c r="C21" s="566">
        <f t="shared" si="0"/>
        <v>0.14944961575517574</v>
      </c>
      <c r="D21" s="566">
        <f t="shared" si="1"/>
        <v>0.44423501727946529</v>
      </c>
      <c r="E21" s="566">
        <f t="shared" si="2"/>
        <v>0.7778483531231658</v>
      </c>
      <c r="F21" s="566">
        <f t="shared" si="3"/>
        <v>1.2463835882666534</v>
      </c>
      <c r="G21" s="566">
        <f t="shared" si="4"/>
        <v>2.3820834255755394</v>
      </c>
      <c r="H21" s="566">
        <f t="shared" si="5"/>
        <v>5</v>
      </c>
      <c r="I21" s="566">
        <f t="shared" si="6"/>
        <v>1</v>
      </c>
      <c r="J21" s="566"/>
      <c r="K21">
        <v>2015</v>
      </c>
      <c r="L21">
        <v>0.15</v>
      </c>
      <c r="M21">
        <v>0.15000000000000002</v>
      </c>
      <c r="N21">
        <v>0.17794607958907818</v>
      </c>
      <c r="O21">
        <v>0.20018450349409231</v>
      </c>
      <c r="P21">
        <v>0.24074651062841937</v>
      </c>
    </row>
    <row r="22" spans="2:17" x14ac:dyDescent="0.2">
      <c r="B22">
        <v>2019</v>
      </c>
      <c r="C22" s="566">
        <f t="shared" si="0"/>
        <v>0.14751960379694593</v>
      </c>
      <c r="D22" s="566">
        <f t="shared" si="1"/>
        <v>0.43912174989682201</v>
      </c>
      <c r="E22" s="566">
        <f t="shared" si="2"/>
        <v>0.77614197276104002</v>
      </c>
      <c r="F22" s="566">
        <f t="shared" si="3"/>
        <v>1.2481749896822121</v>
      </c>
      <c r="G22" s="566">
        <f t="shared" si="4"/>
        <v>2.3890416838629798</v>
      </c>
      <c r="H22" s="566">
        <f t="shared" si="5"/>
        <v>5</v>
      </c>
      <c r="I22" s="566">
        <f t="shared" si="6"/>
        <v>1</v>
      </c>
      <c r="J22" s="566"/>
      <c r="K22">
        <v>2016</v>
      </c>
      <c r="L22">
        <v>0.15</v>
      </c>
      <c r="M22">
        <v>0.15000000000000002</v>
      </c>
      <c r="N22">
        <v>0.17099130108268615</v>
      </c>
      <c r="O22">
        <v>0.19318016653850223</v>
      </c>
      <c r="P22">
        <v>0.23717413342094945</v>
      </c>
    </row>
    <row r="23" spans="2:17" x14ac:dyDescent="0.2">
      <c r="B23">
        <v>2020</v>
      </c>
      <c r="C23" s="566">
        <f t="shared" si="0"/>
        <v>0.15092217648957373</v>
      </c>
      <c r="D23" s="566">
        <f t="shared" si="1"/>
        <v>0.44050522561131844</v>
      </c>
      <c r="E23" s="566">
        <f t="shared" si="2"/>
        <v>0.77915012693860031</v>
      </c>
      <c r="F23" s="566">
        <f t="shared" si="3"/>
        <v>1.2522002136162029</v>
      </c>
      <c r="G23" s="566">
        <f t="shared" si="4"/>
        <v>2.3772222573443051</v>
      </c>
      <c r="H23" s="566">
        <f t="shared" si="5"/>
        <v>5</v>
      </c>
      <c r="I23" s="566">
        <f t="shared" si="6"/>
        <v>1</v>
      </c>
      <c r="J23" s="566"/>
      <c r="K23">
        <v>2017</v>
      </c>
      <c r="L23">
        <v>0.15</v>
      </c>
      <c r="M23">
        <v>0.15000000000000002</v>
      </c>
      <c r="N23">
        <v>0.17078799851215326</v>
      </c>
      <c r="O23">
        <v>0.19438625837807103</v>
      </c>
      <c r="P23">
        <v>0.23960578191238846</v>
      </c>
    </row>
    <row r="24" spans="2:17" x14ac:dyDescent="0.2">
      <c r="H24" s="566"/>
      <c r="I24" s="566"/>
      <c r="J24" s="566"/>
      <c r="K24">
        <v>2018</v>
      </c>
      <c r="L24">
        <v>0.15</v>
      </c>
      <c r="M24">
        <v>0.15</v>
      </c>
      <c r="N24">
        <v>0.17013535101474461</v>
      </c>
      <c r="O24">
        <v>0.19472549995540159</v>
      </c>
      <c r="P24">
        <v>0.24002413618030161</v>
      </c>
    </row>
    <row r="25" spans="2:17" x14ac:dyDescent="0.2">
      <c r="B25" s="552" t="s">
        <v>98</v>
      </c>
      <c r="H25" s="566"/>
      <c r="I25" s="566"/>
      <c r="J25" s="566"/>
      <c r="K25">
        <v>2019</v>
      </c>
      <c r="L25">
        <v>0.15</v>
      </c>
      <c r="M25">
        <v>0.15</v>
      </c>
      <c r="N25">
        <v>0.1700627970770906</v>
      </c>
      <c r="O25">
        <v>0.19482635034303158</v>
      </c>
      <c r="P25">
        <v>0.24029612289837626</v>
      </c>
    </row>
    <row r="26" spans="2:17" x14ac:dyDescent="0.2">
      <c r="B26" t="s">
        <v>44</v>
      </c>
      <c r="C26" t="s">
        <v>50</v>
      </c>
      <c r="D26" t="s">
        <v>48</v>
      </c>
      <c r="E26" t="s">
        <v>47</v>
      </c>
      <c r="F26" t="s">
        <v>45</v>
      </c>
      <c r="G26" t="s">
        <v>46</v>
      </c>
      <c r="H26" s="566" t="s">
        <v>96</v>
      </c>
      <c r="I26" s="567" t="s">
        <v>99</v>
      </c>
      <c r="J26" s="566"/>
      <c r="K26">
        <v>2020</v>
      </c>
      <c r="L26">
        <v>0.15</v>
      </c>
      <c r="M26">
        <v>0.15000000000000002</v>
      </c>
      <c r="N26">
        <v>0.1688713535176051</v>
      </c>
      <c r="O26">
        <v>0.19256003506949937</v>
      </c>
      <c r="P26">
        <v>0.23641446982288425</v>
      </c>
    </row>
    <row r="27" spans="2:17" x14ac:dyDescent="0.2">
      <c r="B27">
        <v>2000</v>
      </c>
      <c r="C27">
        <f>L6*L31/$Q31</f>
        <v>2.6937576719757841E-2</v>
      </c>
      <c r="D27">
        <f t="shared" ref="D27:G42" si="7">M6*M31/$Q31</f>
        <v>7.5026501882764815E-2</v>
      </c>
      <c r="E27">
        <f t="shared" si="7"/>
        <v>0.15415668643827579</v>
      </c>
      <c r="F27">
        <f t="shared" si="7"/>
        <v>0.27386948685518525</v>
      </c>
      <c r="G27">
        <f t="shared" si="7"/>
        <v>0.61915646915018208</v>
      </c>
      <c r="H27">
        <f>SUM(C27:G27)</f>
        <v>1.1491467210461659</v>
      </c>
      <c r="I27" s="566">
        <f>1/5*H27</f>
        <v>0.22982934420923318</v>
      </c>
    </row>
    <row r="28" spans="2:17" x14ac:dyDescent="0.2">
      <c r="B28">
        <v>2001</v>
      </c>
      <c r="C28">
        <f t="shared" ref="C28:G47" si="8">L7*L32/$Q32</f>
        <v>2.3768176515704332E-2</v>
      </c>
      <c r="D28">
        <f t="shared" si="7"/>
        <v>7.1752228651629169E-2</v>
      </c>
      <c r="E28">
        <f t="shared" si="7"/>
        <v>0.14326102843085001</v>
      </c>
      <c r="F28">
        <f t="shared" si="7"/>
        <v>0.24975163291970678</v>
      </c>
      <c r="G28">
        <f t="shared" si="7"/>
        <v>0.57439431585490386</v>
      </c>
      <c r="H28">
        <f t="shared" ref="H28:H47" si="9">SUM(C28:G28)</f>
        <v>1.062927382372794</v>
      </c>
      <c r="I28" s="566">
        <f>1/5*H28</f>
        <v>0.21258547647455883</v>
      </c>
    </row>
    <row r="29" spans="2:17" x14ac:dyDescent="0.2">
      <c r="B29">
        <v>2002</v>
      </c>
      <c r="C29">
        <f t="shared" si="8"/>
        <v>2.37937197542843E-2</v>
      </c>
      <c r="D29">
        <f t="shared" si="7"/>
        <v>7.0410593592310708E-2</v>
      </c>
      <c r="E29">
        <f t="shared" si="7"/>
        <v>0.13680670876103362</v>
      </c>
      <c r="F29">
        <f t="shared" si="7"/>
        <v>0.25376723588063499</v>
      </c>
      <c r="G29">
        <f t="shared" si="7"/>
        <v>0.5773699639758999</v>
      </c>
      <c r="H29">
        <f t="shared" si="9"/>
        <v>1.0621482219641636</v>
      </c>
      <c r="I29" s="566">
        <f t="shared" ref="I28:I47" si="10">1/5*H29</f>
        <v>0.21242964439283274</v>
      </c>
      <c r="K29" t="s">
        <v>92</v>
      </c>
    </row>
    <row r="30" spans="2:17" x14ac:dyDescent="0.2">
      <c r="B30">
        <v>2003</v>
      </c>
      <c r="C30">
        <f t="shared" si="8"/>
        <v>2.390003902029807E-2</v>
      </c>
      <c r="D30">
        <f t="shared" si="7"/>
        <v>6.8055760254139494E-2</v>
      </c>
      <c r="E30">
        <f t="shared" si="7"/>
        <v>0.14241238960806679</v>
      </c>
      <c r="F30">
        <f t="shared" si="7"/>
        <v>0.2489188730870682</v>
      </c>
      <c r="G30">
        <f t="shared" si="7"/>
        <v>0.58055689440716463</v>
      </c>
      <c r="H30">
        <f t="shared" si="9"/>
        <v>1.0638439563767372</v>
      </c>
      <c r="I30" s="566">
        <f t="shared" si="10"/>
        <v>0.21276879127534745</v>
      </c>
      <c r="K30" t="s">
        <v>44</v>
      </c>
      <c r="L30" t="s">
        <v>50</v>
      </c>
      <c r="M30" t="s">
        <v>48</v>
      </c>
      <c r="N30" t="s">
        <v>47</v>
      </c>
      <c r="O30" t="s">
        <v>45</v>
      </c>
      <c r="P30" t="s">
        <v>46</v>
      </c>
      <c r="Q30" t="s">
        <v>94</v>
      </c>
    </row>
    <row r="31" spans="2:17" x14ac:dyDescent="0.2">
      <c r="B31">
        <v>2004</v>
      </c>
      <c r="C31">
        <f t="shared" si="8"/>
        <v>2.3561014540499765E-2</v>
      </c>
      <c r="D31">
        <f t="shared" si="7"/>
        <v>6.6530438532397235E-2</v>
      </c>
      <c r="E31">
        <f t="shared" si="7"/>
        <v>0.13629325248788732</v>
      </c>
      <c r="F31">
        <f t="shared" si="7"/>
        <v>0.24491567185155033</v>
      </c>
      <c r="G31">
        <f t="shared" si="7"/>
        <v>0.58592873172837012</v>
      </c>
      <c r="H31">
        <f t="shared" si="9"/>
        <v>1.0572291091407049</v>
      </c>
      <c r="I31" s="566">
        <f t="shared" si="10"/>
        <v>0.21144582182814098</v>
      </c>
      <c r="K31">
        <v>2000</v>
      </c>
      <c r="L31" s="553">
        <v>9610.5151074904516</v>
      </c>
      <c r="M31" s="553">
        <v>26767.193549284999</v>
      </c>
      <c r="N31" s="553">
        <v>47000.230987947085</v>
      </c>
      <c r="O31" s="553">
        <v>73831.392092900365</v>
      </c>
      <c r="P31" s="553">
        <v>146045.03766432963</v>
      </c>
      <c r="Q31" s="553">
        <f>AVERAGE(L31:P31)</f>
        <v>60650.873880390507</v>
      </c>
    </row>
    <row r="32" spans="2:17" x14ac:dyDescent="0.2">
      <c r="B32">
        <v>2005</v>
      </c>
      <c r="C32">
        <f t="shared" si="8"/>
        <v>2.103000509414707E-2</v>
      </c>
      <c r="D32">
        <f t="shared" si="7"/>
        <v>6.2458563862504146E-2</v>
      </c>
      <c r="E32">
        <f t="shared" si="7"/>
        <v>0.13134124503109015</v>
      </c>
      <c r="F32">
        <f t="shared" si="7"/>
        <v>0.24121475154456104</v>
      </c>
      <c r="G32">
        <f t="shared" si="7"/>
        <v>0.58673600449062491</v>
      </c>
      <c r="H32">
        <f t="shared" si="9"/>
        <v>1.0427805700229273</v>
      </c>
      <c r="I32" s="566">
        <f t="shared" si="10"/>
        <v>0.20855611400458549</v>
      </c>
      <c r="K32">
        <v>2001</v>
      </c>
      <c r="L32" s="553">
        <v>9189.0190609892052</v>
      </c>
      <c r="M32" s="553">
        <v>27740.142215480249</v>
      </c>
      <c r="N32" s="553">
        <v>48668.307163757963</v>
      </c>
      <c r="O32" s="553">
        <v>75979.399623785139</v>
      </c>
      <c r="P32" s="553">
        <v>147711.27795485422</v>
      </c>
      <c r="Q32" s="553">
        <f t="shared" ref="Q32:Q50" si="11">AVERAGE(L32:P32)</f>
        <v>61857.629203773358</v>
      </c>
    </row>
    <row r="33" spans="2:17" x14ac:dyDescent="0.2">
      <c r="B33">
        <v>2006</v>
      </c>
      <c r="C33">
        <f t="shared" si="8"/>
        <v>2.2587004213406345E-2</v>
      </c>
      <c r="D33">
        <f t="shared" si="7"/>
        <v>6.5116098775235054E-2</v>
      </c>
      <c r="E33">
        <f t="shared" si="7"/>
        <v>0.13284562578823159</v>
      </c>
      <c r="F33">
        <f t="shared" si="7"/>
        <v>0.236952518982364</v>
      </c>
      <c r="G33">
        <f t="shared" si="7"/>
        <v>0.59436611747593171</v>
      </c>
      <c r="H33">
        <f t="shared" si="9"/>
        <v>1.0518673652351687</v>
      </c>
      <c r="I33" s="566">
        <f t="shared" si="10"/>
        <v>0.21037347304703374</v>
      </c>
      <c r="K33">
        <v>2002</v>
      </c>
      <c r="L33" s="553">
        <v>9338.2835031434661</v>
      </c>
      <c r="M33" s="553">
        <v>27633.934138071123</v>
      </c>
      <c r="N33" s="553">
        <v>47688.136209525641</v>
      </c>
      <c r="O33" s="553">
        <v>78346.461602076495</v>
      </c>
      <c r="P33" s="553">
        <v>150967.91736169462</v>
      </c>
      <c r="Q33" s="553">
        <f t="shared" si="11"/>
        <v>62794.946562902267</v>
      </c>
    </row>
    <row r="34" spans="2:17" x14ac:dyDescent="0.2">
      <c r="B34">
        <v>2007</v>
      </c>
      <c r="C34">
        <f t="shared" si="8"/>
        <v>2.3035046279518277E-2</v>
      </c>
      <c r="D34">
        <f t="shared" si="7"/>
        <v>6.5818092279185794E-2</v>
      </c>
      <c r="E34">
        <f t="shared" si="7"/>
        <v>0.13000409504164154</v>
      </c>
      <c r="F34">
        <f t="shared" si="7"/>
        <v>0.2342318347454985</v>
      </c>
      <c r="G34">
        <f t="shared" si="7"/>
        <v>0.59843752233108627</v>
      </c>
      <c r="H34">
        <f t="shared" si="9"/>
        <v>1.0515265906769304</v>
      </c>
      <c r="I34" s="566">
        <f t="shared" si="10"/>
        <v>0.21030531813538611</v>
      </c>
      <c r="K34">
        <v>2003</v>
      </c>
      <c r="L34" s="553">
        <v>9573.87687392919</v>
      </c>
      <c r="M34" s="553">
        <v>27261.774287540451</v>
      </c>
      <c r="N34" s="553">
        <v>50266.309468763451</v>
      </c>
      <c r="O34" s="553">
        <v>78690.793414719796</v>
      </c>
      <c r="P34" s="553">
        <v>154671.22062214086</v>
      </c>
      <c r="Q34" s="553">
        <f t="shared" si="11"/>
        <v>64092.794933418743</v>
      </c>
    </row>
    <row r="35" spans="2:17" x14ac:dyDescent="0.2">
      <c r="B35">
        <v>2008</v>
      </c>
      <c r="C35">
        <f t="shared" si="8"/>
        <v>2.2329533020160851E-2</v>
      </c>
      <c r="D35">
        <f t="shared" si="7"/>
        <v>6.5270427786722651E-2</v>
      </c>
      <c r="E35">
        <f t="shared" si="7"/>
        <v>0.13596268737983941</v>
      </c>
      <c r="F35">
        <f t="shared" si="7"/>
        <v>0.23730481971729106</v>
      </c>
      <c r="G35">
        <f t="shared" si="7"/>
        <v>0.59162020786976743</v>
      </c>
      <c r="H35">
        <f t="shared" si="9"/>
        <v>1.0524876757737816</v>
      </c>
      <c r="I35" s="566">
        <f t="shared" si="10"/>
        <v>0.21049753515475633</v>
      </c>
      <c r="K35">
        <v>2004</v>
      </c>
      <c r="L35" s="553">
        <v>9827.7498536300918</v>
      </c>
      <c r="M35" s="553">
        <v>27751.118544780784</v>
      </c>
      <c r="N35" s="553">
        <v>50891.289243120314</v>
      </c>
      <c r="O35" s="553">
        <v>81713.237919187319</v>
      </c>
      <c r="P35" s="553">
        <v>163511.90730450794</v>
      </c>
      <c r="Q35" s="553">
        <f t="shared" si="11"/>
        <v>66739.060573045295</v>
      </c>
    </row>
    <row r="36" spans="2:17" x14ac:dyDescent="0.2">
      <c r="B36">
        <v>2009</v>
      </c>
      <c r="C36">
        <f t="shared" si="8"/>
        <v>2.1735412621327159E-2</v>
      </c>
      <c r="D36">
        <f t="shared" si="7"/>
        <v>6.3725905670821051E-2</v>
      </c>
      <c r="E36">
        <f t="shared" si="7"/>
        <v>0.13199022057636109</v>
      </c>
      <c r="F36">
        <f t="shared" si="7"/>
        <v>0.23615066819093494</v>
      </c>
      <c r="G36">
        <f t="shared" si="7"/>
        <v>0.58156413299112264</v>
      </c>
      <c r="H36">
        <f t="shared" si="9"/>
        <v>1.0351663400505668</v>
      </c>
      <c r="I36" s="566">
        <f t="shared" si="10"/>
        <v>0.20703326801011337</v>
      </c>
      <c r="K36">
        <v>2005</v>
      </c>
      <c r="L36" s="553">
        <v>9745.9805281672707</v>
      </c>
      <c r="M36" s="553">
        <v>28945.306693752169</v>
      </c>
      <c r="N36" s="553">
        <v>52826.424476363332</v>
      </c>
      <c r="O36" s="553">
        <v>85027.887419133447</v>
      </c>
      <c r="P36" s="553">
        <v>171028.51526830875</v>
      </c>
      <c r="Q36" s="553">
        <f t="shared" si="11"/>
        <v>69514.822877144994</v>
      </c>
    </row>
    <row r="37" spans="2:17" x14ac:dyDescent="0.2">
      <c r="B37">
        <v>2010</v>
      </c>
      <c r="C37">
        <f t="shared" si="8"/>
        <v>2.1457776296666561E-2</v>
      </c>
      <c r="D37">
        <f t="shared" si="7"/>
        <v>6.5004175766794278E-2</v>
      </c>
      <c r="E37">
        <f t="shared" si="7"/>
        <v>0.13618496776742825</v>
      </c>
      <c r="F37">
        <f t="shared" si="7"/>
        <v>0.24113956996955843</v>
      </c>
      <c r="G37">
        <f t="shared" si="7"/>
        <v>0.57201175249221436</v>
      </c>
      <c r="H37">
        <f t="shared" si="9"/>
        <v>1.0357982422926619</v>
      </c>
      <c r="I37" s="566">
        <f t="shared" si="10"/>
        <v>0.20715964845853241</v>
      </c>
      <c r="K37">
        <v>2006</v>
      </c>
      <c r="L37" s="553">
        <v>10768.45008947001</v>
      </c>
      <c r="M37" s="553">
        <v>31044.376361603823</v>
      </c>
      <c r="N37" s="553">
        <v>55063.905217530315</v>
      </c>
      <c r="O37" s="553">
        <v>86897.665806559424</v>
      </c>
      <c r="P37" s="553">
        <v>179750.71261213793</v>
      </c>
      <c r="Q37" s="553">
        <f t="shared" si="11"/>
        <v>72705.022017460287</v>
      </c>
    </row>
    <row r="38" spans="2:17" x14ac:dyDescent="0.2">
      <c r="B38">
        <v>2011</v>
      </c>
      <c r="C38">
        <f t="shared" si="8"/>
        <v>2.179718239944093E-2</v>
      </c>
      <c r="D38">
        <f t="shared" si="7"/>
        <v>6.3046181362978654E-2</v>
      </c>
      <c r="E38">
        <f t="shared" si="7"/>
        <v>0.13575288302231639</v>
      </c>
      <c r="F38">
        <f t="shared" si="7"/>
        <v>0.24725819277585889</v>
      </c>
      <c r="G38">
        <f t="shared" si="7"/>
        <v>0.57494549562557551</v>
      </c>
      <c r="H38">
        <f t="shared" si="9"/>
        <v>1.0427999351861703</v>
      </c>
      <c r="I38" s="566">
        <f t="shared" si="10"/>
        <v>0.20855998703723408</v>
      </c>
      <c r="K38">
        <v>2007</v>
      </c>
      <c r="L38" s="553">
        <v>11714.903730927444</v>
      </c>
      <c r="M38" s="553">
        <v>33473.022170115873</v>
      </c>
      <c r="N38" s="553">
        <v>56908.464556560059</v>
      </c>
      <c r="O38" s="553">
        <v>90173.797093248126</v>
      </c>
      <c r="P38" s="553">
        <v>189156.34363905349</v>
      </c>
      <c r="Q38" s="553">
        <f t="shared" si="11"/>
        <v>76285.306237981</v>
      </c>
    </row>
    <row r="39" spans="2:17" x14ac:dyDescent="0.2">
      <c r="B39">
        <v>2012</v>
      </c>
      <c r="C39">
        <f t="shared" si="8"/>
        <v>2.243255213935692E-2</v>
      </c>
      <c r="D39">
        <f t="shared" si="7"/>
        <v>6.6476457517717344E-2</v>
      </c>
      <c r="E39">
        <f t="shared" si="7"/>
        <v>0.13770450270603463</v>
      </c>
      <c r="F39">
        <f t="shared" si="7"/>
        <v>0.24799445148420313</v>
      </c>
      <c r="G39">
        <f t="shared" si="7"/>
        <v>0.56565679112386436</v>
      </c>
      <c r="H39">
        <f t="shared" si="9"/>
        <v>1.0402647549711763</v>
      </c>
      <c r="I39" s="566">
        <f t="shared" si="10"/>
        <v>0.20805295099423526</v>
      </c>
      <c r="K39">
        <v>2008</v>
      </c>
      <c r="L39" s="553">
        <v>11668.322299485088</v>
      </c>
      <c r="M39" s="553">
        <v>34107.134589564332</v>
      </c>
      <c r="N39" s="553">
        <v>60495.763692763554</v>
      </c>
      <c r="O39" s="553">
        <v>93397.286911431074</v>
      </c>
      <c r="P39" s="553">
        <v>192244.82614935876</v>
      </c>
      <c r="Q39" s="553">
        <f t="shared" si="11"/>
        <v>78382.666728520562</v>
      </c>
    </row>
    <row r="40" spans="2:17" x14ac:dyDescent="0.2">
      <c r="B40">
        <v>2013</v>
      </c>
      <c r="C40">
        <f t="shared" si="8"/>
        <v>2.1771014997556185E-2</v>
      </c>
      <c r="D40">
        <f t="shared" si="7"/>
        <v>6.3767904250631821E-2</v>
      </c>
      <c r="E40">
        <f t="shared" si="7"/>
        <v>0.13667853995692628</v>
      </c>
      <c r="F40">
        <f t="shared" si="7"/>
        <v>0.25068350951333984</v>
      </c>
      <c r="G40">
        <f t="shared" si="7"/>
        <v>0.57207860197435323</v>
      </c>
      <c r="H40">
        <f t="shared" si="9"/>
        <v>1.0449795706928073</v>
      </c>
      <c r="I40" s="566">
        <f t="shared" si="10"/>
        <v>0.20899591413856147</v>
      </c>
      <c r="K40">
        <v>2009</v>
      </c>
      <c r="L40" s="553">
        <v>11157.505647203778</v>
      </c>
      <c r="M40" s="553">
        <v>32712.613502340144</v>
      </c>
      <c r="N40" s="553">
        <v>59154.824403103798</v>
      </c>
      <c r="O40" s="553">
        <v>93432.659243700866</v>
      </c>
      <c r="P40" s="553">
        <v>188542.18447209653</v>
      </c>
      <c r="Q40" s="553">
        <f t="shared" si="11"/>
        <v>76999.957453689029</v>
      </c>
    </row>
    <row r="41" spans="2:17" x14ac:dyDescent="0.2">
      <c r="B41">
        <v>2014</v>
      </c>
      <c r="C41">
        <f t="shared" si="8"/>
        <v>2.1254003300336926E-2</v>
      </c>
      <c r="D41">
        <f t="shared" si="7"/>
        <v>6.6162646097120262E-2</v>
      </c>
      <c r="E41">
        <f t="shared" si="7"/>
        <v>0.13704272015454708</v>
      </c>
      <c r="F41">
        <f t="shared" si="7"/>
        <v>0.25035182181177568</v>
      </c>
      <c r="G41">
        <f t="shared" si="7"/>
        <v>0.57279958491310523</v>
      </c>
      <c r="H41">
        <f t="shared" si="9"/>
        <v>1.0476107762768851</v>
      </c>
      <c r="I41" s="566">
        <f t="shared" si="10"/>
        <v>0.20952215525537704</v>
      </c>
      <c r="K41">
        <v>2010</v>
      </c>
      <c r="L41" s="553">
        <v>11227.858828701668</v>
      </c>
      <c r="M41" s="553">
        <v>34013.669389360664</v>
      </c>
      <c r="N41" s="553">
        <v>61621.778748171018</v>
      </c>
      <c r="O41" s="553">
        <v>96431.20168596787</v>
      </c>
      <c r="P41" s="553">
        <v>189145.69601310827</v>
      </c>
      <c r="Q41" s="553">
        <f t="shared" si="11"/>
        <v>78488.0409330619</v>
      </c>
    </row>
    <row r="42" spans="2:17" x14ac:dyDescent="0.2">
      <c r="B42">
        <v>2015</v>
      </c>
      <c r="C42">
        <f t="shared" si="8"/>
        <v>1.98201232637456E-2</v>
      </c>
      <c r="D42">
        <f t="shared" si="7"/>
        <v>6.5723377060808788E-2</v>
      </c>
      <c r="E42">
        <f t="shared" si="7"/>
        <v>0.14408723624934103</v>
      </c>
      <c r="F42">
        <f t="shared" si="7"/>
        <v>0.24420297294792781</v>
      </c>
      <c r="G42">
        <f t="shared" si="7"/>
        <v>0.57781482445281174</v>
      </c>
      <c r="H42">
        <f t="shared" si="9"/>
        <v>1.0516485339746349</v>
      </c>
      <c r="I42" s="566">
        <f t="shared" si="10"/>
        <v>0.21032970679492699</v>
      </c>
      <c r="K42">
        <v>2011</v>
      </c>
      <c r="L42" s="553">
        <v>11838.62964965928</v>
      </c>
      <c r="M42" s="553">
        <v>34242.058368089776</v>
      </c>
      <c r="N42" s="553">
        <v>63489.683397249879</v>
      </c>
      <c r="O42" s="553">
        <v>101444.1360642451</v>
      </c>
      <c r="P42" s="553">
        <v>196330.44539283891</v>
      </c>
      <c r="Q42" s="553">
        <f t="shared" si="11"/>
        <v>81468.990574416588</v>
      </c>
    </row>
    <row r="43" spans="2:17" x14ac:dyDescent="0.2">
      <c r="B43">
        <v>2016</v>
      </c>
      <c r="C43">
        <f t="shared" si="8"/>
        <v>2.1267955430259094E-2</v>
      </c>
      <c r="D43">
        <f t="shared" si="8"/>
        <v>7.1433525752897492E-2</v>
      </c>
      <c r="E43">
        <f t="shared" si="8"/>
        <v>0.13818296210128878</v>
      </c>
      <c r="F43">
        <f t="shared" si="8"/>
        <v>0.23836676550888636</v>
      </c>
      <c r="G43">
        <f t="shared" si="8"/>
        <v>0.554976186790341</v>
      </c>
      <c r="H43">
        <f t="shared" si="9"/>
        <v>1.0242273955836727</v>
      </c>
      <c r="I43" s="566">
        <f t="shared" si="10"/>
        <v>0.20484547911673456</v>
      </c>
      <c r="K43">
        <v>2012</v>
      </c>
      <c r="L43" s="553">
        <v>12621.585737365305</v>
      </c>
      <c r="M43" s="553">
        <v>37402.712935374679</v>
      </c>
      <c r="N43" s="553">
        <v>66415.105228597633</v>
      </c>
      <c r="O43" s="553">
        <v>105138.51128085193</v>
      </c>
      <c r="P43" s="553">
        <v>200406.58503060474</v>
      </c>
      <c r="Q43" s="553">
        <f t="shared" si="11"/>
        <v>84396.90004255886</v>
      </c>
    </row>
    <row r="44" spans="2:17" x14ac:dyDescent="0.2">
      <c r="B44">
        <v>2017</v>
      </c>
      <c r="C44">
        <f t="shared" si="8"/>
        <v>2.1578188681075541E-2</v>
      </c>
      <c r="D44">
        <f t="shared" si="8"/>
        <v>6.8553558258666519E-2</v>
      </c>
      <c r="E44">
        <f t="shared" si="8"/>
        <v>0.13524049255723586</v>
      </c>
      <c r="F44">
        <f t="shared" si="8"/>
        <v>0.24077796259834125</v>
      </c>
      <c r="G44">
        <f t="shared" si="8"/>
        <v>0.56753086830281041</v>
      </c>
      <c r="H44">
        <f t="shared" si="9"/>
        <v>1.0336810703981296</v>
      </c>
      <c r="I44" s="566">
        <f t="shared" si="10"/>
        <v>0.20673621407962595</v>
      </c>
      <c r="K44">
        <v>2013</v>
      </c>
      <c r="L44" s="553">
        <v>12571.151312256638</v>
      </c>
      <c r="M44" s="553">
        <v>36821.249413046207</v>
      </c>
      <c r="N44" s="553">
        <v>67670.602399672178</v>
      </c>
      <c r="O44" s="553">
        <v>108641.80195423029</v>
      </c>
      <c r="P44" s="553">
        <v>207364.73647642817</v>
      </c>
      <c r="Q44" s="553">
        <f t="shared" si="11"/>
        <v>86613.908311126695</v>
      </c>
    </row>
    <row r="45" spans="2:17" x14ac:dyDescent="0.2">
      <c r="B45">
        <v>2018</v>
      </c>
      <c r="C45">
        <f t="shared" si="8"/>
        <v>2.241744236327636E-2</v>
      </c>
      <c r="D45">
        <f t="shared" si="8"/>
        <v>6.6635252591919783E-2</v>
      </c>
      <c r="E45">
        <f t="shared" si="8"/>
        <v>0.13233950259485083</v>
      </c>
      <c r="F45">
        <f t="shared" si="8"/>
        <v>0.24270266736143148</v>
      </c>
      <c r="G45">
        <f t="shared" si="8"/>
        <v>0.57175751653318263</v>
      </c>
      <c r="H45">
        <f t="shared" si="9"/>
        <v>1.035852381444661</v>
      </c>
      <c r="I45" s="566">
        <f t="shared" si="10"/>
        <v>0.2071704762889322</v>
      </c>
      <c r="K45">
        <v>2014</v>
      </c>
      <c r="L45" s="553">
        <v>12605.551735170693</v>
      </c>
      <c r="M45" s="553">
        <v>39240.45021202277</v>
      </c>
      <c r="N45" s="553">
        <v>69402.383920974011</v>
      </c>
      <c r="O45" s="553">
        <v>111019.96406660462</v>
      </c>
      <c r="P45" s="553">
        <v>212549.67647572295</v>
      </c>
      <c r="Q45" s="553">
        <f t="shared" si="11"/>
        <v>88963.605282099015</v>
      </c>
    </row>
    <row r="46" spans="2:17" x14ac:dyDescent="0.2">
      <c r="B46">
        <v>2019</v>
      </c>
      <c r="C46">
        <f t="shared" si="8"/>
        <v>2.2127940569541888E-2</v>
      </c>
      <c r="D46">
        <f t="shared" si="8"/>
        <v>6.5868262484523293E-2</v>
      </c>
      <c r="E46">
        <f t="shared" si="8"/>
        <v>0.13199287481667354</v>
      </c>
      <c r="F46">
        <f t="shared" si="8"/>
        <v>0.24317737782923649</v>
      </c>
      <c r="G46">
        <f t="shared" si="8"/>
        <v>0.57407745407488231</v>
      </c>
      <c r="H46">
        <f t="shared" si="9"/>
        <v>1.0372439097748576</v>
      </c>
      <c r="I46" s="566">
        <f t="shared" si="10"/>
        <v>0.20744878195497152</v>
      </c>
      <c r="K46">
        <v>2015</v>
      </c>
      <c r="L46" s="553">
        <v>12141.904019447817</v>
      </c>
      <c r="M46" s="553">
        <v>40262.460807497082</v>
      </c>
      <c r="N46" s="553">
        <v>74406.142624157132</v>
      </c>
      <c r="O46" s="553">
        <v>112096.53671164908</v>
      </c>
      <c r="P46" s="553">
        <v>220546.60773471603</v>
      </c>
      <c r="Q46" s="553">
        <f t="shared" si="11"/>
        <v>91890.730379493427</v>
      </c>
    </row>
    <row r="47" spans="2:17" x14ac:dyDescent="0.2">
      <c r="B47">
        <v>2020</v>
      </c>
      <c r="C47">
        <f t="shared" si="8"/>
        <v>2.2638326473436061E-2</v>
      </c>
      <c r="D47">
        <f t="shared" si="8"/>
        <v>6.6075783841697766E-2</v>
      </c>
      <c r="E47">
        <f t="shared" si="8"/>
        <v>0.13157613652953526</v>
      </c>
      <c r="F47">
        <f t="shared" si="8"/>
        <v>0.24112371704797064</v>
      </c>
      <c r="G47">
        <f t="shared" si="8"/>
        <v>0.56200973962121392</v>
      </c>
      <c r="H47">
        <f t="shared" si="9"/>
        <v>1.0234237035138536</v>
      </c>
      <c r="I47" s="566">
        <f t="shared" si="10"/>
        <v>0.20468474070277073</v>
      </c>
      <c r="K47">
        <v>2016</v>
      </c>
      <c r="L47" s="553">
        <v>12848.495416248064</v>
      </c>
      <c r="M47" s="553">
        <v>43154.751344678749</v>
      </c>
      <c r="N47" s="553">
        <v>73231.557786295685</v>
      </c>
      <c r="O47" s="553">
        <v>111815.229295732</v>
      </c>
      <c r="P47" s="553">
        <v>212043.42846870009</v>
      </c>
      <c r="Q47" s="553">
        <f t="shared" si="11"/>
        <v>90618.692462330917</v>
      </c>
    </row>
    <row r="48" spans="2:17" x14ac:dyDescent="0.2">
      <c r="K48">
        <v>2017</v>
      </c>
      <c r="L48" s="553">
        <v>13409.808837834296</v>
      </c>
      <c r="M48" s="553">
        <v>42602.746921398844</v>
      </c>
      <c r="N48" s="553">
        <v>73815.617040034951</v>
      </c>
      <c r="O48" s="553">
        <v>115464.91348799976</v>
      </c>
      <c r="P48" s="553">
        <v>220795.92502980365</v>
      </c>
      <c r="Q48" s="553">
        <f t="shared" si="11"/>
        <v>93217.802263414298</v>
      </c>
    </row>
    <row r="49" spans="11:17" x14ac:dyDescent="0.2">
      <c r="K49">
        <v>2018</v>
      </c>
      <c r="L49" s="553">
        <v>14125.693247566627</v>
      </c>
      <c r="M49" s="553">
        <v>41988.248361888924</v>
      </c>
      <c r="N49" s="553">
        <v>73520.745930470555</v>
      </c>
      <c r="O49" s="553">
        <v>117805.80463651274</v>
      </c>
      <c r="P49" s="553">
        <v>225149.99178662966</v>
      </c>
      <c r="Q49" s="553">
        <f t="shared" si="11"/>
        <v>94518.096792613709</v>
      </c>
    </row>
    <row r="50" spans="11:17" x14ac:dyDescent="0.2">
      <c r="K50">
        <v>2019</v>
      </c>
      <c r="L50" s="553">
        <v>14251.602667359046</v>
      </c>
      <c r="M50" s="553">
        <v>42422.759694630382</v>
      </c>
      <c r="N50" s="553">
        <v>74981.675143839762</v>
      </c>
      <c r="O50" s="553">
        <v>120583.93294474219</v>
      </c>
      <c r="P50" s="553">
        <v>230801.00513989091</v>
      </c>
      <c r="Q50" s="553">
        <f t="shared" si="11"/>
        <v>96608.195118092466</v>
      </c>
    </row>
    <row r="51" spans="11:17" x14ac:dyDescent="0.2">
      <c r="K51">
        <v>2020</v>
      </c>
      <c r="L51" s="553">
        <v>14311.921510668468</v>
      </c>
      <c r="M51" s="553">
        <v>41773.027401470259</v>
      </c>
      <c r="N51" s="553">
        <v>73886.659476733577</v>
      </c>
      <c r="O51" s="553">
        <v>118745.90991043295</v>
      </c>
      <c r="P51" s="553">
        <v>225431.5379746476</v>
      </c>
      <c r="Q51" s="553">
        <f>AVERAGE(L51:P51)</f>
        <v>94829.811254790562</v>
      </c>
    </row>
  </sheetData>
  <pageMargins left="0.7" right="0.7" top="0.75" bottom="0.75" header="0.3" footer="0.3"/>
  <ignoredErrors>
    <ignoredError sqref="Q31 Q32:Q50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5D97-E550-1E47-9509-45564E59D074}">
  <dimension ref="A1:G106"/>
  <sheetViews>
    <sheetView workbookViewId="0">
      <selection activeCell="I3" sqref="I3"/>
    </sheetView>
  </sheetViews>
  <sheetFormatPr baseColWidth="10" defaultRowHeight="15" x14ac:dyDescent="0.2"/>
  <cols>
    <col min="2" max="2" width="28.33203125" style="566" customWidth="1"/>
    <col min="3" max="3" width="52.6640625" bestFit="1" customWidth="1"/>
    <col min="4" max="4" width="55.5" bestFit="1" customWidth="1"/>
    <col min="5" max="5" width="43.83203125" bestFit="1" customWidth="1"/>
    <col min="6" max="6" width="21.5" bestFit="1" customWidth="1"/>
    <col min="7" max="7" width="24" bestFit="1" customWidth="1"/>
  </cols>
  <sheetData>
    <row r="1" spans="1:7" ht="16" x14ac:dyDescent="0.2">
      <c r="A1" s="575" t="s">
        <v>106</v>
      </c>
      <c r="B1" s="576" t="s">
        <v>107</v>
      </c>
      <c r="C1" s="575" t="s">
        <v>108</v>
      </c>
      <c r="D1" s="575" t="s">
        <v>109</v>
      </c>
      <c r="E1" s="575" t="s">
        <v>110</v>
      </c>
      <c r="F1" t="s">
        <v>136</v>
      </c>
      <c r="G1" t="s">
        <v>137</v>
      </c>
    </row>
    <row r="2" spans="1:7" ht="16" x14ac:dyDescent="0.2">
      <c r="A2" s="575">
        <v>2000</v>
      </c>
      <c r="B2" s="576">
        <v>0.22982934420923318</v>
      </c>
      <c r="C2" s="575">
        <v>3.1691255000000002E-2</v>
      </c>
      <c r="D2" s="575">
        <v>6.1167913999999997E-2</v>
      </c>
      <c r="E2" s="575">
        <v>1.9301196469999999</v>
      </c>
      <c r="F2" t="e">
        <f>LN(1-((1-B2)*E2))</f>
        <v>#NUM!</v>
      </c>
      <c r="G2">
        <f>LN(C2)</f>
        <v>-3.451714503665229</v>
      </c>
    </row>
    <row r="3" spans="1:7" ht="16" x14ac:dyDescent="0.2">
      <c r="A3" s="575">
        <v>2000</v>
      </c>
      <c r="B3" s="576">
        <v>0.22982934420923318</v>
      </c>
      <c r="C3" s="575">
        <v>8.8266441000000001E-2</v>
      </c>
      <c r="D3" s="575">
        <v>0.123622739</v>
      </c>
      <c r="E3" s="575">
        <v>1.4005633159999999</v>
      </c>
      <c r="F3" t="e">
        <f t="shared" ref="F3:F66" si="0">LN(1-((1-B3)*E3))</f>
        <v>#NUM!</v>
      </c>
      <c r="G3">
        <f t="shared" ref="G3:G66" si="1">LN(C3)</f>
        <v>-2.4273953002371873</v>
      </c>
    </row>
    <row r="4" spans="1:7" ht="16" x14ac:dyDescent="0.2">
      <c r="A4" s="575">
        <v>2000</v>
      </c>
      <c r="B4" s="576">
        <v>0.22982934420923318</v>
      </c>
      <c r="C4" s="575">
        <v>0.15498617000000001</v>
      </c>
      <c r="D4" s="575">
        <v>0.17102450799999999</v>
      </c>
      <c r="E4" s="575">
        <v>1.1034823810000001</v>
      </c>
      <c r="F4">
        <f t="shared" si="0"/>
        <v>-1.8962520218636363</v>
      </c>
      <c r="G4">
        <f t="shared" si="1"/>
        <v>-1.864419391850201</v>
      </c>
    </row>
    <row r="5" spans="1:7" ht="16" x14ac:dyDescent="0.2">
      <c r="A5" s="575">
        <v>2000</v>
      </c>
      <c r="B5" s="576">
        <v>0.22982934420923318</v>
      </c>
      <c r="C5" s="575">
        <v>0.24346358400000001</v>
      </c>
      <c r="D5" s="575">
        <v>0.229447819</v>
      </c>
      <c r="E5" s="575">
        <v>0.94243177899999997</v>
      </c>
      <c r="F5">
        <f t="shared" si="0"/>
        <v>-1.2940189680641818</v>
      </c>
      <c r="G5">
        <f t="shared" si="1"/>
        <v>-1.4127879000049584</v>
      </c>
    </row>
    <row r="6" spans="1:7" ht="16" x14ac:dyDescent="0.2">
      <c r="A6" s="575">
        <v>2000</v>
      </c>
      <c r="B6" s="576">
        <v>0.22982934420923318</v>
      </c>
      <c r="C6" s="575">
        <v>0.48159255000000001</v>
      </c>
      <c r="D6" s="575">
        <v>0.41473702000000001</v>
      </c>
      <c r="E6" s="575">
        <v>0.86117823100000002</v>
      </c>
      <c r="F6">
        <f t="shared" si="0"/>
        <v>-1.0884269446069741</v>
      </c>
      <c r="G6">
        <f t="shared" si="1"/>
        <v>-0.73065685437627914</v>
      </c>
    </row>
    <row r="7" spans="1:7" ht="16" x14ac:dyDescent="0.2">
      <c r="A7" s="575">
        <v>2001</v>
      </c>
      <c r="B7" s="576">
        <v>0.21258547647455883</v>
      </c>
      <c r="C7" s="575">
        <v>2.9710210000000001E-2</v>
      </c>
      <c r="D7" s="575">
        <v>6.3640322999999999E-2</v>
      </c>
      <c r="E7" s="575">
        <v>2.142035463</v>
      </c>
      <c r="F7" t="e">
        <f t="shared" si="0"/>
        <v>#NUM!</v>
      </c>
      <c r="G7">
        <f t="shared" si="1"/>
        <v>-3.5162645212054389</v>
      </c>
    </row>
    <row r="8" spans="1:7" ht="16" x14ac:dyDescent="0.2">
      <c r="A8" s="575">
        <v>2001</v>
      </c>
      <c r="B8" s="576">
        <v>0.21258547647455883</v>
      </c>
      <c r="C8" s="575">
        <v>8.9690253999999997E-2</v>
      </c>
      <c r="D8" s="575">
        <v>0.12732940500000001</v>
      </c>
      <c r="E8" s="575">
        <v>1.419657092</v>
      </c>
      <c r="F8" t="e">
        <f t="shared" si="0"/>
        <v>#NUM!</v>
      </c>
      <c r="G8">
        <f t="shared" si="1"/>
        <v>-2.4113931668794262</v>
      </c>
    </row>
    <row r="9" spans="1:7" ht="16" x14ac:dyDescent="0.2">
      <c r="A9" s="575">
        <v>2001</v>
      </c>
      <c r="B9" s="576">
        <v>0.21258547647455883</v>
      </c>
      <c r="C9" s="575">
        <v>0.157355884</v>
      </c>
      <c r="D9" s="575">
        <v>0.17091888999999999</v>
      </c>
      <c r="E9" s="575">
        <v>1.0861931929999999</v>
      </c>
      <c r="F9">
        <f t="shared" si="0"/>
        <v>-1.9329841199461115</v>
      </c>
      <c r="G9">
        <f t="shared" si="1"/>
        <v>-1.8492452618270527</v>
      </c>
    </row>
    <row r="10" spans="1:7" ht="16" x14ac:dyDescent="0.2">
      <c r="A10" s="575">
        <v>2001</v>
      </c>
      <c r="B10" s="576">
        <v>0.21258547647455883</v>
      </c>
      <c r="C10" s="575">
        <v>0.24565895700000001</v>
      </c>
      <c r="D10" s="575">
        <v>0.23071222199999999</v>
      </c>
      <c r="E10" s="575">
        <v>0.93915656300000006</v>
      </c>
      <c r="F10">
        <f t="shared" si="0"/>
        <v>-1.3451735987056821</v>
      </c>
      <c r="G10">
        <f t="shared" si="1"/>
        <v>-1.4038110585856483</v>
      </c>
    </row>
    <row r="11" spans="1:7" ht="16" x14ac:dyDescent="0.2">
      <c r="A11" s="575">
        <v>2001</v>
      </c>
      <c r="B11" s="576">
        <v>0.21258547647455883</v>
      </c>
      <c r="C11" s="575">
        <v>0.47758469599999998</v>
      </c>
      <c r="D11" s="575">
        <v>0.40739916100000001</v>
      </c>
      <c r="E11" s="575">
        <v>0.85304065299999998</v>
      </c>
      <c r="F11">
        <f t="shared" si="0"/>
        <v>-1.1138170961055338</v>
      </c>
      <c r="G11">
        <f t="shared" si="1"/>
        <v>-0.73901376096823912</v>
      </c>
    </row>
    <row r="12" spans="1:7" ht="16" x14ac:dyDescent="0.2">
      <c r="A12" s="575">
        <v>2002</v>
      </c>
      <c r="B12" s="576">
        <v>0.21242964439283274</v>
      </c>
      <c r="C12" s="575">
        <v>2.9742139000000001E-2</v>
      </c>
      <c r="D12" s="575">
        <v>6.2329594000000002E-2</v>
      </c>
      <c r="E12" s="575">
        <v>2.0956661510000001</v>
      </c>
      <c r="F12" t="e">
        <f t="shared" si="0"/>
        <v>#NUM!</v>
      </c>
      <c r="G12">
        <f t="shared" si="1"/>
        <v>-3.5151904172009121</v>
      </c>
    </row>
    <row r="13" spans="1:7" ht="16" x14ac:dyDescent="0.2">
      <c r="A13" s="575">
        <v>2002</v>
      </c>
      <c r="B13" s="576">
        <v>0.21242964439283274</v>
      </c>
      <c r="C13" s="575">
        <v>8.8013210999999994E-2</v>
      </c>
      <c r="D13" s="575">
        <v>0.126017766</v>
      </c>
      <c r="E13" s="575">
        <v>1.4318051199999999</v>
      </c>
      <c r="F13" t="e">
        <f t="shared" si="0"/>
        <v>#NUM!</v>
      </c>
      <c r="G13">
        <f t="shared" si="1"/>
        <v>-2.4302683507715606</v>
      </c>
    </row>
    <row r="14" spans="1:7" ht="16" x14ac:dyDescent="0.2">
      <c r="A14" s="575">
        <v>2002</v>
      </c>
      <c r="B14" s="576">
        <v>0.21242964439283274</v>
      </c>
      <c r="C14" s="575">
        <v>0.15188527399999999</v>
      </c>
      <c r="D14" s="575">
        <v>0.167946914</v>
      </c>
      <c r="E14" s="575">
        <v>1.1057484989999999</v>
      </c>
      <c r="F14">
        <f t="shared" si="0"/>
        <v>-2.0468174505471675</v>
      </c>
      <c r="G14">
        <f t="shared" si="1"/>
        <v>-1.8846298194387037</v>
      </c>
    </row>
    <row r="15" spans="1:7" ht="16" x14ac:dyDescent="0.2">
      <c r="A15" s="575">
        <v>2002</v>
      </c>
      <c r="B15" s="576">
        <v>0.21242964439283274</v>
      </c>
      <c r="C15" s="575">
        <v>0.249531115</v>
      </c>
      <c r="D15" s="575">
        <v>0.234177944</v>
      </c>
      <c r="E15" s="575">
        <v>0.93847191600000002</v>
      </c>
      <c r="F15">
        <f t="shared" si="0"/>
        <v>-1.3436666146993941</v>
      </c>
      <c r="G15">
        <f t="shared" si="1"/>
        <v>-1.3881716621472993</v>
      </c>
    </row>
    <row r="16" spans="1:7" ht="16" x14ac:dyDescent="0.2">
      <c r="A16" s="575">
        <v>2002</v>
      </c>
      <c r="B16" s="576">
        <v>0.21242964439283274</v>
      </c>
      <c r="C16" s="575">
        <v>0.48082826000000001</v>
      </c>
      <c r="D16" s="575">
        <v>0.40952778200000001</v>
      </c>
      <c r="E16" s="575">
        <v>0.85171321099999997</v>
      </c>
      <c r="F16">
        <f t="shared" si="0"/>
        <v>-1.1110414409437845</v>
      </c>
      <c r="G16">
        <f t="shared" si="1"/>
        <v>-0.73224512045017209</v>
      </c>
    </row>
    <row r="17" spans="1:7" ht="16" x14ac:dyDescent="0.2">
      <c r="A17" s="575">
        <v>2003</v>
      </c>
      <c r="B17" s="576">
        <v>0.21299999999999999</v>
      </c>
      <c r="C17" s="575">
        <v>2.9875038E-2</v>
      </c>
      <c r="D17" s="575">
        <v>6.3458270999999997E-2</v>
      </c>
      <c r="E17" s="575">
        <v>2.1241234950000001</v>
      </c>
      <c r="F17" t="e">
        <f t="shared" si="0"/>
        <v>#NUM!</v>
      </c>
      <c r="G17">
        <f t="shared" si="1"/>
        <v>-3.5107319967647439</v>
      </c>
    </row>
    <row r="18" spans="1:7" ht="16" x14ac:dyDescent="0.2">
      <c r="A18" s="575">
        <v>2003</v>
      </c>
      <c r="B18" s="576">
        <v>0.21299999999999999</v>
      </c>
      <c r="C18" s="575">
        <v>8.506967E-2</v>
      </c>
      <c r="D18" s="575">
        <v>0.124101568</v>
      </c>
      <c r="E18" s="575">
        <v>1.4588227229999999</v>
      </c>
      <c r="F18" t="e">
        <f t="shared" si="0"/>
        <v>#NUM!</v>
      </c>
      <c r="G18">
        <f t="shared" si="1"/>
        <v>-2.4642847111602082</v>
      </c>
    </row>
    <row r="19" spans="1:7" ht="16" x14ac:dyDescent="0.2">
      <c r="A19" s="575">
        <v>2003</v>
      </c>
      <c r="B19" s="576">
        <v>0.21299999999999999</v>
      </c>
      <c r="C19" s="575">
        <v>0.15685479699999999</v>
      </c>
      <c r="D19" s="575">
        <v>0.170430267</v>
      </c>
      <c r="E19" s="575">
        <v>1.0865480059999999</v>
      </c>
      <c r="F19">
        <f t="shared" si="0"/>
        <v>-1.9318030882521564</v>
      </c>
      <c r="G19">
        <f t="shared" si="1"/>
        <v>-1.8524347614532133</v>
      </c>
    </row>
    <row r="20" spans="1:7" ht="16" x14ac:dyDescent="0.2">
      <c r="A20" s="575">
        <v>2003</v>
      </c>
      <c r="B20" s="576">
        <v>0.21299999999999999</v>
      </c>
      <c r="C20" s="575">
        <v>0.24555270900000001</v>
      </c>
      <c r="D20" s="575">
        <v>0.23014780500000001</v>
      </c>
      <c r="E20" s="575">
        <v>0.93726437100000004</v>
      </c>
      <c r="F20">
        <f t="shared" si="0"/>
        <v>-1.3379883521422902</v>
      </c>
      <c r="G20">
        <f t="shared" si="1"/>
        <v>-1.4042436541814416</v>
      </c>
    </row>
    <row r="21" spans="1:7" ht="16" x14ac:dyDescent="0.2">
      <c r="A21" s="575">
        <v>2003</v>
      </c>
      <c r="B21" s="576">
        <v>0.21299999999999999</v>
      </c>
      <c r="C21" s="575">
        <v>0.482647785</v>
      </c>
      <c r="D21" s="575">
        <v>0.41186208899999999</v>
      </c>
      <c r="E21" s="575">
        <v>0.853338814</v>
      </c>
      <c r="F21">
        <f t="shared" si="0"/>
        <v>-1.1134548361746781</v>
      </c>
      <c r="G21">
        <f t="shared" si="1"/>
        <v>-0.72846811494490982</v>
      </c>
    </row>
    <row r="22" spans="1:7" ht="16" x14ac:dyDescent="0.2">
      <c r="A22" s="575">
        <v>2004</v>
      </c>
      <c r="B22" s="576">
        <v>0.21099999999999999</v>
      </c>
      <c r="C22" s="575">
        <v>2.9451279E-2</v>
      </c>
      <c r="D22" s="575">
        <v>6.1633569999999999E-2</v>
      </c>
      <c r="E22" s="575">
        <v>2.0927298030000001</v>
      </c>
      <c r="F22" t="e">
        <f t="shared" si="0"/>
        <v>#NUM!</v>
      </c>
      <c r="G22">
        <f t="shared" si="1"/>
        <v>-3.5250179402859807</v>
      </c>
    </row>
    <row r="23" spans="1:7" ht="16" x14ac:dyDescent="0.2">
      <c r="A23" s="575">
        <v>2004</v>
      </c>
      <c r="B23" s="576">
        <v>0.21099999999999999</v>
      </c>
      <c r="C23" s="575">
        <v>8.3163047000000004E-2</v>
      </c>
      <c r="D23" s="575">
        <v>0.122801113</v>
      </c>
      <c r="E23" s="575">
        <v>1.4766307489999999</v>
      </c>
      <c r="F23" t="e">
        <f t="shared" si="0"/>
        <v>#NUM!</v>
      </c>
      <c r="G23">
        <f t="shared" si="1"/>
        <v>-2.4869521764519207</v>
      </c>
    </row>
    <row r="24" spans="1:7" ht="16" x14ac:dyDescent="0.2">
      <c r="A24" s="575">
        <v>2004</v>
      </c>
      <c r="B24" s="576">
        <v>0.21099999999999999</v>
      </c>
      <c r="C24" s="575">
        <v>0.15250825600000001</v>
      </c>
      <c r="D24" s="575">
        <v>0.16793385899999999</v>
      </c>
      <c r="E24" s="575">
        <v>1.101146017</v>
      </c>
      <c r="F24">
        <f t="shared" si="0"/>
        <v>-2.0310644716830066</v>
      </c>
      <c r="G24">
        <f t="shared" si="1"/>
        <v>-1.8805365466951454</v>
      </c>
    </row>
    <row r="25" spans="1:7" ht="16" x14ac:dyDescent="0.2">
      <c r="A25" s="575">
        <v>2004</v>
      </c>
      <c r="B25" s="576">
        <v>0.21099999999999999</v>
      </c>
      <c r="C25" s="575">
        <v>0.2448738</v>
      </c>
      <c r="D25" s="575">
        <v>0.229725648</v>
      </c>
      <c r="E25" s="575">
        <v>0.93813894200000003</v>
      </c>
      <c r="F25">
        <f t="shared" si="0"/>
        <v>-1.3478109398456346</v>
      </c>
      <c r="G25">
        <f t="shared" si="1"/>
        <v>-1.4070123031888575</v>
      </c>
    </row>
    <row r="26" spans="1:7" ht="16" x14ac:dyDescent="0.2">
      <c r="A26" s="575">
        <v>2004</v>
      </c>
      <c r="B26" s="576">
        <v>0.21099999999999999</v>
      </c>
      <c r="C26" s="575">
        <v>0.490003617</v>
      </c>
      <c r="D26" s="575">
        <v>0.41790581100000002</v>
      </c>
      <c r="E26" s="575">
        <v>0.85286270600000003</v>
      </c>
      <c r="F26">
        <f t="shared" si="0"/>
        <v>-1.1175158658350401</v>
      </c>
      <c r="G26">
        <f t="shared" si="1"/>
        <v>-0.71334250627205575</v>
      </c>
    </row>
    <row r="27" spans="1:7" ht="16" x14ac:dyDescent="0.2">
      <c r="A27" s="575">
        <v>2005</v>
      </c>
      <c r="B27" s="576">
        <v>0.20899999999999999</v>
      </c>
      <c r="C27" s="575">
        <v>2.8040016000000001E-2</v>
      </c>
      <c r="D27" s="575">
        <v>5.8966612000000002E-2</v>
      </c>
      <c r="E27" s="575">
        <v>2.1029449759999999</v>
      </c>
      <c r="F27" t="e">
        <f t="shared" si="0"/>
        <v>#NUM!</v>
      </c>
      <c r="G27">
        <f t="shared" si="1"/>
        <v>-3.5741226462025009</v>
      </c>
    </row>
    <row r="28" spans="1:7" ht="16" x14ac:dyDescent="0.2">
      <c r="A28" s="575">
        <v>2005</v>
      </c>
      <c r="B28" s="576">
        <v>0.20899999999999999</v>
      </c>
      <c r="C28" s="575">
        <v>8.3278114E-2</v>
      </c>
      <c r="D28" s="575">
        <v>0.12329420200000001</v>
      </c>
      <c r="E28" s="575">
        <v>1.4805114669999999</v>
      </c>
      <c r="F28" t="e">
        <f t="shared" si="0"/>
        <v>#NUM!</v>
      </c>
      <c r="G28">
        <f t="shared" si="1"/>
        <v>-2.4855695014256152</v>
      </c>
    </row>
    <row r="29" spans="1:7" ht="16" x14ac:dyDescent="0.2">
      <c r="A29" s="575">
        <v>2005</v>
      </c>
      <c r="B29" s="576">
        <v>0.20899999999999999</v>
      </c>
      <c r="C29" s="575">
        <v>0.151986066</v>
      </c>
      <c r="D29" s="575">
        <v>0.16777452800000001</v>
      </c>
      <c r="E29" s="575">
        <v>1.103880988</v>
      </c>
      <c r="F29">
        <f t="shared" si="0"/>
        <v>-2.0649065799535409</v>
      </c>
      <c r="G29">
        <f t="shared" si="1"/>
        <v>-1.8839664333905399</v>
      </c>
    </row>
    <row r="30" spans="1:7" ht="16" x14ac:dyDescent="0.2">
      <c r="A30" s="575">
        <v>2005</v>
      </c>
      <c r="B30" s="576">
        <v>0.20899999999999999</v>
      </c>
      <c r="C30" s="575">
        <v>0.24463238300000001</v>
      </c>
      <c r="D30" s="575">
        <v>0.229639229</v>
      </c>
      <c r="E30" s="575">
        <v>0.93871149200000004</v>
      </c>
      <c r="F30">
        <f t="shared" si="0"/>
        <v>-1.3568163006699159</v>
      </c>
      <c r="G30">
        <f t="shared" si="1"/>
        <v>-1.4079986728322147</v>
      </c>
    </row>
    <row r="31" spans="1:7" ht="16" x14ac:dyDescent="0.2">
      <c r="A31" s="575">
        <v>2005</v>
      </c>
      <c r="B31" s="576">
        <v>0.20899999999999999</v>
      </c>
      <c r="C31" s="575">
        <v>0.492063421</v>
      </c>
      <c r="D31" s="575">
        <v>0.42032542899999997</v>
      </c>
      <c r="E31" s="575">
        <v>0.85420986499999996</v>
      </c>
      <c r="F31">
        <f t="shared" si="0"/>
        <v>-1.126024606191496</v>
      </c>
      <c r="G31">
        <f t="shared" si="1"/>
        <v>-0.70914766632575166</v>
      </c>
    </row>
    <row r="32" spans="1:7" ht="16" x14ac:dyDescent="0.2">
      <c r="A32" s="575">
        <v>2006</v>
      </c>
      <c r="B32" s="576">
        <v>0.21</v>
      </c>
      <c r="C32" s="575">
        <v>2.9622290999999999E-2</v>
      </c>
      <c r="D32" s="575">
        <v>6.1126714999999998E-2</v>
      </c>
      <c r="E32" s="575">
        <v>2.0635377560000001</v>
      </c>
      <c r="F32" t="e">
        <f t="shared" si="0"/>
        <v>#NUM!</v>
      </c>
      <c r="G32">
        <f t="shared" si="1"/>
        <v>-3.5192281267459862</v>
      </c>
    </row>
    <row r="33" spans="1:7" ht="16" x14ac:dyDescent="0.2">
      <c r="A33" s="575">
        <v>2006</v>
      </c>
      <c r="B33" s="576">
        <v>0.21</v>
      </c>
      <c r="C33" s="575">
        <v>8.5398133000000001E-2</v>
      </c>
      <c r="D33" s="575">
        <v>0.123500888</v>
      </c>
      <c r="E33" s="575">
        <v>1.4461778350000001</v>
      </c>
      <c r="F33" t="e">
        <f t="shared" si="0"/>
        <v>#NUM!</v>
      </c>
      <c r="G33">
        <f t="shared" si="1"/>
        <v>-2.4604310402532841</v>
      </c>
    </row>
    <row r="34" spans="1:7" ht="16" x14ac:dyDescent="0.2">
      <c r="A34" s="575">
        <v>2006</v>
      </c>
      <c r="B34" s="576">
        <v>0.21</v>
      </c>
      <c r="C34" s="575">
        <v>0.151472088</v>
      </c>
      <c r="D34" s="575">
        <v>0.16756997600000001</v>
      </c>
      <c r="E34" s="575">
        <v>1.106276262</v>
      </c>
      <c r="F34">
        <f t="shared" si="0"/>
        <v>-2.0711420537480203</v>
      </c>
      <c r="G34">
        <f t="shared" si="1"/>
        <v>-1.8873539086303115</v>
      </c>
    </row>
    <row r="35" spans="1:7" ht="16" x14ac:dyDescent="0.2">
      <c r="A35" s="575">
        <v>2006</v>
      </c>
      <c r="B35" s="576">
        <v>0.21</v>
      </c>
      <c r="C35" s="575">
        <v>0.23904172600000001</v>
      </c>
      <c r="D35" s="575">
        <v>0.22452429400000001</v>
      </c>
      <c r="E35" s="575">
        <v>0.93926821000000005</v>
      </c>
      <c r="F35">
        <f t="shared" si="0"/>
        <v>-1.3548805267284763</v>
      </c>
      <c r="G35">
        <f t="shared" si="1"/>
        <v>-1.4311171565148904</v>
      </c>
    </row>
    <row r="36" spans="1:7" ht="16" x14ac:dyDescent="0.2">
      <c r="A36" s="575">
        <v>2006</v>
      </c>
      <c r="B36" s="576">
        <v>0.21</v>
      </c>
      <c r="C36" s="575">
        <v>0.49446576199999998</v>
      </c>
      <c r="D36" s="575">
        <v>0.42327812799999998</v>
      </c>
      <c r="E36" s="575">
        <v>0.85603121599999998</v>
      </c>
      <c r="F36">
        <f t="shared" si="0"/>
        <v>-1.127828950823849</v>
      </c>
      <c r="G36">
        <f t="shared" si="1"/>
        <v>-0.70427736793015583</v>
      </c>
    </row>
    <row r="37" spans="1:7" ht="16" x14ac:dyDescent="0.2">
      <c r="A37" s="575">
        <v>2007</v>
      </c>
      <c r="B37" s="576">
        <v>0.21</v>
      </c>
      <c r="C37" s="575">
        <v>3.0713384E-2</v>
      </c>
      <c r="D37" s="575">
        <v>6.2683674999999994E-2</v>
      </c>
      <c r="E37" s="575">
        <v>2.0409237550000001</v>
      </c>
      <c r="F37" t="e">
        <f t="shared" si="0"/>
        <v>#NUM!</v>
      </c>
      <c r="G37">
        <f t="shared" si="1"/>
        <v>-3.4830567584802812</v>
      </c>
    </row>
    <row r="38" spans="1:7" ht="16" x14ac:dyDescent="0.2">
      <c r="A38" s="575">
        <v>2007</v>
      </c>
      <c r="B38" s="576">
        <v>0.21</v>
      </c>
      <c r="C38" s="575">
        <v>8.7757456999999997E-2</v>
      </c>
      <c r="D38" s="575">
        <v>0.12554865100000001</v>
      </c>
      <c r="E38" s="575">
        <v>1.4306322709999999</v>
      </c>
      <c r="F38" t="e">
        <f t="shared" si="0"/>
        <v>#NUM!</v>
      </c>
      <c r="G38">
        <f t="shared" si="1"/>
        <v>-2.4331784401897822</v>
      </c>
    </row>
    <row r="39" spans="1:7" ht="16" x14ac:dyDescent="0.2">
      <c r="A39" s="575">
        <v>2007</v>
      </c>
      <c r="B39" s="576">
        <v>0.21</v>
      </c>
      <c r="C39" s="575">
        <v>0.14919902099999999</v>
      </c>
      <c r="D39" s="575">
        <v>0.16574239800000001</v>
      </c>
      <c r="E39" s="575">
        <v>1.110881266</v>
      </c>
      <c r="F39">
        <f t="shared" si="0"/>
        <v>-2.1004298647779427</v>
      </c>
      <c r="G39">
        <f t="shared" si="1"/>
        <v>-1.9024741528962028</v>
      </c>
    </row>
    <row r="40" spans="1:7" ht="16" x14ac:dyDescent="0.2">
      <c r="A40" s="575">
        <v>2007</v>
      </c>
      <c r="B40" s="576">
        <v>0.21</v>
      </c>
      <c r="C40" s="575">
        <v>0.236411971</v>
      </c>
      <c r="D40" s="575">
        <v>0.22349418900000001</v>
      </c>
      <c r="E40" s="575">
        <v>0.94535901899999997</v>
      </c>
      <c r="F40">
        <f t="shared" si="0"/>
        <v>-1.3737083977283155</v>
      </c>
      <c r="G40">
        <f t="shared" si="1"/>
        <v>-1.4421793559844072</v>
      </c>
    </row>
    <row r="41" spans="1:7" ht="16" x14ac:dyDescent="0.2">
      <c r="A41" s="575">
        <v>2007</v>
      </c>
      <c r="B41" s="576">
        <v>0.21</v>
      </c>
      <c r="C41" s="575">
        <v>0.49591816599999999</v>
      </c>
      <c r="D41" s="575">
        <v>0.422531088</v>
      </c>
      <c r="E41" s="575">
        <v>0.85201776500000004</v>
      </c>
      <c r="F41">
        <f t="shared" si="0"/>
        <v>-1.118082716259722</v>
      </c>
      <c r="G41">
        <f t="shared" si="1"/>
        <v>-0.70134435377243676</v>
      </c>
    </row>
    <row r="42" spans="1:7" ht="16" x14ac:dyDescent="0.2">
      <c r="A42" s="575">
        <v>2008</v>
      </c>
      <c r="B42" s="576">
        <v>0.21</v>
      </c>
      <c r="C42" s="575">
        <v>2.9772699999999999E-2</v>
      </c>
      <c r="D42" s="575">
        <v>6.1248556000000003E-2</v>
      </c>
      <c r="E42" s="575">
        <v>2.0572053050000001</v>
      </c>
      <c r="F42" t="e">
        <f t="shared" si="0"/>
        <v>#NUM!</v>
      </c>
      <c r="G42">
        <f t="shared" si="1"/>
        <v>-3.514163412736155</v>
      </c>
    </row>
    <row r="43" spans="1:7" ht="16" x14ac:dyDescent="0.2">
      <c r="A43" s="575">
        <v>2008</v>
      </c>
      <c r="B43" s="576">
        <v>0.21</v>
      </c>
      <c r="C43" s="575">
        <v>8.7027238000000007E-2</v>
      </c>
      <c r="D43" s="575">
        <v>0.123806244</v>
      </c>
      <c r="E43" s="575">
        <v>1.422614882</v>
      </c>
      <c r="F43" t="e">
        <f t="shared" si="0"/>
        <v>#NUM!</v>
      </c>
      <c r="G43">
        <f t="shared" si="1"/>
        <v>-2.4415341288672434</v>
      </c>
    </row>
    <row r="44" spans="1:7" ht="16" x14ac:dyDescent="0.2">
      <c r="A44" s="575">
        <v>2008</v>
      </c>
      <c r="B44" s="576">
        <v>0.21</v>
      </c>
      <c r="C44" s="575">
        <v>0.15436005699999999</v>
      </c>
      <c r="D44" s="575">
        <v>0.16741573600000001</v>
      </c>
      <c r="E44" s="575">
        <v>1.084579387</v>
      </c>
      <c r="F44">
        <f t="shared" si="0"/>
        <v>-1.9436367453070253</v>
      </c>
      <c r="G44">
        <f t="shared" si="1"/>
        <v>-1.8684673730461379</v>
      </c>
    </row>
    <row r="45" spans="1:7" ht="16" x14ac:dyDescent="0.2">
      <c r="A45" s="575">
        <v>2008</v>
      </c>
      <c r="B45" s="576">
        <v>0.21</v>
      </c>
      <c r="C45" s="575">
        <v>0.23831107500000001</v>
      </c>
      <c r="D45" s="575">
        <v>0.22630808799999999</v>
      </c>
      <c r="E45" s="575">
        <v>0.94963310999999995</v>
      </c>
      <c r="F45">
        <f t="shared" si="0"/>
        <v>-1.3871353422454078</v>
      </c>
      <c r="G45">
        <f t="shared" si="1"/>
        <v>-1.4341784209258985</v>
      </c>
    </row>
    <row r="46" spans="1:7" ht="16" x14ac:dyDescent="0.2">
      <c r="A46" s="575">
        <v>2008</v>
      </c>
      <c r="B46" s="576">
        <v>0.21</v>
      </c>
      <c r="C46" s="575">
        <v>0.49052892999999997</v>
      </c>
      <c r="D46" s="575">
        <v>0.42122137700000001</v>
      </c>
      <c r="E46" s="575">
        <v>0.85870853000000003</v>
      </c>
      <c r="F46">
        <f t="shared" si="0"/>
        <v>-1.1343837421071141</v>
      </c>
      <c r="G46">
        <f t="shared" si="1"/>
        <v>-0.71227102108400031</v>
      </c>
    </row>
    <row r="47" spans="1:7" ht="16" x14ac:dyDescent="0.2">
      <c r="A47" s="575">
        <v>2009</v>
      </c>
      <c r="B47" s="576">
        <v>0.20699999999999999</v>
      </c>
      <c r="C47" s="575">
        <v>2.8980559999999999E-2</v>
      </c>
      <c r="D47" s="575">
        <v>6.2769063E-2</v>
      </c>
      <c r="E47" s="575">
        <v>2.1659023199999998</v>
      </c>
      <c r="F47" t="e">
        <f t="shared" si="0"/>
        <v>#NUM!</v>
      </c>
      <c r="G47">
        <f t="shared" si="1"/>
        <v>-3.5411300186048029</v>
      </c>
    </row>
    <row r="48" spans="1:7" ht="16" x14ac:dyDescent="0.2">
      <c r="A48" s="575">
        <v>2009</v>
      </c>
      <c r="B48" s="576">
        <v>0.20699999999999999</v>
      </c>
      <c r="C48" s="575">
        <v>8.4967872999999999E-2</v>
      </c>
      <c r="D48" s="575">
        <v>0.124146825</v>
      </c>
      <c r="E48" s="575">
        <v>1.4611031189999999</v>
      </c>
      <c r="F48" t="e">
        <f t="shared" si="0"/>
        <v>#NUM!</v>
      </c>
      <c r="G48">
        <f t="shared" si="1"/>
        <v>-2.465482058644366</v>
      </c>
    </row>
    <row r="49" spans="1:7" ht="16" x14ac:dyDescent="0.2">
      <c r="A49" s="575">
        <v>2009</v>
      </c>
      <c r="B49" s="576">
        <v>0.20699999999999999</v>
      </c>
      <c r="C49" s="575">
        <v>0.15364897799999999</v>
      </c>
      <c r="D49" s="575">
        <v>0.167368722</v>
      </c>
      <c r="E49" s="575">
        <v>1.089292779</v>
      </c>
      <c r="F49">
        <f t="shared" si="0"/>
        <v>-1.9936982425058047</v>
      </c>
      <c r="G49">
        <f t="shared" si="1"/>
        <v>-1.8730846419084024</v>
      </c>
    </row>
    <row r="50" spans="1:7" ht="16" x14ac:dyDescent="0.2">
      <c r="A50" s="575">
        <v>2009</v>
      </c>
      <c r="B50" s="576">
        <v>0.20699999999999999</v>
      </c>
      <c r="C50" s="575">
        <v>0.24268236300000001</v>
      </c>
      <c r="D50" s="575">
        <v>0.22790333900000001</v>
      </c>
      <c r="E50" s="575">
        <v>0.93910136600000005</v>
      </c>
      <c r="F50">
        <f t="shared" si="0"/>
        <v>-1.3653448750040418</v>
      </c>
      <c r="G50">
        <f t="shared" si="1"/>
        <v>-1.4160018388530882</v>
      </c>
    </row>
    <row r="51" spans="1:7" ht="16" x14ac:dyDescent="0.2">
      <c r="A51" s="575">
        <v>2009</v>
      </c>
      <c r="B51" s="576">
        <v>0.20699999999999999</v>
      </c>
      <c r="C51" s="575">
        <v>0.48972022500000001</v>
      </c>
      <c r="D51" s="575">
        <v>0.41781205100000002</v>
      </c>
      <c r="E51" s="575">
        <v>0.85316478600000001</v>
      </c>
      <c r="F51">
        <f t="shared" si="0"/>
        <v>-1.1287406497483199</v>
      </c>
      <c r="G51">
        <f t="shared" si="1"/>
        <v>-0.71392102033031379</v>
      </c>
    </row>
    <row r="52" spans="1:7" ht="16" x14ac:dyDescent="0.2">
      <c r="A52" s="575">
        <v>2010</v>
      </c>
      <c r="B52" s="576">
        <v>0.20699999999999999</v>
      </c>
      <c r="C52" s="575">
        <v>2.8610358999999998E-2</v>
      </c>
      <c r="D52" s="575">
        <v>6.2615626999999993E-2</v>
      </c>
      <c r="E52" s="575">
        <v>2.1885648689999999</v>
      </c>
      <c r="F52" t="e">
        <f t="shared" si="0"/>
        <v>#NUM!</v>
      </c>
      <c r="G52">
        <f t="shared" si="1"/>
        <v>-3.5539864239387255</v>
      </c>
    </row>
    <row r="53" spans="1:7" ht="16" x14ac:dyDescent="0.2">
      <c r="A53" s="575">
        <v>2010</v>
      </c>
      <c r="B53" s="576">
        <v>0.20699999999999999</v>
      </c>
      <c r="C53" s="575">
        <v>8.6672207000000001E-2</v>
      </c>
      <c r="D53" s="575">
        <v>0.12559975300000001</v>
      </c>
      <c r="E53" s="575">
        <v>1.4491352820000001</v>
      </c>
      <c r="F53" t="e">
        <f t="shared" si="0"/>
        <v>#NUM!</v>
      </c>
      <c r="G53">
        <f t="shared" si="1"/>
        <v>-2.4456220117548808</v>
      </c>
    </row>
    <row r="54" spans="1:7" ht="16" x14ac:dyDescent="0.2">
      <c r="A54" s="575">
        <v>2010</v>
      </c>
      <c r="B54" s="576">
        <v>0.20699999999999999</v>
      </c>
      <c r="C54" s="575">
        <v>0.15702209</v>
      </c>
      <c r="D54" s="575">
        <v>0.17112653799999999</v>
      </c>
      <c r="E54" s="575">
        <v>1.089824608</v>
      </c>
      <c r="F54">
        <f t="shared" si="0"/>
        <v>-1.9967997344264221</v>
      </c>
      <c r="G54">
        <f t="shared" si="1"/>
        <v>-1.8513687828942926</v>
      </c>
    </row>
    <row r="55" spans="1:7" ht="16" x14ac:dyDescent="0.2">
      <c r="A55" s="575">
        <v>2010</v>
      </c>
      <c r="B55" s="576">
        <v>0.20699999999999999</v>
      </c>
      <c r="C55" s="575">
        <v>0.24572203500000001</v>
      </c>
      <c r="D55" s="575">
        <v>0.2311185</v>
      </c>
      <c r="E55" s="575">
        <v>0.94056888400000005</v>
      </c>
      <c r="F55">
        <f t="shared" si="0"/>
        <v>-1.3699137587957251</v>
      </c>
      <c r="G55">
        <f t="shared" si="1"/>
        <v>-1.4035543209365595</v>
      </c>
    </row>
    <row r="56" spans="1:7" ht="16" x14ac:dyDescent="0.2">
      <c r="A56" s="575">
        <v>2010</v>
      </c>
      <c r="B56" s="576">
        <v>0.20699999999999999</v>
      </c>
      <c r="C56" s="575">
        <v>0.48197330900000002</v>
      </c>
      <c r="D56" s="575">
        <v>0.40953958200000001</v>
      </c>
      <c r="E56" s="575">
        <v>0.84971423599999996</v>
      </c>
      <c r="F56">
        <f t="shared" si="0"/>
        <v>-1.1203162932298123</v>
      </c>
      <c r="G56">
        <f t="shared" si="1"/>
        <v>-0.72986654198348955</v>
      </c>
    </row>
    <row r="57" spans="1:7" ht="16" x14ac:dyDescent="0.2">
      <c r="A57" s="575">
        <v>2011</v>
      </c>
      <c r="B57" s="576">
        <v>0.20899999999999999</v>
      </c>
      <c r="C57" s="575">
        <v>2.9062900999999999E-2</v>
      </c>
      <c r="D57" s="575">
        <v>6.3444416000000003E-2</v>
      </c>
      <c r="E57" s="575">
        <v>2.183003587</v>
      </c>
      <c r="F57" t="e">
        <f t="shared" si="0"/>
        <v>#NUM!</v>
      </c>
      <c r="G57">
        <f t="shared" si="1"/>
        <v>-3.5382927978802892</v>
      </c>
    </row>
    <row r="58" spans="1:7" ht="16" x14ac:dyDescent="0.2">
      <c r="A58" s="575">
        <v>2011</v>
      </c>
      <c r="B58" s="576">
        <v>0.20899999999999999</v>
      </c>
      <c r="C58" s="575">
        <v>8.4061548999999999E-2</v>
      </c>
      <c r="D58" s="575">
        <v>0.12252547</v>
      </c>
      <c r="E58" s="575">
        <v>1.457568558</v>
      </c>
      <c r="F58" t="e">
        <f t="shared" si="0"/>
        <v>#NUM!</v>
      </c>
      <c r="G58">
        <f t="shared" si="1"/>
        <v>-2.476206022261124</v>
      </c>
    </row>
    <row r="59" spans="1:7" ht="16" x14ac:dyDescent="0.2">
      <c r="A59" s="575">
        <v>2011</v>
      </c>
      <c r="B59" s="576">
        <v>0.20899999999999999</v>
      </c>
      <c r="C59" s="575">
        <v>0.155862213</v>
      </c>
      <c r="D59" s="575">
        <v>0.16981047699999999</v>
      </c>
      <c r="E59" s="575">
        <v>1.089490992</v>
      </c>
      <c r="F59">
        <f t="shared" si="0"/>
        <v>-1.9789620163364214</v>
      </c>
      <c r="G59">
        <f t="shared" si="1"/>
        <v>-1.8587829120277171</v>
      </c>
    </row>
    <row r="60" spans="1:7" ht="16" x14ac:dyDescent="0.2">
      <c r="A60" s="575">
        <v>2011</v>
      </c>
      <c r="B60" s="576">
        <v>0.20899999999999999</v>
      </c>
      <c r="C60" s="575">
        <v>0.24903743</v>
      </c>
      <c r="D60" s="575">
        <v>0.23398766500000001</v>
      </c>
      <c r="E60" s="575">
        <v>0.93956825899999996</v>
      </c>
      <c r="F60">
        <f t="shared" si="0"/>
        <v>-1.3594518382933658</v>
      </c>
      <c r="G60">
        <f t="shared" si="1"/>
        <v>-1.3901520725294012</v>
      </c>
    </row>
    <row r="61" spans="1:7" ht="16" x14ac:dyDescent="0.2">
      <c r="A61" s="575">
        <v>2011</v>
      </c>
      <c r="B61" s="576">
        <v>0.20899999999999999</v>
      </c>
      <c r="C61" s="575">
        <v>0.48197590699999998</v>
      </c>
      <c r="D61" s="575">
        <v>0.41023197099999997</v>
      </c>
      <c r="E61" s="575">
        <v>0.85114621899999998</v>
      </c>
      <c r="F61">
        <f t="shared" si="0"/>
        <v>-1.1185803068813531</v>
      </c>
      <c r="G61">
        <f t="shared" si="1"/>
        <v>-0.72986115165803078</v>
      </c>
    </row>
    <row r="62" spans="1:7" ht="16" x14ac:dyDescent="0.2">
      <c r="A62" s="575">
        <v>2012</v>
      </c>
      <c r="B62" s="576">
        <v>0.20799999999999999</v>
      </c>
      <c r="C62" s="575">
        <v>2.9910078999999999E-2</v>
      </c>
      <c r="D62" s="575">
        <v>6.5551797999999994E-2</v>
      </c>
      <c r="E62" s="575">
        <v>2.191629066</v>
      </c>
      <c r="F62" t="e">
        <f t="shared" si="0"/>
        <v>#NUM!</v>
      </c>
      <c r="G62">
        <f t="shared" si="1"/>
        <v>-3.5095597650866637</v>
      </c>
    </row>
    <row r="63" spans="1:7" ht="16" x14ac:dyDescent="0.2">
      <c r="A63" s="575">
        <v>2012</v>
      </c>
      <c r="B63" s="576">
        <v>0.20799999999999999</v>
      </c>
      <c r="C63" s="575">
        <v>8.8635303999999998E-2</v>
      </c>
      <c r="D63" s="575">
        <v>0.12547066000000001</v>
      </c>
      <c r="E63" s="575">
        <v>1.415583338</v>
      </c>
      <c r="F63" t="e">
        <f t="shared" si="0"/>
        <v>#NUM!</v>
      </c>
      <c r="G63">
        <f t="shared" si="1"/>
        <v>-2.4232250357259155</v>
      </c>
    </row>
    <row r="64" spans="1:7" ht="16" x14ac:dyDescent="0.2">
      <c r="A64" s="575">
        <v>2012</v>
      </c>
      <c r="B64" s="576">
        <v>0.20799999999999999</v>
      </c>
      <c r="C64" s="575">
        <v>0.15738753999999999</v>
      </c>
      <c r="D64" s="575">
        <v>0.16897111000000001</v>
      </c>
      <c r="E64" s="575">
        <v>1.0735990289999999</v>
      </c>
      <c r="F64">
        <f t="shared" si="0"/>
        <v>-1.8990580682099933</v>
      </c>
      <c r="G64">
        <f t="shared" si="1"/>
        <v>-1.8490441075045609</v>
      </c>
    </row>
    <row r="65" spans="1:7" ht="16" x14ac:dyDescent="0.2">
      <c r="A65" s="575">
        <v>2012</v>
      </c>
      <c r="B65" s="576">
        <v>0.20799999999999999</v>
      </c>
      <c r="C65" s="575">
        <v>0.24915253200000001</v>
      </c>
      <c r="D65" s="575">
        <v>0.23209395399999999</v>
      </c>
      <c r="E65" s="575">
        <v>0.93153359499999999</v>
      </c>
      <c r="F65">
        <f t="shared" si="0"/>
        <v>-1.3385508673378983</v>
      </c>
      <c r="G65">
        <f t="shared" si="1"/>
        <v>-1.3896899917536827</v>
      </c>
    </row>
    <row r="66" spans="1:7" ht="16" x14ac:dyDescent="0.2">
      <c r="A66" s="575">
        <v>2012</v>
      </c>
      <c r="B66" s="576">
        <v>0.20799999999999999</v>
      </c>
      <c r="C66" s="575">
        <v>0.47491454399999999</v>
      </c>
      <c r="D66" s="575">
        <v>0.40791247800000002</v>
      </c>
      <c r="E66" s="575">
        <v>0.85891763600000004</v>
      </c>
      <c r="F66">
        <f t="shared" si="0"/>
        <v>-1.1402557696159643</v>
      </c>
      <c r="G66">
        <f t="shared" si="1"/>
        <v>-0.74462039850118877</v>
      </c>
    </row>
    <row r="67" spans="1:7" ht="16" x14ac:dyDescent="0.2">
      <c r="A67" s="575">
        <v>2013</v>
      </c>
      <c r="B67" s="576">
        <v>0.20899999999999999</v>
      </c>
      <c r="C67" s="575">
        <v>2.9028020000000002E-2</v>
      </c>
      <c r="D67" s="575">
        <v>6.2574094999999996E-2</v>
      </c>
      <c r="E67" s="575">
        <v>2.155644632</v>
      </c>
      <c r="F67" t="e">
        <f t="shared" ref="F67:F106" si="2">LN(1-((1-B67)*E67))</f>
        <v>#NUM!</v>
      </c>
      <c r="G67">
        <f t="shared" ref="G67:G106" si="3">LN(C67)</f>
        <v>-3.539493708576543</v>
      </c>
    </row>
    <row r="68" spans="1:7" ht="16" x14ac:dyDescent="0.2">
      <c r="A68" s="575">
        <v>2013</v>
      </c>
      <c r="B68" s="576">
        <v>0.20899999999999999</v>
      </c>
      <c r="C68" s="575">
        <v>8.5023872E-2</v>
      </c>
      <c r="D68" s="575">
        <v>0.122492456</v>
      </c>
      <c r="E68" s="575">
        <v>1.440683095</v>
      </c>
      <c r="F68" t="e">
        <f t="shared" si="2"/>
        <v>#NUM!</v>
      </c>
      <c r="G68">
        <f t="shared" si="3"/>
        <v>-2.4648232148631499</v>
      </c>
    </row>
    <row r="69" spans="1:7" ht="16" x14ac:dyDescent="0.2">
      <c r="A69" s="575">
        <v>2013</v>
      </c>
      <c r="B69" s="576">
        <v>0.20899999999999999</v>
      </c>
      <c r="C69" s="575">
        <v>0.15625805100000001</v>
      </c>
      <c r="D69" s="575">
        <v>0.16965946400000001</v>
      </c>
      <c r="E69" s="575">
        <v>1.085764626</v>
      </c>
      <c r="F69">
        <f t="shared" si="2"/>
        <v>-1.957859999118932</v>
      </c>
      <c r="G69">
        <f t="shared" si="3"/>
        <v>-1.8562464652930655</v>
      </c>
    </row>
    <row r="70" spans="1:7" ht="16" x14ac:dyDescent="0.2">
      <c r="A70" s="575">
        <v>2013</v>
      </c>
      <c r="B70" s="576">
        <v>0.20899999999999999</v>
      </c>
      <c r="C70" s="575">
        <v>0.25086456499999998</v>
      </c>
      <c r="D70" s="575">
        <v>0.232941437</v>
      </c>
      <c r="E70" s="575">
        <v>0.92855456700000005</v>
      </c>
      <c r="F70">
        <f t="shared" si="2"/>
        <v>-1.3260902041457043</v>
      </c>
      <c r="G70">
        <f t="shared" si="3"/>
        <v>-1.3828420671502384</v>
      </c>
    </row>
    <row r="71" spans="1:7" ht="16" x14ac:dyDescent="0.2">
      <c r="A71" s="575">
        <v>2013</v>
      </c>
      <c r="B71" s="576">
        <v>0.20899999999999999</v>
      </c>
      <c r="C71" s="575">
        <v>0.47882549200000002</v>
      </c>
      <c r="D71" s="575">
        <v>0.41233254800000002</v>
      </c>
      <c r="E71" s="575">
        <v>0.86113324000000002</v>
      </c>
      <c r="F71">
        <f t="shared" si="2"/>
        <v>-1.1430545561003864</v>
      </c>
      <c r="G71">
        <f t="shared" si="3"/>
        <v>-0.73641906527866829</v>
      </c>
    </row>
    <row r="72" spans="1:7" ht="16" x14ac:dyDescent="0.2">
      <c r="A72" s="575">
        <v>2014</v>
      </c>
      <c r="B72" s="576">
        <v>0.21</v>
      </c>
      <c r="C72" s="575">
        <v>2.8338680000000002E-2</v>
      </c>
      <c r="D72" s="575">
        <v>6.2452502999999999E-2</v>
      </c>
      <c r="E72" s="575">
        <v>2.2037901560000002</v>
      </c>
      <c r="F72" t="e">
        <f t="shared" si="2"/>
        <v>#NUM!</v>
      </c>
      <c r="G72">
        <f t="shared" si="3"/>
        <v>-3.5635276230802928</v>
      </c>
    </row>
    <row r="73" spans="1:7" ht="16" x14ac:dyDescent="0.2">
      <c r="A73" s="575">
        <v>2014</v>
      </c>
      <c r="B73" s="576">
        <v>0.21</v>
      </c>
      <c r="C73" s="575">
        <v>8.8216887999999993E-2</v>
      </c>
      <c r="D73" s="575">
        <v>0.123262152</v>
      </c>
      <c r="E73" s="575">
        <v>1.3972625270000001</v>
      </c>
      <c r="F73" t="e">
        <f t="shared" si="2"/>
        <v>#NUM!</v>
      </c>
      <c r="G73">
        <f t="shared" si="3"/>
        <v>-2.4279568603752808</v>
      </c>
    </row>
    <row r="74" spans="1:7" ht="16" x14ac:dyDescent="0.2">
      <c r="A74" s="575">
        <v>2014</v>
      </c>
      <c r="B74" s="576">
        <v>0.21</v>
      </c>
      <c r="C74" s="575">
        <v>0.15602421</v>
      </c>
      <c r="D74" s="575">
        <v>0.168960684</v>
      </c>
      <c r="E74" s="575">
        <v>1.08291325</v>
      </c>
      <c r="F74">
        <f t="shared" si="2"/>
        <v>-1.934485927190563</v>
      </c>
      <c r="G74">
        <f t="shared" si="3"/>
        <v>-1.8577440914659882</v>
      </c>
    </row>
    <row r="75" spans="1:7" ht="16" x14ac:dyDescent="0.2">
      <c r="A75" s="575">
        <v>2014</v>
      </c>
      <c r="B75" s="576">
        <v>0.21</v>
      </c>
      <c r="C75" s="575">
        <v>0.24958511799999999</v>
      </c>
      <c r="D75" s="575">
        <v>0.23438363800000001</v>
      </c>
      <c r="E75" s="575">
        <v>0.93909300500000004</v>
      </c>
      <c r="F75">
        <f t="shared" si="2"/>
        <v>-1.3543441446677045</v>
      </c>
      <c r="G75">
        <f t="shared" si="3"/>
        <v>-1.3879552676618458</v>
      </c>
    </row>
    <row r="76" spans="1:7" ht="16" x14ac:dyDescent="0.2">
      <c r="A76" s="575">
        <v>2014</v>
      </c>
      <c r="B76" s="576">
        <v>0.21</v>
      </c>
      <c r="C76" s="575">
        <v>0.47783510400000001</v>
      </c>
      <c r="D76" s="575">
        <v>0.41094102199999999</v>
      </c>
      <c r="E76" s="575">
        <v>0.860005927</v>
      </c>
      <c r="F76">
        <f t="shared" si="2"/>
        <v>-1.1375756438104052</v>
      </c>
      <c r="G76">
        <f t="shared" si="3"/>
        <v>-0.73848957671806192</v>
      </c>
    </row>
    <row r="77" spans="1:7" ht="16" x14ac:dyDescent="0.2">
      <c r="A77" s="575">
        <v>2015</v>
      </c>
      <c r="B77" s="576">
        <v>0.21</v>
      </c>
      <c r="C77" s="575">
        <v>2.6426831000000001E-2</v>
      </c>
      <c r="D77" s="575">
        <v>5.9243721999999999E-2</v>
      </c>
      <c r="E77" s="575">
        <v>2.2418019629999999</v>
      </c>
      <c r="F77" t="e">
        <f t="shared" si="2"/>
        <v>#NUM!</v>
      </c>
      <c r="G77">
        <f t="shared" si="3"/>
        <v>-3.6333754591816532</v>
      </c>
    </row>
    <row r="78" spans="1:7" ht="16" x14ac:dyDescent="0.2">
      <c r="A78" s="575">
        <v>2015</v>
      </c>
      <c r="B78" s="576">
        <v>0.21</v>
      </c>
      <c r="C78" s="575">
        <v>8.7631168999999995E-2</v>
      </c>
      <c r="D78" s="575">
        <v>0.12290651599999999</v>
      </c>
      <c r="E78" s="575">
        <v>1.4025433759999999</v>
      </c>
      <c r="F78" t="e">
        <f t="shared" si="2"/>
        <v>#NUM!</v>
      </c>
      <c r="G78">
        <f t="shared" si="3"/>
        <v>-2.4346185338230537</v>
      </c>
    </row>
    <row r="79" spans="1:7" ht="16" x14ac:dyDescent="0.2">
      <c r="A79" s="575">
        <v>2015</v>
      </c>
      <c r="B79" s="576">
        <v>0.21</v>
      </c>
      <c r="C79" s="575">
        <v>0.16194482800000001</v>
      </c>
      <c r="D79" s="575">
        <v>0.17539639300000001</v>
      </c>
      <c r="E79" s="575">
        <v>1.0830626430000001</v>
      </c>
      <c r="F79">
        <f t="shared" si="2"/>
        <v>-1.935303019872092</v>
      </c>
      <c r="G79">
        <f t="shared" si="3"/>
        <v>-1.8204995696574056</v>
      </c>
    </row>
    <row r="80" spans="1:7" ht="16" x14ac:dyDescent="0.2">
      <c r="A80" s="575">
        <v>2015</v>
      </c>
      <c r="B80" s="576">
        <v>0.21</v>
      </c>
      <c r="C80" s="575">
        <v>0.243977899</v>
      </c>
      <c r="D80" s="575">
        <v>0.23096802699999999</v>
      </c>
      <c r="E80" s="575">
        <v>0.94667602399999995</v>
      </c>
      <c r="F80">
        <f t="shared" si="2"/>
        <v>-1.3778265502804186</v>
      </c>
      <c r="G80">
        <f t="shared" si="3"/>
        <v>-1.4106776356602106</v>
      </c>
    </row>
    <row r="81" spans="1:7" ht="16" x14ac:dyDescent="0.2">
      <c r="A81" s="575">
        <v>2015</v>
      </c>
      <c r="B81" s="576">
        <v>0.21</v>
      </c>
      <c r="C81" s="575">
        <v>0.48001927300000002</v>
      </c>
      <c r="D81" s="575">
        <v>0.411485341</v>
      </c>
      <c r="E81" s="575">
        <v>0.85722670899999998</v>
      </c>
      <c r="F81">
        <f t="shared" si="2"/>
        <v>-1.1307505341547257</v>
      </c>
      <c r="G81">
        <f t="shared" si="3"/>
        <v>-0.73392902380294034</v>
      </c>
    </row>
    <row r="82" spans="1:7" ht="16" x14ac:dyDescent="0.2">
      <c r="A82" s="575">
        <v>2016</v>
      </c>
      <c r="B82" s="576">
        <v>0.20499999999999999</v>
      </c>
      <c r="C82" s="575">
        <v>2.8357273999999998E-2</v>
      </c>
      <c r="D82" s="575">
        <v>6.1732242E-2</v>
      </c>
      <c r="E82" s="575">
        <v>2.1769455880000002</v>
      </c>
      <c r="F82" t="e">
        <f t="shared" si="2"/>
        <v>#NUM!</v>
      </c>
      <c r="G82">
        <f t="shared" si="3"/>
        <v>-3.5628717032357606</v>
      </c>
    </row>
    <row r="83" spans="1:7" ht="16" x14ac:dyDescent="0.2">
      <c r="A83" s="575">
        <v>2016</v>
      </c>
      <c r="B83" s="576">
        <v>0.20499999999999999</v>
      </c>
      <c r="C83" s="575">
        <v>9.5244701000000001E-2</v>
      </c>
      <c r="D83" s="575">
        <v>0.131281654</v>
      </c>
      <c r="E83" s="575">
        <v>1.3783617610000001</v>
      </c>
      <c r="F83" t="e">
        <f t="shared" si="2"/>
        <v>#NUM!</v>
      </c>
      <c r="G83">
        <f t="shared" si="3"/>
        <v>-2.351305899068806</v>
      </c>
    </row>
    <row r="84" spans="1:7" ht="16" x14ac:dyDescent="0.2">
      <c r="A84" s="575">
        <v>2016</v>
      </c>
      <c r="B84" s="576">
        <v>0.20499999999999999</v>
      </c>
      <c r="C84" s="575">
        <v>0.161625722</v>
      </c>
      <c r="D84" s="575">
        <v>0.17746783699999999</v>
      </c>
      <c r="E84" s="575">
        <v>1.0980172939999999</v>
      </c>
      <c r="F84">
        <f t="shared" si="2"/>
        <v>-2.0629679689929472</v>
      </c>
      <c r="G84">
        <f t="shared" si="3"/>
        <v>-1.8224719747693894</v>
      </c>
    </row>
    <row r="85" spans="1:7" ht="16" x14ac:dyDescent="0.2">
      <c r="A85" s="575">
        <v>2016</v>
      </c>
      <c r="B85" s="576">
        <v>0.20499999999999999</v>
      </c>
      <c r="C85" s="575">
        <v>0.24678182000000001</v>
      </c>
      <c r="D85" s="575">
        <v>0.23174662300000001</v>
      </c>
      <c r="E85" s="575">
        <v>0.939074941</v>
      </c>
      <c r="F85">
        <f t="shared" si="2"/>
        <v>-1.3726462343410406</v>
      </c>
      <c r="G85">
        <f t="shared" si="3"/>
        <v>-1.3992506525490749</v>
      </c>
    </row>
    <row r="86" spans="1:7" ht="16" x14ac:dyDescent="0.2">
      <c r="A86" s="575">
        <v>2016</v>
      </c>
      <c r="B86" s="576">
        <v>0.20499999999999999</v>
      </c>
      <c r="C86" s="575">
        <v>0.46799048300000001</v>
      </c>
      <c r="D86" s="575">
        <v>0.39777164300000001</v>
      </c>
      <c r="E86" s="575">
        <v>0.84995669200000001</v>
      </c>
      <c r="F86">
        <f t="shared" si="2"/>
        <v>-1.1261342783539872</v>
      </c>
      <c r="G86">
        <f t="shared" si="3"/>
        <v>-0.75930731874134427</v>
      </c>
    </row>
    <row r="87" spans="1:7" ht="16" x14ac:dyDescent="0.2">
      <c r="A87" s="575">
        <v>2017</v>
      </c>
      <c r="B87" s="576">
        <v>0.20699999999999999</v>
      </c>
      <c r="C87" s="575">
        <v>2.8770917999999999E-2</v>
      </c>
      <c r="D87" s="575">
        <v>6.1059455999999998E-2</v>
      </c>
      <c r="E87" s="575">
        <v>2.1222630109999998</v>
      </c>
      <c r="F87" t="e">
        <f t="shared" si="2"/>
        <v>#NUM!</v>
      </c>
      <c r="G87">
        <f t="shared" si="3"/>
        <v>-3.5483901936899898</v>
      </c>
    </row>
    <row r="88" spans="1:7" ht="16" x14ac:dyDescent="0.2">
      <c r="A88" s="575">
        <v>2017</v>
      </c>
      <c r="B88" s="576">
        <v>0.20699999999999999</v>
      </c>
      <c r="C88" s="575">
        <v>9.1404743999999996E-2</v>
      </c>
      <c r="D88" s="575">
        <v>0.12927503200000001</v>
      </c>
      <c r="E88" s="575">
        <v>1.4143142440000001</v>
      </c>
      <c r="F88" t="e">
        <f t="shared" si="2"/>
        <v>#NUM!</v>
      </c>
      <c r="G88">
        <f t="shared" si="3"/>
        <v>-2.3924578981490718</v>
      </c>
    </row>
    <row r="89" spans="1:7" ht="16" x14ac:dyDescent="0.2">
      <c r="A89" s="575">
        <v>2017</v>
      </c>
      <c r="B89" s="576">
        <v>0.20699999999999999</v>
      </c>
      <c r="C89" s="575">
        <v>0.15837236099999999</v>
      </c>
      <c r="D89" s="575">
        <v>0.175111024</v>
      </c>
      <c r="E89" s="575">
        <v>1.105691819</v>
      </c>
      <c r="F89">
        <f t="shared" si="2"/>
        <v>-2.0940567247908484</v>
      </c>
      <c r="G89">
        <f t="shared" si="3"/>
        <v>-1.8428063034630884</v>
      </c>
    </row>
    <row r="90" spans="1:7" ht="16" x14ac:dyDescent="0.2">
      <c r="A90" s="575">
        <v>2017</v>
      </c>
      <c r="B90" s="576">
        <v>0.20699999999999999</v>
      </c>
      <c r="C90" s="575">
        <v>0.24773146500000001</v>
      </c>
      <c r="D90" s="575">
        <v>0.23336451999999999</v>
      </c>
      <c r="E90" s="575">
        <v>0.94200597500000005</v>
      </c>
      <c r="F90">
        <f t="shared" si="2"/>
        <v>-1.3744082345348094</v>
      </c>
      <c r="G90">
        <f t="shared" si="3"/>
        <v>-1.3954099218905744</v>
      </c>
    </row>
    <row r="91" spans="1:7" ht="16" x14ac:dyDescent="0.2">
      <c r="A91" s="575">
        <v>2017</v>
      </c>
      <c r="B91" s="576">
        <v>0.20699999999999999</v>
      </c>
      <c r="C91" s="575">
        <v>0.47372051199999998</v>
      </c>
      <c r="D91" s="575">
        <v>0.40118996899999998</v>
      </c>
      <c r="E91" s="575">
        <v>0.84689169799999997</v>
      </c>
      <c r="F91">
        <f t="shared" si="2"/>
        <v>-1.1134775812189024</v>
      </c>
      <c r="G91">
        <f t="shared" si="3"/>
        <v>-0.74713776832219891</v>
      </c>
    </row>
    <row r="92" spans="1:7" ht="16" x14ac:dyDescent="0.2">
      <c r="A92" s="575">
        <v>2018</v>
      </c>
      <c r="B92" s="576">
        <v>0.20699999999999999</v>
      </c>
      <c r="C92" s="575">
        <v>2.9889922999999999E-2</v>
      </c>
      <c r="D92" s="575">
        <v>6.2537196000000003E-2</v>
      </c>
      <c r="E92" s="575">
        <v>2.0922501549999999</v>
      </c>
      <c r="F92" t="e">
        <f t="shared" si="2"/>
        <v>#NUM!</v>
      </c>
      <c r="G92">
        <f t="shared" si="3"/>
        <v>-3.5102338788020209</v>
      </c>
    </row>
    <row r="93" spans="1:7" ht="16" x14ac:dyDescent="0.2">
      <c r="A93" s="575">
        <v>2018</v>
      </c>
      <c r="B93" s="576">
        <v>0.20699999999999999</v>
      </c>
      <c r="C93" s="575">
        <v>8.8847002999999994E-2</v>
      </c>
      <c r="D93" s="575">
        <v>0.12782232900000001</v>
      </c>
      <c r="E93" s="575">
        <v>1.438679128</v>
      </c>
      <c r="F93" t="e">
        <f t="shared" si="2"/>
        <v>#NUM!</v>
      </c>
      <c r="G93">
        <f t="shared" si="3"/>
        <v>-2.4208394559576956</v>
      </c>
    </row>
    <row r="94" spans="1:7" ht="16" x14ac:dyDescent="0.2">
      <c r="A94" s="575">
        <v>2018</v>
      </c>
      <c r="B94" s="576">
        <v>0.20699999999999999</v>
      </c>
      <c r="C94" s="575">
        <v>0.15556967099999999</v>
      </c>
      <c r="D94" s="575">
        <v>0.17433479299999999</v>
      </c>
      <c r="E94" s="575">
        <v>1.1206219829999999</v>
      </c>
      <c r="F94">
        <f t="shared" si="2"/>
        <v>-2.1951059159560957</v>
      </c>
      <c r="G94">
        <f t="shared" si="3"/>
        <v>-1.8606616026889686</v>
      </c>
    </row>
    <row r="95" spans="1:7" ht="16" x14ac:dyDescent="0.2">
      <c r="A95" s="575">
        <v>2018</v>
      </c>
      <c r="B95" s="576">
        <v>0.20699999999999999</v>
      </c>
      <c r="C95" s="575">
        <v>0.24927671800000001</v>
      </c>
      <c r="D95" s="575">
        <v>0.23389464900000001</v>
      </c>
      <c r="E95" s="575">
        <v>0.93829320100000002</v>
      </c>
      <c r="F95">
        <f t="shared" si="2"/>
        <v>-1.3628376666661841</v>
      </c>
      <c r="G95">
        <f t="shared" si="3"/>
        <v>-1.3891916823042685</v>
      </c>
    </row>
    <row r="96" spans="1:7" ht="16" x14ac:dyDescent="0.2">
      <c r="A96" s="575">
        <v>2018</v>
      </c>
      <c r="B96" s="576">
        <v>0.20699999999999999</v>
      </c>
      <c r="C96" s="575">
        <v>0.47641668500000001</v>
      </c>
      <c r="D96" s="575">
        <v>0.401411032</v>
      </c>
      <c r="E96" s="575">
        <v>0.84256291699999997</v>
      </c>
      <c r="F96">
        <f t="shared" si="2"/>
        <v>-1.1030794310509819</v>
      </c>
      <c r="G96">
        <f t="shared" si="3"/>
        <v>-0.74146241902444565</v>
      </c>
    </row>
    <row r="97" spans="1:7" ht="16" x14ac:dyDescent="0.2">
      <c r="A97" s="575">
        <v>2019</v>
      </c>
      <c r="B97" s="576">
        <v>0.20699999999999999</v>
      </c>
      <c r="C97" s="575">
        <v>2.9503920999999999E-2</v>
      </c>
      <c r="D97" s="575">
        <v>6.2533095999999996E-2</v>
      </c>
      <c r="E97" s="575">
        <v>2.119484275</v>
      </c>
      <c r="F97" t="e">
        <f t="shared" si="2"/>
        <v>#NUM!</v>
      </c>
      <c r="G97">
        <f t="shared" si="3"/>
        <v>-3.5232321092145753</v>
      </c>
    </row>
    <row r="98" spans="1:7" ht="16" x14ac:dyDescent="0.2">
      <c r="A98" s="575">
        <v>2019</v>
      </c>
      <c r="B98" s="576">
        <v>0.20699999999999999</v>
      </c>
      <c r="C98" s="575">
        <v>8.7824349999999995E-2</v>
      </c>
      <c r="D98" s="575">
        <v>0.12685318700000001</v>
      </c>
      <c r="E98" s="575">
        <v>1.4443965350000001</v>
      </c>
      <c r="F98" t="e">
        <f t="shared" si="2"/>
        <v>#NUM!</v>
      </c>
      <c r="G98">
        <f t="shared" si="3"/>
        <v>-2.432416481939331</v>
      </c>
    </row>
    <row r="99" spans="1:7" ht="16" x14ac:dyDescent="0.2">
      <c r="A99" s="575">
        <v>2019</v>
      </c>
      <c r="B99" s="576">
        <v>0.20699999999999999</v>
      </c>
      <c r="C99" s="575">
        <v>0.15522839499999999</v>
      </c>
      <c r="D99" s="575">
        <v>0.173824278</v>
      </c>
      <c r="E99" s="575">
        <v>1.119796918</v>
      </c>
      <c r="F99">
        <f t="shared" si="2"/>
        <v>-2.1892470860697748</v>
      </c>
      <c r="G99">
        <f t="shared" si="3"/>
        <v>-1.8628577304934695</v>
      </c>
    </row>
    <row r="100" spans="1:7" ht="16" x14ac:dyDescent="0.2">
      <c r="A100" s="575">
        <v>2019</v>
      </c>
      <c r="B100" s="576">
        <v>0.20699999999999999</v>
      </c>
      <c r="C100" s="575">
        <v>0.249634998</v>
      </c>
      <c r="D100" s="575">
        <v>0.23298645200000001</v>
      </c>
      <c r="E100" s="575">
        <v>0.93330844700000004</v>
      </c>
      <c r="F100">
        <f t="shared" si="2"/>
        <v>-1.3475106606388929</v>
      </c>
      <c r="G100">
        <f t="shared" si="3"/>
        <v>-1.3877554359701036</v>
      </c>
    </row>
    <row r="101" spans="1:7" ht="16" x14ac:dyDescent="0.2">
      <c r="A101" s="575">
        <v>2019</v>
      </c>
      <c r="B101" s="576">
        <v>0.20699999999999999</v>
      </c>
      <c r="C101" s="575">
        <v>0.47780833700000003</v>
      </c>
      <c r="D101" s="575">
        <v>0.403802987</v>
      </c>
      <c r="E101" s="575">
        <v>0.84511498799999996</v>
      </c>
      <c r="F101">
        <f t="shared" si="2"/>
        <v>-1.1091966625005725</v>
      </c>
      <c r="G101">
        <f t="shared" si="3"/>
        <v>-0.73854559551933985</v>
      </c>
    </row>
    <row r="102" spans="1:7" ht="16" x14ac:dyDescent="0.2">
      <c r="A102" s="575">
        <v>2020</v>
      </c>
      <c r="B102" s="576">
        <v>0.20499999999999999</v>
      </c>
      <c r="C102" s="575">
        <v>3.0184434999999999E-2</v>
      </c>
      <c r="D102" s="575">
        <v>7.3729961999999996E-2</v>
      </c>
      <c r="E102" s="575">
        <v>2.442648379</v>
      </c>
      <c r="F102" t="e">
        <f t="shared" si="2"/>
        <v>#NUM!</v>
      </c>
      <c r="G102">
        <f t="shared" si="3"/>
        <v>-3.5004288848151748</v>
      </c>
    </row>
    <row r="103" spans="1:7" ht="16" x14ac:dyDescent="0.2">
      <c r="A103" s="575">
        <v>2020</v>
      </c>
      <c r="B103" s="576">
        <v>0.20499999999999999</v>
      </c>
      <c r="C103" s="575">
        <v>8.8101045000000003E-2</v>
      </c>
      <c r="D103" s="575">
        <v>0.134882799</v>
      </c>
      <c r="E103" s="575">
        <v>1.531001123</v>
      </c>
      <c r="F103" t="e">
        <f t="shared" si="2"/>
        <v>#NUM!</v>
      </c>
      <c r="G103">
        <f t="shared" si="3"/>
        <v>-2.4292708845893518</v>
      </c>
    </row>
    <row r="104" spans="1:7" ht="16" x14ac:dyDescent="0.2">
      <c r="A104" s="575">
        <v>2020</v>
      </c>
      <c r="B104" s="576">
        <v>0.20499999999999999</v>
      </c>
      <c r="C104" s="575">
        <v>0.15583002500000001</v>
      </c>
      <c r="D104" s="575">
        <v>0.174902693</v>
      </c>
      <c r="E104" s="575">
        <v>1.122394047</v>
      </c>
      <c r="F104">
        <f t="shared" si="2"/>
        <v>-2.228436032930873</v>
      </c>
      <c r="G104">
        <f t="shared" si="3"/>
        <v>-1.8589894490933876</v>
      </c>
    </row>
    <row r="105" spans="1:7" ht="16" x14ac:dyDescent="0.2">
      <c r="A105" s="575">
        <v>2020</v>
      </c>
      <c r="B105" s="576">
        <v>0.20499999999999999</v>
      </c>
      <c r="C105" s="575">
        <v>0.250440043</v>
      </c>
      <c r="D105" s="575">
        <v>0.23574414699999999</v>
      </c>
      <c r="E105" s="575">
        <v>0.94131970499999995</v>
      </c>
      <c r="F105">
        <f t="shared" si="2"/>
        <v>-1.3797127295522722</v>
      </c>
      <c r="G105">
        <f t="shared" si="3"/>
        <v>-1.3845357364072302</v>
      </c>
    </row>
    <row r="106" spans="1:7" ht="16" x14ac:dyDescent="0.2">
      <c r="A106" s="575">
        <v>2020</v>
      </c>
      <c r="B106" s="576">
        <v>0.20499999999999999</v>
      </c>
      <c r="C106" s="575">
        <v>0.47544445099999999</v>
      </c>
      <c r="D106" s="575">
        <v>0.38074039900000001</v>
      </c>
      <c r="E106" s="575">
        <v>0.80080942799999999</v>
      </c>
      <c r="F106">
        <f t="shared" si="2"/>
        <v>-1.0123708199468036</v>
      </c>
      <c r="G106">
        <f t="shared" si="3"/>
        <v>-0.74350522611327141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2646D-9C36-C243-8207-1BCB80490591}">
  <dimension ref="A1:C106"/>
  <sheetViews>
    <sheetView workbookViewId="0">
      <selection activeCell="F75" sqref="F75"/>
    </sheetView>
  </sheetViews>
  <sheetFormatPr baseColWidth="10" defaultRowHeight="15" zeroHeight="1" x14ac:dyDescent="0.2"/>
  <cols>
    <col min="1" max="1" width="21.1640625" customWidth="1"/>
    <col min="2" max="2" width="35.83203125" customWidth="1"/>
    <col min="3" max="3" width="26.33203125" customWidth="1"/>
  </cols>
  <sheetData>
    <row r="1" spans="1:3" x14ac:dyDescent="0.2">
      <c r="A1" t="s">
        <v>106</v>
      </c>
      <c r="B1" t="s">
        <v>136</v>
      </c>
      <c r="C1" t="s">
        <v>137</v>
      </c>
    </row>
    <row r="2" spans="1:3" hidden="1" x14ac:dyDescent="0.2">
      <c r="A2">
        <v>2000</v>
      </c>
      <c r="B2" t="e">
        <v>#NUM!</v>
      </c>
      <c r="C2">
        <v>-3.451714503665229</v>
      </c>
    </row>
    <row r="3" spans="1:3" hidden="1" x14ac:dyDescent="0.2">
      <c r="A3">
        <v>2000</v>
      </c>
      <c r="B3" t="e">
        <v>#NUM!</v>
      </c>
      <c r="C3">
        <v>-2.4273953002371873</v>
      </c>
    </row>
    <row r="4" spans="1:3" x14ac:dyDescent="0.2">
      <c r="A4">
        <v>2000</v>
      </c>
      <c r="B4">
        <v>-1.8962520218636363</v>
      </c>
      <c r="C4">
        <v>-1.864419391850201</v>
      </c>
    </row>
    <row r="5" spans="1:3" x14ac:dyDescent="0.2">
      <c r="A5">
        <v>2000</v>
      </c>
      <c r="B5">
        <v>-1.2940189680641818</v>
      </c>
      <c r="C5">
        <v>-1.4127879000049584</v>
      </c>
    </row>
    <row r="6" spans="1:3" x14ac:dyDescent="0.2">
      <c r="A6">
        <v>2000</v>
      </c>
      <c r="B6">
        <v>-1.0884269446069741</v>
      </c>
      <c r="C6">
        <v>-0.73065685437627914</v>
      </c>
    </row>
    <row r="7" spans="1:3" hidden="1" x14ac:dyDescent="0.2">
      <c r="A7">
        <v>2001</v>
      </c>
      <c r="B7" t="e">
        <v>#NUM!</v>
      </c>
      <c r="C7">
        <v>-3.5162645212054389</v>
      </c>
    </row>
    <row r="8" spans="1:3" hidden="1" x14ac:dyDescent="0.2">
      <c r="A8">
        <v>2001</v>
      </c>
      <c r="B8" t="e">
        <v>#NUM!</v>
      </c>
      <c r="C8">
        <v>-2.4113931668794262</v>
      </c>
    </row>
    <row r="9" spans="1:3" x14ac:dyDescent="0.2">
      <c r="A9">
        <v>2001</v>
      </c>
      <c r="B9">
        <v>-1.9329841199461115</v>
      </c>
      <c r="C9">
        <v>-1.8492452618270527</v>
      </c>
    </row>
    <row r="10" spans="1:3" x14ac:dyDescent="0.2">
      <c r="A10">
        <v>2001</v>
      </c>
      <c r="B10">
        <v>-1.3451735987056821</v>
      </c>
      <c r="C10">
        <v>-1.4038110585856483</v>
      </c>
    </row>
    <row r="11" spans="1:3" x14ac:dyDescent="0.2">
      <c r="A11">
        <v>2001</v>
      </c>
      <c r="B11">
        <v>-1.1138170961055338</v>
      </c>
      <c r="C11">
        <v>-0.73901376096823912</v>
      </c>
    </row>
    <row r="12" spans="1:3" hidden="1" x14ac:dyDescent="0.2">
      <c r="A12">
        <v>2002</v>
      </c>
      <c r="B12" t="e">
        <v>#NUM!</v>
      </c>
      <c r="C12">
        <v>-3.5151904172009121</v>
      </c>
    </row>
    <row r="13" spans="1:3" hidden="1" x14ac:dyDescent="0.2">
      <c r="A13">
        <v>2002</v>
      </c>
      <c r="B13" t="e">
        <v>#NUM!</v>
      </c>
      <c r="C13">
        <v>-2.4302683507715606</v>
      </c>
    </row>
    <row r="14" spans="1:3" x14ac:dyDescent="0.2">
      <c r="A14">
        <v>2002</v>
      </c>
      <c r="B14">
        <v>-2.0468174505471675</v>
      </c>
      <c r="C14">
        <v>-1.8846298194387037</v>
      </c>
    </row>
    <row r="15" spans="1:3" x14ac:dyDescent="0.2">
      <c r="A15">
        <v>2002</v>
      </c>
      <c r="B15">
        <v>-1.3436666146993941</v>
      </c>
      <c r="C15">
        <v>-1.3881716621472993</v>
      </c>
    </row>
    <row r="16" spans="1:3" x14ac:dyDescent="0.2">
      <c r="A16">
        <v>2002</v>
      </c>
      <c r="B16">
        <v>-1.1110414409437845</v>
      </c>
      <c r="C16">
        <v>-0.73224512045017209</v>
      </c>
    </row>
    <row r="17" spans="1:3" hidden="1" x14ac:dyDescent="0.2">
      <c r="A17">
        <v>2003</v>
      </c>
      <c r="B17" t="e">
        <v>#NUM!</v>
      </c>
      <c r="C17">
        <v>-3.5107319967647439</v>
      </c>
    </row>
    <row r="18" spans="1:3" hidden="1" x14ac:dyDescent="0.2">
      <c r="A18">
        <v>2003</v>
      </c>
      <c r="B18" t="e">
        <v>#NUM!</v>
      </c>
      <c r="C18">
        <v>-2.4642847111602082</v>
      </c>
    </row>
    <row r="19" spans="1:3" x14ac:dyDescent="0.2">
      <c r="A19">
        <v>2003</v>
      </c>
      <c r="B19">
        <v>-1.9318030882521564</v>
      </c>
      <c r="C19">
        <v>-1.8524347614532133</v>
      </c>
    </row>
    <row r="20" spans="1:3" x14ac:dyDescent="0.2">
      <c r="A20">
        <v>2003</v>
      </c>
      <c r="B20">
        <v>-1.3379883521422902</v>
      </c>
      <c r="C20">
        <v>-1.4042436541814416</v>
      </c>
    </row>
    <row r="21" spans="1:3" x14ac:dyDescent="0.2">
      <c r="A21">
        <v>2003</v>
      </c>
      <c r="B21">
        <v>-1.1134548361746781</v>
      </c>
      <c r="C21">
        <v>-0.72846811494490982</v>
      </c>
    </row>
    <row r="22" spans="1:3" hidden="1" x14ac:dyDescent="0.2">
      <c r="A22">
        <v>2004</v>
      </c>
      <c r="B22" t="e">
        <v>#NUM!</v>
      </c>
      <c r="C22">
        <v>-3.5250179402859807</v>
      </c>
    </row>
    <row r="23" spans="1:3" hidden="1" x14ac:dyDescent="0.2">
      <c r="A23">
        <v>2004</v>
      </c>
      <c r="B23" t="e">
        <v>#NUM!</v>
      </c>
      <c r="C23">
        <v>-2.4869521764519207</v>
      </c>
    </row>
    <row r="24" spans="1:3" x14ac:dyDescent="0.2">
      <c r="A24">
        <v>2004</v>
      </c>
      <c r="B24">
        <v>-2.0310644716830066</v>
      </c>
      <c r="C24">
        <v>-1.8805365466951454</v>
      </c>
    </row>
    <row r="25" spans="1:3" x14ac:dyDescent="0.2">
      <c r="A25">
        <v>2004</v>
      </c>
      <c r="B25">
        <v>-1.3478109398456346</v>
      </c>
      <c r="C25">
        <v>-1.4070123031888575</v>
      </c>
    </row>
    <row r="26" spans="1:3" x14ac:dyDescent="0.2">
      <c r="A26">
        <v>2004</v>
      </c>
      <c r="B26">
        <v>-1.1175158658350401</v>
      </c>
      <c r="C26">
        <v>-0.71334250627205575</v>
      </c>
    </row>
    <row r="27" spans="1:3" hidden="1" x14ac:dyDescent="0.2">
      <c r="A27">
        <v>2005</v>
      </c>
      <c r="B27" t="e">
        <v>#NUM!</v>
      </c>
      <c r="C27">
        <v>-3.5741226462025009</v>
      </c>
    </row>
    <row r="28" spans="1:3" hidden="1" x14ac:dyDescent="0.2">
      <c r="A28">
        <v>2005</v>
      </c>
      <c r="B28" t="e">
        <v>#NUM!</v>
      </c>
      <c r="C28">
        <v>-2.4855695014256152</v>
      </c>
    </row>
    <row r="29" spans="1:3" x14ac:dyDescent="0.2">
      <c r="A29">
        <v>2005</v>
      </c>
      <c r="B29">
        <v>-2.0649065799535409</v>
      </c>
      <c r="C29">
        <v>-1.8839664333905399</v>
      </c>
    </row>
    <row r="30" spans="1:3" x14ac:dyDescent="0.2">
      <c r="A30">
        <v>2005</v>
      </c>
      <c r="B30">
        <v>-1.3568163006699159</v>
      </c>
      <c r="C30">
        <v>-1.4079986728322147</v>
      </c>
    </row>
    <row r="31" spans="1:3" x14ac:dyDescent="0.2">
      <c r="A31">
        <v>2005</v>
      </c>
      <c r="B31">
        <v>-1.126024606191496</v>
      </c>
      <c r="C31">
        <v>-0.70914766632575166</v>
      </c>
    </row>
    <row r="32" spans="1:3" hidden="1" x14ac:dyDescent="0.2">
      <c r="A32">
        <v>2006</v>
      </c>
      <c r="B32" t="e">
        <v>#NUM!</v>
      </c>
      <c r="C32">
        <v>-3.5192281267459862</v>
      </c>
    </row>
    <row r="33" spans="1:3" hidden="1" x14ac:dyDescent="0.2">
      <c r="A33">
        <v>2006</v>
      </c>
      <c r="B33" t="e">
        <v>#NUM!</v>
      </c>
      <c r="C33">
        <v>-2.4604310402532841</v>
      </c>
    </row>
    <row r="34" spans="1:3" x14ac:dyDescent="0.2">
      <c r="A34">
        <v>2006</v>
      </c>
      <c r="B34">
        <v>-2.0711420537480203</v>
      </c>
      <c r="C34">
        <v>-1.8873539086303115</v>
      </c>
    </row>
    <row r="35" spans="1:3" x14ac:dyDescent="0.2">
      <c r="A35">
        <v>2006</v>
      </c>
      <c r="B35">
        <v>-1.3548805267284763</v>
      </c>
      <c r="C35">
        <v>-1.4311171565148904</v>
      </c>
    </row>
    <row r="36" spans="1:3" x14ac:dyDescent="0.2">
      <c r="A36">
        <v>2006</v>
      </c>
      <c r="B36">
        <v>-1.127828950823849</v>
      </c>
      <c r="C36">
        <v>-0.70427736793015583</v>
      </c>
    </row>
    <row r="37" spans="1:3" hidden="1" x14ac:dyDescent="0.2">
      <c r="A37">
        <v>2007</v>
      </c>
      <c r="B37" t="e">
        <v>#NUM!</v>
      </c>
      <c r="C37">
        <v>-3.4830567584802812</v>
      </c>
    </row>
    <row r="38" spans="1:3" hidden="1" x14ac:dyDescent="0.2">
      <c r="A38">
        <v>2007</v>
      </c>
      <c r="B38" t="e">
        <v>#NUM!</v>
      </c>
      <c r="C38">
        <v>-2.4331784401897822</v>
      </c>
    </row>
    <row r="39" spans="1:3" x14ac:dyDescent="0.2">
      <c r="A39">
        <v>2007</v>
      </c>
      <c r="B39">
        <v>-2.1004298647779427</v>
      </c>
      <c r="C39">
        <v>-1.9024741528962028</v>
      </c>
    </row>
    <row r="40" spans="1:3" x14ac:dyDescent="0.2">
      <c r="A40">
        <v>2007</v>
      </c>
      <c r="B40">
        <v>-1.3737083977283155</v>
      </c>
      <c r="C40">
        <v>-1.4421793559844072</v>
      </c>
    </row>
    <row r="41" spans="1:3" x14ac:dyDescent="0.2">
      <c r="A41">
        <v>2007</v>
      </c>
      <c r="B41">
        <v>-1.118082716259722</v>
      </c>
      <c r="C41">
        <v>-0.70134435377243676</v>
      </c>
    </row>
    <row r="42" spans="1:3" hidden="1" x14ac:dyDescent="0.2">
      <c r="A42">
        <v>2008</v>
      </c>
      <c r="B42" t="e">
        <v>#NUM!</v>
      </c>
      <c r="C42">
        <v>-3.514163412736155</v>
      </c>
    </row>
    <row r="43" spans="1:3" hidden="1" x14ac:dyDescent="0.2">
      <c r="A43">
        <v>2008</v>
      </c>
      <c r="B43" t="e">
        <v>#NUM!</v>
      </c>
      <c r="C43">
        <v>-2.4415341288672434</v>
      </c>
    </row>
    <row r="44" spans="1:3" x14ac:dyDescent="0.2">
      <c r="A44">
        <v>2008</v>
      </c>
      <c r="B44">
        <v>-1.9436367453070253</v>
      </c>
      <c r="C44">
        <v>-1.8684673730461379</v>
      </c>
    </row>
    <row r="45" spans="1:3" x14ac:dyDescent="0.2">
      <c r="A45">
        <v>2008</v>
      </c>
      <c r="B45">
        <v>-1.3871353422454078</v>
      </c>
      <c r="C45">
        <v>-1.4341784209258985</v>
      </c>
    </row>
    <row r="46" spans="1:3" x14ac:dyDescent="0.2">
      <c r="A46">
        <v>2008</v>
      </c>
      <c r="B46">
        <v>-1.1343837421071141</v>
      </c>
      <c r="C46">
        <v>-0.71227102108400031</v>
      </c>
    </row>
    <row r="47" spans="1:3" hidden="1" x14ac:dyDescent="0.2">
      <c r="A47">
        <v>2009</v>
      </c>
      <c r="B47" t="e">
        <v>#NUM!</v>
      </c>
      <c r="C47">
        <v>-3.5411300186048029</v>
      </c>
    </row>
    <row r="48" spans="1:3" hidden="1" x14ac:dyDescent="0.2">
      <c r="A48">
        <v>2009</v>
      </c>
      <c r="B48" t="e">
        <v>#NUM!</v>
      </c>
      <c r="C48">
        <v>-2.465482058644366</v>
      </c>
    </row>
    <row r="49" spans="1:3" x14ac:dyDescent="0.2">
      <c r="A49">
        <v>2009</v>
      </c>
      <c r="B49">
        <v>-1.9936982425058047</v>
      </c>
      <c r="C49">
        <v>-1.8730846419084024</v>
      </c>
    </row>
    <row r="50" spans="1:3" x14ac:dyDescent="0.2">
      <c r="A50">
        <v>2009</v>
      </c>
      <c r="B50">
        <v>-1.3653448750040418</v>
      </c>
      <c r="C50">
        <v>-1.4160018388530882</v>
      </c>
    </row>
    <row r="51" spans="1:3" x14ac:dyDescent="0.2">
      <c r="A51">
        <v>2009</v>
      </c>
      <c r="B51">
        <v>-1.1287406497483199</v>
      </c>
      <c r="C51">
        <v>-0.71392102033031379</v>
      </c>
    </row>
    <row r="52" spans="1:3" hidden="1" x14ac:dyDescent="0.2">
      <c r="A52">
        <v>2010</v>
      </c>
      <c r="B52" t="e">
        <v>#NUM!</v>
      </c>
      <c r="C52">
        <v>-3.5539864239387255</v>
      </c>
    </row>
    <row r="53" spans="1:3" hidden="1" x14ac:dyDescent="0.2">
      <c r="A53">
        <v>2010</v>
      </c>
      <c r="B53" t="e">
        <v>#NUM!</v>
      </c>
      <c r="C53">
        <v>-2.4456220117548808</v>
      </c>
    </row>
    <row r="54" spans="1:3" x14ac:dyDescent="0.2">
      <c r="A54">
        <v>2010</v>
      </c>
      <c r="B54">
        <v>-1.9967997344264221</v>
      </c>
      <c r="C54">
        <v>-1.8513687828942926</v>
      </c>
    </row>
    <row r="55" spans="1:3" x14ac:dyDescent="0.2">
      <c r="A55">
        <v>2010</v>
      </c>
      <c r="B55">
        <v>-1.3699137587957251</v>
      </c>
      <c r="C55">
        <v>-1.4035543209365595</v>
      </c>
    </row>
    <row r="56" spans="1:3" x14ac:dyDescent="0.2">
      <c r="A56">
        <v>2010</v>
      </c>
      <c r="B56">
        <v>-1.1203162932298123</v>
      </c>
      <c r="C56">
        <v>-0.72986654198348955</v>
      </c>
    </row>
    <row r="57" spans="1:3" hidden="1" x14ac:dyDescent="0.2">
      <c r="A57">
        <v>2011</v>
      </c>
      <c r="B57" t="e">
        <v>#NUM!</v>
      </c>
      <c r="C57">
        <v>-3.5382927978802892</v>
      </c>
    </row>
    <row r="58" spans="1:3" hidden="1" x14ac:dyDescent="0.2">
      <c r="A58">
        <v>2011</v>
      </c>
      <c r="B58" t="e">
        <v>#NUM!</v>
      </c>
      <c r="C58">
        <v>-2.476206022261124</v>
      </c>
    </row>
    <row r="59" spans="1:3" x14ac:dyDescent="0.2">
      <c r="A59">
        <v>2011</v>
      </c>
      <c r="B59">
        <v>-1.9789620163364214</v>
      </c>
      <c r="C59">
        <v>-1.8587829120277171</v>
      </c>
    </row>
    <row r="60" spans="1:3" x14ac:dyDescent="0.2">
      <c r="A60">
        <v>2011</v>
      </c>
      <c r="B60">
        <v>-1.3594518382933658</v>
      </c>
      <c r="C60">
        <v>-1.3901520725294012</v>
      </c>
    </row>
    <row r="61" spans="1:3" x14ac:dyDescent="0.2">
      <c r="A61">
        <v>2011</v>
      </c>
      <c r="B61">
        <v>-1.1185803068813531</v>
      </c>
      <c r="C61">
        <v>-0.72986115165803078</v>
      </c>
    </row>
    <row r="62" spans="1:3" hidden="1" x14ac:dyDescent="0.2">
      <c r="A62">
        <v>2012</v>
      </c>
      <c r="B62" t="e">
        <v>#NUM!</v>
      </c>
      <c r="C62">
        <v>-3.5095597650866637</v>
      </c>
    </row>
    <row r="63" spans="1:3" hidden="1" x14ac:dyDescent="0.2">
      <c r="A63">
        <v>2012</v>
      </c>
      <c r="B63" t="e">
        <v>#NUM!</v>
      </c>
      <c r="C63">
        <v>-2.4232250357259155</v>
      </c>
    </row>
    <row r="64" spans="1:3" x14ac:dyDescent="0.2">
      <c r="A64">
        <v>2012</v>
      </c>
      <c r="B64">
        <v>-1.8990580682099933</v>
      </c>
      <c r="C64">
        <v>-1.8490441075045609</v>
      </c>
    </row>
    <row r="65" spans="1:3" x14ac:dyDescent="0.2">
      <c r="A65">
        <v>2012</v>
      </c>
      <c r="B65">
        <v>-1.3385508673378983</v>
      </c>
      <c r="C65">
        <v>-1.3896899917536827</v>
      </c>
    </row>
    <row r="66" spans="1:3" x14ac:dyDescent="0.2">
      <c r="A66">
        <v>2012</v>
      </c>
      <c r="B66">
        <v>-1.1402557696159643</v>
      </c>
      <c r="C66">
        <v>-0.74462039850118877</v>
      </c>
    </row>
    <row r="67" spans="1:3" hidden="1" x14ac:dyDescent="0.2">
      <c r="A67">
        <v>2013</v>
      </c>
      <c r="B67" t="e">
        <v>#NUM!</v>
      </c>
      <c r="C67">
        <v>-3.539493708576543</v>
      </c>
    </row>
    <row r="68" spans="1:3" hidden="1" x14ac:dyDescent="0.2">
      <c r="A68">
        <v>2013</v>
      </c>
      <c r="B68" t="e">
        <v>#NUM!</v>
      </c>
      <c r="C68">
        <v>-2.4648232148631499</v>
      </c>
    </row>
    <row r="69" spans="1:3" x14ac:dyDescent="0.2">
      <c r="A69">
        <v>2013</v>
      </c>
      <c r="B69">
        <v>-1.957859999118932</v>
      </c>
      <c r="C69">
        <v>-1.8562464652930655</v>
      </c>
    </row>
    <row r="70" spans="1:3" x14ac:dyDescent="0.2">
      <c r="A70">
        <v>2013</v>
      </c>
      <c r="B70">
        <v>-1.3260902041457043</v>
      </c>
      <c r="C70">
        <v>-1.3828420671502384</v>
      </c>
    </row>
    <row r="71" spans="1:3" x14ac:dyDescent="0.2">
      <c r="A71">
        <v>2013</v>
      </c>
      <c r="B71">
        <v>-1.1430545561003864</v>
      </c>
      <c r="C71">
        <v>-0.73641906527866829</v>
      </c>
    </row>
    <row r="72" spans="1:3" hidden="1" x14ac:dyDescent="0.2">
      <c r="A72">
        <v>2014</v>
      </c>
      <c r="B72" t="e">
        <v>#NUM!</v>
      </c>
      <c r="C72">
        <v>-3.5635276230802928</v>
      </c>
    </row>
    <row r="73" spans="1:3" hidden="1" x14ac:dyDescent="0.2">
      <c r="A73">
        <v>2014</v>
      </c>
      <c r="B73" t="e">
        <v>#NUM!</v>
      </c>
      <c r="C73">
        <v>-2.4279568603752808</v>
      </c>
    </row>
    <row r="74" spans="1:3" x14ac:dyDescent="0.2">
      <c r="A74">
        <v>2014</v>
      </c>
      <c r="B74">
        <v>-1.934485927190563</v>
      </c>
      <c r="C74">
        <v>-1.8577440914659882</v>
      </c>
    </row>
    <row r="75" spans="1:3" x14ac:dyDescent="0.2">
      <c r="A75">
        <v>2014</v>
      </c>
      <c r="B75">
        <v>-1.3543441446677045</v>
      </c>
      <c r="C75">
        <v>-1.3879552676618458</v>
      </c>
    </row>
    <row r="76" spans="1:3" x14ac:dyDescent="0.2">
      <c r="A76">
        <v>2014</v>
      </c>
      <c r="B76">
        <v>-1.1375756438104052</v>
      </c>
      <c r="C76">
        <v>-0.73848957671806192</v>
      </c>
    </row>
    <row r="77" spans="1:3" hidden="1" x14ac:dyDescent="0.2">
      <c r="A77">
        <v>2015</v>
      </c>
      <c r="B77" t="e">
        <v>#NUM!</v>
      </c>
      <c r="C77">
        <v>-3.6333754591816532</v>
      </c>
    </row>
    <row r="78" spans="1:3" hidden="1" x14ac:dyDescent="0.2">
      <c r="A78">
        <v>2015</v>
      </c>
      <c r="B78" t="e">
        <v>#NUM!</v>
      </c>
      <c r="C78">
        <v>-2.4346185338230537</v>
      </c>
    </row>
    <row r="79" spans="1:3" x14ac:dyDescent="0.2">
      <c r="A79">
        <v>2015</v>
      </c>
      <c r="B79">
        <v>-1.935303019872092</v>
      </c>
      <c r="C79">
        <v>-1.8204995696574056</v>
      </c>
    </row>
    <row r="80" spans="1:3" x14ac:dyDescent="0.2">
      <c r="A80">
        <v>2015</v>
      </c>
      <c r="B80">
        <v>-1.3778265502804186</v>
      </c>
      <c r="C80">
        <v>-1.4106776356602106</v>
      </c>
    </row>
    <row r="81" spans="1:3" x14ac:dyDescent="0.2">
      <c r="A81">
        <v>2015</v>
      </c>
      <c r="B81">
        <v>-1.1307505341547257</v>
      </c>
      <c r="C81">
        <v>-0.73392902380294034</v>
      </c>
    </row>
    <row r="82" spans="1:3" hidden="1" x14ac:dyDescent="0.2">
      <c r="A82">
        <v>2016</v>
      </c>
      <c r="B82" t="e">
        <v>#NUM!</v>
      </c>
      <c r="C82">
        <v>-3.5628717032357606</v>
      </c>
    </row>
    <row r="83" spans="1:3" hidden="1" x14ac:dyDescent="0.2">
      <c r="A83">
        <v>2016</v>
      </c>
      <c r="B83" t="e">
        <v>#NUM!</v>
      </c>
      <c r="C83">
        <v>-2.351305899068806</v>
      </c>
    </row>
    <row r="84" spans="1:3" x14ac:dyDescent="0.2">
      <c r="A84">
        <v>2016</v>
      </c>
      <c r="B84">
        <v>-2.0629679689929472</v>
      </c>
      <c r="C84">
        <v>-1.8224719747693894</v>
      </c>
    </row>
    <row r="85" spans="1:3" x14ac:dyDescent="0.2">
      <c r="A85">
        <v>2016</v>
      </c>
      <c r="B85">
        <v>-1.3726462343410406</v>
      </c>
      <c r="C85">
        <v>-1.3992506525490749</v>
      </c>
    </row>
    <row r="86" spans="1:3" x14ac:dyDescent="0.2">
      <c r="A86">
        <v>2016</v>
      </c>
      <c r="B86">
        <v>-1.1261342783539872</v>
      </c>
      <c r="C86">
        <v>-0.75930731874134427</v>
      </c>
    </row>
    <row r="87" spans="1:3" hidden="1" x14ac:dyDescent="0.2">
      <c r="A87">
        <v>2017</v>
      </c>
      <c r="B87" t="e">
        <v>#NUM!</v>
      </c>
      <c r="C87">
        <v>-3.5483901936899898</v>
      </c>
    </row>
    <row r="88" spans="1:3" hidden="1" x14ac:dyDescent="0.2">
      <c r="A88">
        <v>2017</v>
      </c>
      <c r="B88" t="e">
        <v>#NUM!</v>
      </c>
      <c r="C88">
        <v>-2.3924578981490718</v>
      </c>
    </row>
    <row r="89" spans="1:3" x14ac:dyDescent="0.2">
      <c r="A89">
        <v>2017</v>
      </c>
      <c r="B89">
        <v>-2.0940567247908484</v>
      </c>
      <c r="C89">
        <v>-1.8428063034630884</v>
      </c>
    </row>
    <row r="90" spans="1:3" x14ac:dyDescent="0.2">
      <c r="A90">
        <v>2017</v>
      </c>
      <c r="B90">
        <v>-1.3744082345348094</v>
      </c>
      <c r="C90">
        <v>-1.3954099218905744</v>
      </c>
    </row>
    <row r="91" spans="1:3" x14ac:dyDescent="0.2">
      <c r="A91">
        <v>2017</v>
      </c>
      <c r="B91">
        <v>-1.1134775812189024</v>
      </c>
      <c r="C91">
        <v>-0.74713776832219891</v>
      </c>
    </row>
    <row r="92" spans="1:3" hidden="1" x14ac:dyDescent="0.2">
      <c r="A92">
        <v>2018</v>
      </c>
      <c r="B92" t="e">
        <v>#NUM!</v>
      </c>
      <c r="C92">
        <v>-3.5102338788020209</v>
      </c>
    </row>
    <row r="93" spans="1:3" hidden="1" x14ac:dyDescent="0.2">
      <c r="A93">
        <v>2018</v>
      </c>
      <c r="B93" t="e">
        <v>#NUM!</v>
      </c>
      <c r="C93">
        <v>-2.4208394559576956</v>
      </c>
    </row>
    <row r="94" spans="1:3" x14ac:dyDescent="0.2">
      <c r="A94">
        <v>2018</v>
      </c>
      <c r="B94">
        <v>-2.1951059159560957</v>
      </c>
      <c r="C94">
        <v>-1.8606616026889686</v>
      </c>
    </row>
    <row r="95" spans="1:3" x14ac:dyDescent="0.2">
      <c r="A95">
        <v>2018</v>
      </c>
      <c r="B95">
        <v>-1.3628376666661841</v>
      </c>
      <c r="C95">
        <v>-1.3891916823042685</v>
      </c>
    </row>
    <row r="96" spans="1:3" x14ac:dyDescent="0.2">
      <c r="A96">
        <v>2018</v>
      </c>
      <c r="B96">
        <v>-1.1030794310509819</v>
      </c>
      <c r="C96">
        <v>-0.74146241902444565</v>
      </c>
    </row>
    <row r="97" spans="1:3" hidden="1" x14ac:dyDescent="0.2">
      <c r="A97">
        <v>2019</v>
      </c>
      <c r="B97" t="e">
        <v>#NUM!</v>
      </c>
      <c r="C97">
        <v>-3.5232321092145753</v>
      </c>
    </row>
    <row r="98" spans="1:3" hidden="1" x14ac:dyDescent="0.2">
      <c r="A98">
        <v>2019</v>
      </c>
      <c r="B98" t="e">
        <v>#NUM!</v>
      </c>
      <c r="C98">
        <v>-2.432416481939331</v>
      </c>
    </row>
    <row r="99" spans="1:3" x14ac:dyDescent="0.2">
      <c r="A99">
        <v>2019</v>
      </c>
      <c r="B99">
        <v>-2.1892470860697748</v>
      </c>
      <c r="C99">
        <v>-1.8628577304934695</v>
      </c>
    </row>
    <row r="100" spans="1:3" x14ac:dyDescent="0.2">
      <c r="A100">
        <v>2019</v>
      </c>
      <c r="B100">
        <v>-1.3475106606388929</v>
      </c>
      <c r="C100">
        <v>-1.3877554359701036</v>
      </c>
    </row>
    <row r="101" spans="1:3" x14ac:dyDescent="0.2">
      <c r="A101">
        <v>2019</v>
      </c>
      <c r="B101">
        <v>-1.1091966625005725</v>
      </c>
      <c r="C101">
        <v>-0.73854559551933985</v>
      </c>
    </row>
    <row r="102" spans="1:3" hidden="1" x14ac:dyDescent="0.2">
      <c r="A102">
        <v>2020</v>
      </c>
      <c r="B102" t="e">
        <v>#NUM!</v>
      </c>
      <c r="C102">
        <v>-3.5004288848151748</v>
      </c>
    </row>
    <row r="103" spans="1:3" hidden="1" x14ac:dyDescent="0.2">
      <c r="A103">
        <v>2020</v>
      </c>
      <c r="B103" t="e">
        <v>#NUM!</v>
      </c>
      <c r="C103">
        <v>-2.4292708845893518</v>
      </c>
    </row>
    <row r="104" spans="1:3" x14ac:dyDescent="0.2">
      <c r="A104">
        <v>2020</v>
      </c>
      <c r="B104">
        <v>-2.228436032930873</v>
      </c>
      <c r="C104">
        <v>-1.8589894490933876</v>
      </c>
    </row>
    <row r="105" spans="1:3" x14ac:dyDescent="0.2">
      <c r="A105">
        <v>2020</v>
      </c>
      <c r="B105">
        <v>-1.3797127295522722</v>
      </c>
      <c r="C105">
        <v>-1.3845357364072302</v>
      </c>
    </row>
    <row r="106" spans="1:3" x14ac:dyDescent="0.2">
      <c r="A106">
        <v>2020</v>
      </c>
      <c r="B106">
        <v>-1.0123708199468036</v>
      </c>
      <c r="C106">
        <v>-0.74350522611327141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A26A8-45BF-2B49-9DC4-27A23FC23472}">
  <dimension ref="A1:C64"/>
  <sheetViews>
    <sheetView tabSelected="1" workbookViewId="0">
      <selection activeCell="E10" sqref="E10"/>
    </sheetView>
  </sheetViews>
  <sheetFormatPr baseColWidth="10" defaultRowHeight="15" x14ac:dyDescent="0.2"/>
  <cols>
    <col min="1" max="1" width="60.1640625" bestFit="1" customWidth="1"/>
    <col min="2" max="2" width="24.6640625" customWidth="1"/>
    <col min="3" max="3" width="25.6640625" bestFit="1" customWidth="1"/>
  </cols>
  <sheetData>
    <row r="1" spans="1:3" x14ac:dyDescent="0.2">
      <c r="A1" t="s">
        <v>106</v>
      </c>
      <c r="B1" t="s">
        <v>143</v>
      </c>
      <c r="C1" t="s">
        <v>137</v>
      </c>
    </row>
    <row r="2" spans="1:3" x14ac:dyDescent="0.2">
      <c r="A2">
        <v>2000</v>
      </c>
      <c r="B2">
        <v>-1.8962520218636363</v>
      </c>
      <c r="C2">
        <v>-1.864419391850201</v>
      </c>
    </row>
    <row r="3" spans="1:3" x14ac:dyDescent="0.2">
      <c r="A3">
        <v>2000</v>
      </c>
      <c r="B3">
        <v>-1.2940189680641818</v>
      </c>
      <c r="C3">
        <v>-1.4127879000049584</v>
      </c>
    </row>
    <row r="4" spans="1:3" x14ac:dyDescent="0.2">
      <c r="A4">
        <v>2000</v>
      </c>
      <c r="B4">
        <v>-1.0884269446069741</v>
      </c>
      <c r="C4">
        <v>-0.73065685437627914</v>
      </c>
    </row>
    <row r="5" spans="1:3" x14ac:dyDescent="0.2">
      <c r="A5">
        <v>2001</v>
      </c>
      <c r="B5">
        <v>-1.9329841199461115</v>
      </c>
      <c r="C5">
        <v>-1.8492452618270527</v>
      </c>
    </row>
    <row r="6" spans="1:3" x14ac:dyDescent="0.2">
      <c r="A6">
        <v>2001</v>
      </c>
      <c r="B6">
        <v>-1.3451735987056821</v>
      </c>
      <c r="C6">
        <v>-1.4038110585856483</v>
      </c>
    </row>
    <row r="7" spans="1:3" x14ac:dyDescent="0.2">
      <c r="A7">
        <v>2001</v>
      </c>
      <c r="B7">
        <v>-1.1138170961055338</v>
      </c>
      <c r="C7">
        <v>-0.73901376096823912</v>
      </c>
    </row>
    <row r="8" spans="1:3" x14ac:dyDescent="0.2">
      <c r="A8">
        <v>2002</v>
      </c>
      <c r="B8">
        <v>-2.0468174505471675</v>
      </c>
      <c r="C8">
        <v>-1.8846298194387037</v>
      </c>
    </row>
    <row r="9" spans="1:3" x14ac:dyDescent="0.2">
      <c r="A9">
        <v>2002</v>
      </c>
      <c r="B9">
        <v>-1.3436666146993941</v>
      </c>
      <c r="C9">
        <v>-1.3881716621472993</v>
      </c>
    </row>
    <row r="10" spans="1:3" x14ac:dyDescent="0.2">
      <c r="A10">
        <v>2002</v>
      </c>
      <c r="B10">
        <v>-1.1110414409437845</v>
      </c>
      <c r="C10">
        <v>-0.73224512045017209</v>
      </c>
    </row>
    <row r="11" spans="1:3" x14ac:dyDescent="0.2">
      <c r="A11">
        <v>2003</v>
      </c>
      <c r="B11">
        <v>-1.9318030882521564</v>
      </c>
      <c r="C11">
        <v>-1.8524347614532133</v>
      </c>
    </row>
    <row r="12" spans="1:3" x14ac:dyDescent="0.2">
      <c r="A12">
        <v>2003</v>
      </c>
      <c r="B12">
        <v>-1.3379883521422902</v>
      </c>
      <c r="C12">
        <v>-1.4042436541814416</v>
      </c>
    </row>
    <row r="13" spans="1:3" x14ac:dyDescent="0.2">
      <c r="A13">
        <v>2003</v>
      </c>
      <c r="B13">
        <v>-1.1134548361746781</v>
      </c>
      <c r="C13">
        <v>-0.72846811494490982</v>
      </c>
    </row>
    <row r="14" spans="1:3" x14ac:dyDescent="0.2">
      <c r="A14">
        <v>2004</v>
      </c>
      <c r="B14">
        <v>-2.0310644716830066</v>
      </c>
      <c r="C14">
        <v>-1.8805365466951454</v>
      </c>
    </row>
    <row r="15" spans="1:3" x14ac:dyDescent="0.2">
      <c r="A15">
        <v>2004</v>
      </c>
      <c r="B15">
        <v>-1.3478109398456346</v>
      </c>
      <c r="C15">
        <v>-1.4070123031888575</v>
      </c>
    </row>
    <row r="16" spans="1:3" x14ac:dyDescent="0.2">
      <c r="A16">
        <v>2004</v>
      </c>
      <c r="B16">
        <v>-1.1175158658350401</v>
      </c>
      <c r="C16">
        <v>-0.71334250627205575</v>
      </c>
    </row>
    <row r="17" spans="1:3" x14ac:dyDescent="0.2">
      <c r="A17">
        <v>2005</v>
      </c>
      <c r="B17">
        <v>-2.0649065799535409</v>
      </c>
      <c r="C17">
        <v>-1.8839664333905399</v>
      </c>
    </row>
    <row r="18" spans="1:3" x14ac:dyDescent="0.2">
      <c r="A18">
        <v>2005</v>
      </c>
      <c r="B18">
        <v>-1.3568163006699159</v>
      </c>
      <c r="C18">
        <v>-1.4079986728322147</v>
      </c>
    </row>
    <row r="19" spans="1:3" x14ac:dyDescent="0.2">
      <c r="A19">
        <v>2005</v>
      </c>
      <c r="B19">
        <v>-1.126024606191496</v>
      </c>
      <c r="C19">
        <v>-0.70914766632575166</v>
      </c>
    </row>
    <row r="20" spans="1:3" x14ac:dyDescent="0.2">
      <c r="A20">
        <v>2006</v>
      </c>
      <c r="B20">
        <v>-2.0711420537480203</v>
      </c>
      <c r="C20">
        <v>-1.8873539086303115</v>
      </c>
    </row>
    <row r="21" spans="1:3" x14ac:dyDescent="0.2">
      <c r="A21">
        <v>2006</v>
      </c>
      <c r="B21">
        <v>-1.3548805267284763</v>
      </c>
      <c r="C21">
        <v>-1.4311171565148904</v>
      </c>
    </row>
    <row r="22" spans="1:3" x14ac:dyDescent="0.2">
      <c r="A22">
        <v>2006</v>
      </c>
      <c r="B22">
        <v>-1.127828950823849</v>
      </c>
      <c r="C22">
        <v>-0.70427736793015583</v>
      </c>
    </row>
    <row r="23" spans="1:3" x14ac:dyDescent="0.2">
      <c r="A23">
        <v>2007</v>
      </c>
      <c r="B23">
        <v>-2.1004298647779427</v>
      </c>
      <c r="C23">
        <v>-1.9024741528962028</v>
      </c>
    </row>
    <row r="24" spans="1:3" x14ac:dyDescent="0.2">
      <c r="A24">
        <v>2007</v>
      </c>
      <c r="B24">
        <v>-1.3737083977283155</v>
      </c>
      <c r="C24">
        <v>-1.4421793559844072</v>
      </c>
    </row>
    <row r="25" spans="1:3" x14ac:dyDescent="0.2">
      <c r="A25">
        <v>2007</v>
      </c>
      <c r="B25">
        <v>-1.118082716259722</v>
      </c>
      <c r="C25">
        <v>-0.70134435377243676</v>
      </c>
    </row>
    <row r="26" spans="1:3" x14ac:dyDescent="0.2">
      <c r="A26">
        <v>2008</v>
      </c>
      <c r="B26">
        <v>-1.9436367453070253</v>
      </c>
      <c r="C26">
        <v>-1.8684673730461379</v>
      </c>
    </row>
    <row r="27" spans="1:3" x14ac:dyDescent="0.2">
      <c r="A27">
        <v>2008</v>
      </c>
      <c r="B27">
        <v>-1.3871353422454078</v>
      </c>
      <c r="C27">
        <v>-1.4341784209258985</v>
      </c>
    </row>
    <row r="28" spans="1:3" x14ac:dyDescent="0.2">
      <c r="A28">
        <v>2008</v>
      </c>
      <c r="B28">
        <v>-1.1343837421071141</v>
      </c>
      <c r="C28">
        <v>-0.71227102108400031</v>
      </c>
    </row>
    <row r="29" spans="1:3" x14ac:dyDescent="0.2">
      <c r="A29">
        <v>2009</v>
      </c>
      <c r="B29">
        <v>-1.9936982425058047</v>
      </c>
      <c r="C29">
        <v>-1.8730846419084024</v>
      </c>
    </row>
    <row r="30" spans="1:3" x14ac:dyDescent="0.2">
      <c r="A30">
        <v>2009</v>
      </c>
      <c r="B30">
        <v>-1.3653448750040418</v>
      </c>
      <c r="C30">
        <v>-1.4160018388530882</v>
      </c>
    </row>
    <row r="31" spans="1:3" x14ac:dyDescent="0.2">
      <c r="A31">
        <v>2009</v>
      </c>
      <c r="B31">
        <v>-1.1287406497483199</v>
      </c>
      <c r="C31">
        <v>-0.71392102033031379</v>
      </c>
    </row>
    <row r="32" spans="1:3" x14ac:dyDescent="0.2">
      <c r="A32">
        <v>2010</v>
      </c>
      <c r="B32">
        <v>-1.9967997344264221</v>
      </c>
      <c r="C32">
        <v>-1.8513687828942926</v>
      </c>
    </row>
    <row r="33" spans="1:3" x14ac:dyDescent="0.2">
      <c r="A33">
        <v>2010</v>
      </c>
      <c r="B33">
        <v>-1.3699137587957251</v>
      </c>
      <c r="C33">
        <v>-1.4035543209365595</v>
      </c>
    </row>
    <row r="34" spans="1:3" x14ac:dyDescent="0.2">
      <c r="A34">
        <v>2010</v>
      </c>
      <c r="B34">
        <v>-1.1203162932298123</v>
      </c>
      <c r="C34">
        <v>-0.72986654198348955</v>
      </c>
    </row>
    <row r="35" spans="1:3" x14ac:dyDescent="0.2">
      <c r="A35">
        <v>2011</v>
      </c>
      <c r="B35">
        <v>-1.9789620163364214</v>
      </c>
      <c r="C35">
        <v>-1.8587829120277171</v>
      </c>
    </row>
    <row r="36" spans="1:3" x14ac:dyDescent="0.2">
      <c r="A36">
        <v>2011</v>
      </c>
      <c r="B36">
        <v>-1.3594518382933658</v>
      </c>
      <c r="C36">
        <v>-1.3901520725294012</v>
      </c>
    </row>
    <row r="37" spans="1:3" x14ac:dyDescent="0.2">
      <c r="A37">
        <v>2011</v>
      </c>
      <c r="B37">
        <v>-1.1185803068813531</v>
      </c>
      <c r="C37">
        <v>-0.72986115165803078</v>
      </c>
    </row>
    <row r="38" spans="1:3" x14ac:dyDescent="0.2">
      <c r="A38">
        <v>2012</v>
      </c>
      <c r="B38">
        <v>-1.8990580682099933</v>
      </c>
      <c r="C38">
        <v>-1.8490441075045609</v>
      </c>
    </row>
    <row r="39" spans="1:3" x14ac:dyDescent="0.2">
      <c r="A39">
        <v>2012</v>
      </c>
      <c r="B39">
        <v>-1.3385508673378983</v>
      </c>
      <c r="C39">
        <v>-1.3896899917536827</v>
      </c>
    </row>
    <row r="40" spans="1:3" x14ac:dyDescent="0.2">
      <c r="A40">
        <v>2012</v>
      </c>
      <c r="B40">
        <v>-1.1402557696159643</v>
      </c>
      <c r="C40">
        <v>-0.74462039850118877</v>
      </c>
    </row>
    <row r="41" spans="1:3" x14ac:dyDescent="0.2">
      <c r="A41">
        <v>2013</v>
      </c>
      <c r="B41">
        <v>-1.957859999118932</v>
      </c>
      <c r="C41">
        <v>-1.8562464652930655</v>
      </c>
    </row>
    <row r="42" spans="1:3" x14ac:dyDescent="0.2">
      <c r="A42">
        <v>2013</v>
      </c>
      <c r="B42">
        <v>-1.3260902041457043</v>
      </c>
      <c r="C42">
        <v>-1.3828420671502384</v>
      </c>
    </row>
    <row r="43" spans="1:3" x14ac:dyDescent="0.2">
      <c r="A43">
        <v>2013</v>
      </c>
      <c r="B43">
        <v>-1.1430545561003864</v>
      </c>
      <c r="C43">
        <v>-0.73641906527866829</v>
      </c>
    </row>
    <row r="44" spans="1:3" x14ac:dyDescent="0.2">
      <c r="A44">
        <v>2014</v>
      </c>
      <c r="B44">
        <v>-1.934485927190563</v>
      </c>
      <c r="C44">
        <v>-1.8577440914659882</v>
      </c>
    </row>
    <row r="45" spans="1:3" x14ac:dyDescent="0.2">
      <c r="A45">
        <v>2014</v>
      </c>
      <c r="B45">
        <v>-1.3543441446677045</v>
      </c>
      <c r="C45">
        <v>-1.3879552676618458</v>
      </c>
    </row>
    <row r="46" spans="1:3" x14ac:dyDescent="0.2">
      <c r="A46">
        <v>2014</v>
      </c>
      <c r="B46">
        <v>-1.1375756438104052</v>
      </c>
      <c r="C46">
        <v>-0.73848957671806192</v>
      </c>
    </row>
    <row r="47" spans="1:3" x14ac:dyDescent="0.2">
      <c r="A47">
        <v>2015</v>
      </c>
      <c r="B47">
        <v>-1.935303019872092</v>
      </c>
      <c r="C47">
        <v>-1.8204995696574056</v>
      </c>
    </row>
    <row r="48" spans="1:3" x14ac:dyDescent="0.2">
      <c r="A48">
        <v>2015</v>
      </c>
      <c r="B48">
        <v>-1.3778265502804186</v>
      </c>
      <c r="C48">
        <v>-1.4106776356602106</v>
      </c>
    </row>
    <row r="49" spans="1:3" x14ac:dyDescent="0.2">
      <c r="A49">
        <v>2015</v>
      </c>
      <c r="B49">
        <v>-1.1307505341547257</v>
      </c>
      <c r="C49">
        <v>-0.73392902380294034</v>
      </c>
    </row>
    <row r="50" spans="1:3" x14ac:dyDescent="0.2">
      <c r="A50">
        <v>2016</v>
      </c>
      <c r="B50">
        <v>-2.0629679689929472</v>
      </c>
      <c r="C50">
        <v>-1.8224719747693894</v>
      </c>
    </row>
    <row r="51" spans="1:3" x14ac:dyDescent="0.2">
      <c r="A51">
        <v>2016</v>
      </c>
      <c r="B51">
        <v>-1.3726462343410406</v>
      </c>
      <c r="C51">
        <v>-1.3992506525490749</v>
      </c>
    </row>
    <row r="52" spans="1:3" x14ac:dyDescent="0.2">
      <c r="A52">
        <v>2016</v>
      </c>
      <c r="B52">
        <v>-1.1261342783539872</v>
      </c>
      <c r="C52">
        <v>-0.75930731874134427</v>
      </c>
    </row>
    <row r="53" spans="1:3" x14ac:dyDescent="0.2">
      <c r="A53">
        <v>2017</v>
      </c>
      <c r="B53">
        <v>-2.0940567247908484</v>
      </c>
      <c r="C53">
        <v>-1.8428063034630884</v>
      </c>
    </row>
    <row r="54" spans="1:3" x14ac:dyDescent="0.2">
      <c r="A54">
        <v>2017</v>
      </c>
      <c r="B54">
        <v>-1.3744082345348094</v>
      </c>
      <c r="C54">
        <v>-1.3954099218905744</v>
      </c>
    </row>
    <row r="55" spans="1:3" x14ac:dyDescent="0.2">
      <c r="A55">
        <v>2017</v>
      </c>
      <c r="B55">
        <v>-1.1134775812189024</v>
      </c>
      <c r="C55">
        <v>-0.74713776832219891</v>
      </c>
    </row>
    <row r="56" spans="1:3" x14ac:dyDescent="0.2">
      <c r="A56">
        <v>2018</v>
      </c>
      <c r="B56">
        <v>-2.1951059159560957</v>
      </c>
      <c r="C56">
        <v>-1.8606616026889686</v>
      </c>
    </row>
    <row r="57" spans="1:3" x14ac:dyDescent="0.2">
      <c r="A57">
        <v>2018</v>
      </c>
      <c r="B57">
        <v>-1.3628376666661841</v>
      </c>
      <c r="C57">
        <v>-1.3891916823042685</v>
      </c>
    </row>
    <row r="58" spans="1:3" x14ac:dyDescent="0.2">
      <c r="A58">
        <v>2018</v>
      </c>
      <c r="B58">
        <v>-1.1030794310509819</v>
      </c>
      <c r="C58">
        <v>-0.74146241902444565</v>
      </c>
    </row>
    <row r="59" spans="1:3" x14ac:dyDescent="0.2">
      <c r="A59">
        <v>2019</v>
      </c>
      <c r="B59">
        <v>-2.1892470860697748</v>
      </c>
      <c r="C59">
        <v>-1.8628577304934695</v>
      </c>
    </row>
    <row r="60" spans="1:3" x14ac:dyDescent="0.2">
      <c r="A60">
        <v>2019</v>
      </c>
      <c r="B60">
        <v>-1.3475106606388929</v>
      </c>
      <c r="C60">
        <v>-1.3877554359701036</v>
      </c>
    </row>
    <row r="61" spans="1:3" x14ac:dyDescent="0.2">
      <c r="A61">
        <v>2019</v>
      </c>
      <c r="B61">
        <v>-1.1091966625005725</v>
      </c>
      <c r="C61">
        <v>-0.73854559551933985</v>
      </c>
    </row>
    <row r="62" spans="1:3" x14ac:dyDescent="0.2">
      <c r="A62">
        <v>2020</v>
      </c>
      <c r="B62">
        <v>-2.228436032930873</v>
      </c>
      <c r="C62">
        <v>-1.8589894490933876</v>
      </c>
    </row>
    <row r="63" spans="1:3" x14ac:dyDescent="0.2">
      <c r="A63">
        <v>2020</v>
      </c>
      <c r="B63">
        <v>-1.3797127295522722</v>
      </c>
      <c r="C63">
        <v>-1.3845357364072302</v>
      </c>
    </row>
    <row r="64" spans="1:3" x14ac:dyDescent="0.2">
      <c r="A64">
        <v>2020</v>
      </c>
      <c r="B64">
        <v>-1.0123708199468036</v>
      </c>
      <c r="C64">
        <v>-0.74350522611327141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CA23-E3D4-D14A-98F9-A7F8F79FC32A}">
  <dimension ref="A1:I18"/>
  <sheetViews>
    <sheetView workbookViewId="0">
      <selection activeCell="L45" sqref="L45"/>
    </sheetView>
  </sheetViews>
  <sheetFormatPr baseColWidth="10" defaultRowHeight="15" x14ac:dyDescent="0.2"/>
  <cols>
    <col min="1" max="1" width="24" bestFit="1" customWidth="1"/>
    <col min="2" max="2" width="28.33203125" customWidth="1"/>
    <col min="3" max="3" width="13.1640625" bestFit="1" customWidth="1"/>
    <col min="4" max="4" width="12.6640625" bestFit="1" customWidth="1"/>
    <col min="5" max="5" width="12.1640625" bestFit="1" customWidth="1"/>
    <col min="6" max="6" width="12.6640625" bestFit="1" customWidth="1"/>
  </cols>
  <sheetData>
    <row r="1" spans="1:9" x14ac:dyDescent="0.2">
      <c r="A1" t="s">
        <v>111</v>
      </c>
    </row>
    <row r="2" spans="1:9" ht="16" thickBot="1" x14ac:dyDescent="0.25"/>
    <row r="3" spans="1:9" x14ac:dyDescent="0.2">
      <c r="A3" s="580" t="s">
        <v>112</v>
      </c>
      <c r="B3" s="580"/>
    </row>
    <row r="4" spans="1:9" x14ac:dyDescent="0.2">
      <c r="A4" s="577" t="s">
        <v>113</v>
      </c>
      <c r="B4" s="577">
        <v>0.91994421285429295</v>
      </c>
    </row>
    <row r="5" spans="1:9" x14ac:dyDescent="0.2">
      <c r="A5" s="577" t="s">
        <v>114</v>
      </c>
      <c r="B5" s="577">
        <v>0.84629735476410473</v>
      </c>
    </row>
    <row r="6" spans="1:9" x14ac:dyDescent="0.2">
      <c r="A6" s="577" t="s">
        <v>115</v>
      </c>
      <c r="B6" s="577">
        <v>0.8437776392684343</v>
      </c>
    </row>
    <row r="7" spans="1:9" x14ac:dyDescent="0.2">
      <c r="A7" s="577" t="s">
        <v>116</v>
      </c>
      <c r="B7" s="577">
        <v>0.15471015291264936</v>
      </c>
    </row>
    <row r="8" spans="1:9" ht="16" thickBot="1" x14ac:dyDescent="0.25">
      <c r="A8" s="578" t="s">
        <v>117</v>
      </c>
      <c r="B8" s="578">
        <v>63</v>
      </c>
    </row>
    <row r="10" spans="1:9" ht="16" thickBot="1" x14ac:dyDescent="0.25">
      <c r="A10" t="s">
        <v>118</v>
      </c>
    </row>
    <row r="11" spans="1:9" x14ac:dyDescent="0.2">
      <c r="A11" s="579"/>
      <c r="B11" s="579" t="s">
        <v>122</v>
      </c>
      <c r="C11" s="579" t="s">
        <v>123</v>
      </c>
      <c r="D11" s="579" t="s">
        <v>124</v>
      </c>
      <c r="E11" s="579" t="s">
        <v>125</v>
      </c>
      <c r="F11" s="579" t="s">
        <v>126</v>
      </c>
    </row>
    <row r="12" spans="1:9" x14ac:dyDescent="0.2">
      <c r="A12" s="577" t="s">
        <v>119</v>
      </c>
      <c r="B12" s="577">
        <v>1</v>
      </c>
      <c r="C12" s="577">
        <v>8.0391310314029951</v>
      </c>
      <c r="D12" s="577">
        <v>8.0391310314029951</v>
      </c>
      <c r="E12" s="577">
        <v>335.8702028932567</v>
      </c>
      <c r="F12" s="577">
        <v>1.7229447251363857E-26</v>
      </c>
    </row>
    <row r="13" spans="1:9" x14ac:dyDescent="0.2">
      <c r="A13" s="577" t="s">
        <v>120</v>
      </c>
      <c r="B13" s="577">
        <v>61</v>
      </c>
      <c r="C13" s="577">
        <v>1.4600491162695761</v>
      </c>
      <c r="D13" s="577">
        <v>2.3935231414255347E-2</v>
      </c>
      <c r="E13" s="577"/>
      <c r="F13" s="577"/>
    </row>
    <row r="14" spans="1:9" ht="16" thickBot="1" x14ac:dyDescent="0.25">
      <c r="A14" s="578" t="s">
        <v>1</v>
      </c>
      <c r="B14" s="578">
        <v>62</v>
      </c>
      <c r="C14" s="578">
        <v>9.4991801476725719</v>
      </c>
      <c r="D14" s="578"/>
      <c r="E14" s="578"/>
      <c r="F14" s="578"/>
    </row>
    <row r="15" spans="1:9" ht="16" thickBot="1" x14ac:dyDescent="0.25"/>
    <row r="16" spans="1:9" x14ac:dyDescent="0.2">
      <c r="A16" s="579"/>
      <c r="B16" s="579" t="s">
        <v>127</v>
      </c>
      <c r="C16" s="579" t="s">
        <v>116</v>
      </c>
      <c r="D16" s="579" t="s">
        <v>128</v>
      </c>
      <c r="E16" s="579" t="s">
        <v>129</v>
      </c>
      <c r="F16" s="579" t="s">
        <v>130</v>
      </c>
      <c r="G16" s="579" t="s">
        <v>131</v>
      </c>
      <c r="H16" s="579" t="s">
        <v>132</v>
      </c>
      <c r="I16" s="579" t="s">
        <v>133</v>
      </c>
    </row>
    <row r="17" spans="1:9" x14ac:dyDescent="0.2">
      <c r="A17" s="577" t="s">
        <v>121</v>
      </c>
      <c r="B17" s="577">
        <v>-0.47537037454096343</v>
      </c>
      <c r="C17" s="577">
        <v>5.9118425726212294E-2</v>
      </c>
      <c r="D17" s="577">
        <v>-8.0409850008944126</v>
      </c>
      <c r="E17" s="577">
        <v>3.7395206201826492E-11</v>
      </c>
      <c r="F17" s="577">
        <v>-0.5935849729308692</v>
      </c>
      <c r="G17" s="577">
        <v>-0.3571557761510577</v>
      </c>
      <c r="H17" s="577">
        <v>-0.5935849729308692</v>
      </c>
      <c r="I17" s="577">
        <v>-0.3571557761510577</v>
      </c>
    </row>
    <row r="18" spans="1:9" ht="16" thickBot="1" x14ac:dyDescent="0.25">
      <c r="A18" s="578" t="s">
        <v>137</v>
      </c>
      <c r="B18" s="578">
        <v>0.76820723493688736</v>
      </c>
      <c r="C18" s="578">
        <v>4.1917237633627168E-2</v>
      </c>
      <c r="D18" s="578">
        <v>18.326761931483059</v>
      </c>
      <c r="E18" s="578">
        <v>1.7229447251363981E-26</v>
      </c>
      <c r="F18" s="578">
        <v>0.68438853794684895</v>
      </c>
      <c r="G18" s="578">
        <v>0.85202593192692577</v>
      </c>
      <c r="H18" s="578">
        <v>0.68438853794684895</v>
      </c>
      <c r="I18" s="578">
        <v>0.85202593192692577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8C8C0-9865-A047-939D-FFAC7CE3EEF4}">
  <dimension ref="B1:Z13"/>
  <sheetViews>
    <sheetView zoomScale="120" zoomScaleNormal="120" workbookViewId="0">
      <selection activeCell="R36" sqref="R36"/>
    </sheetView>
  </sheetViews>
  <sheetFormatPr baseColWidth="10" defaultColWidth="8.83203125" defaultRowHeight="15" x14ac:dyDescent="0.2"/>
  <cols>
    <col min="2" max="2" width="25" customWidth="1"/>
    <col min="3" max="25" width="8" customWidth="1"/>
  </cols>
  <sheetData>
    <row r="1" spans="2:26" x14ac:dyDescent="0.2">
      <c r="B1" s="568" t="s">
        <v>100</v>
      </c>
    </row>
    <row r="2" spans="2:26" x14ac:dyDescent="0.2">
      <c r="B2" s="569" t="s">
        <v>70</v>
      </c>
    </row>
    <row r="3" spans="2:26" x14ac:dyDescent="0.2">
      <c r="B3" s="569" t="s">
        <v>101</v>
      </c>
    </row>
    <row r="4" spans="2:26" x14ac:dyDescent="0.2">
      <c r="B4" s="569" t="s">
        <v>102</v>
      </c>
    </row>
    <row r="6" spans="2:26" ht="16" x14ac:dyDescent="0.2">
      <c r="B6" s="707" t="s">
        <v>7</v>
      </c>
      <c r="C6" s="707" t="s">
        <v>7</v>
      </c>
      <c r="D6" s="556" t="s">
        <v>8</v>
      </c>
      <c r="E6" s="556" t="s">
        <v>9</v>
      </c>
      <c r="F6" s="556" t="s">
        <v>10</v>
      </c>
      <c r="G6" s="556" t="s">
        <v>11</v>
      </c>
      <c r="H6" s="556" t="s">
        <v>12</v>
      </c>
      <c r="I6" s="556" t="s">
        <v>13</v>
      </c>
      <c r="J6" s="556" t="s">
        <v>14</v>
      </c>
      <c r="K6" s="556" t="s">
        <v>15</v>
      </c>
      <c r="L6" s="556" t="s">
        <v>16</v>
      </c>
      <c r="M6" s="556" t="s">
        <v>17</v>
      </c>
      <c r="N6" s="556" t="s">
        <v>18</v>
      </c>
      <c r="O6" s="556" t="s">
        <v>19</v>
      </c>
      <c r="P6" s="556" t="s">
        <v>20</v>
      </c>
      <c r="Q6" s="556" t="s">
        <v>21</v>
      </c>
      <c r="R6" s="556" t="s">
        <v>22</v>
      </c>
      <c r="S6" s="556" t="s">
        <v>23</v>
      </c>
      <c r="T6" s="556" t="s">
        <v>24</v>
      </c>
      <c r="U6" s="556" t="s">
        <v>25</v>
      </c>
      <c r="V6" s="556" t="s">
        <v>26</v>
      </c>
      <c r="W6" s="556" t="s">
        <v>27</v>
      </c>
      <c r="X6" s="556" t="s">
        <v>28</v>
      </c>
      <c r="Y6" s="556" t="s">
        <v>29</v>
      </c>
    </row>
    <row r="7" spans="2:26" ht="16" x14ac:dyDescent="0.2">
      <c r="B7" s="557" t="s">
        <v>103</v>
      </c>
      <c r="C7" s="558" t="s">
        <v>32</v>
      </c>
      <c r="D7" s="558" t="s">
        <v>32</v>
      </c>
      <c r="E7" s="558" t="s">
        <v>32</v>
      </c>
      <c r="F7" s="558" t="s">
        <v>32</v>
      </c>
      <c r="G7" s="558" t="s">
        <v>32</v>
      </c>
      <c r="H7" s="558" t="s">
        <v>32</v>
      </c>
      <c r="I7" s="558" t="s">
        <v>32</v>
      </c>
      <c r="J7" s="558" t="s">
        <v>32</v>
      </c>
      <c r="K7" s="558" t="s">
        <v>32</v>
      </c>
      <c r="L7" s="558" t="s">
        <v>32</v>
      </c>
      <c r="M7" s="558" t="s">
        <v>32</v>
      </c>
      <c r="N7" s="558" t="s">
        <v>32</v>
      </c>
      <c r="O7" s="558" t="s">
        <v>32</v>
      </c>
      <c r="P7" s="558" t="s">
        <v>32</v>
      </c>
      <c r="Q7" s="558" t="s">
        <v>32</v>
      </c>
      <c r="R7" s="558" t="s">
        <v>32</v>
      </c>
      <c r="S7" s="558" t="s">
        <v>32</v>
      </c>
      <c r="T7" s="558" t="s">
        <v>32</v>
      </c>
      <c r="U7" s="558" t="s">
        <v>32</v>
      </c>
      <c r="V7" s="558" t="s">
        <v>32</v>
      </c>
      <c r="W7" s="558" t="s">
        <v>32</v>
      </c>
      <c r="X7" s="558" t="s">
        <v>32</v>
      </c>
      <c r="Y7" s="558" t="s">
        <v>32</v>
      </c>
    </row>
    <row r="8" spans="2:26" ht="16" x14ac:dyDescent="0.2">
      <c r="B8" s="559" t="s">
        <v>104</v>
      </c>
      <c r="C8" s="560" t="s">
        <v>32</v>
      </c>
      <c r="D8" s="570" t="s">
        <v>32</v>
      </c>
      <c r="E8" s="570" t="s">
        <v>32</v>
      </c>
      <c r="F8" s="570" t="s">
        <v>32</v>
      </c>
      <c r="G8" s="570" t="s">
        <v>32</v>
      </c>
      <c r="H8" s="570" t="s">
        <v>32</v>
      </c>
      <c r="I8" s="570" t="s">
        <v>32</v>
      </c>
      <c r="J8" s="570" t="s">
        <v>32</v>
      </c>
      <c r="K8" s="570" t="s">
        <v>32</v>
      </c>
      <c r="L8" s="570" t="s">
        <v>32</v>
      </c>
      <c r="M8" s="570" t="s">
        <v>32</v>
      </c>
      <c r="N8" s="570" t="s">
        <v>32</v>
      </c>
      <c r="O8" s="570" t="s">
        <v>32</v>
      </c>
      <c r="P8" s="570" t="s">
        <v>32</v>
      </c>
      <c r="Q8" s="570" t="s">
        <v>32</v>
      </c>
      <c r="R8" s="570" t="s">
        <v>32</v>
      </c>
      <c r="S8" s="570" t="s">
        <v>32</v>
      </c>
      <c r="T8" s="570" t="s">
        <v>32</v>
      </c>
      <c r="U8" s="570" t="s">
        <v>32</v>
      </c>
      <c r="V8" s="570" t="s">
        <v>32</v>
      </c>
      <c r="W8" s="570" t="s">
        <v>32</v>
      </c>
      <c r="X8" s="570" t="s">
        <v>32</v>
      </c>
      <c r="Y8" s="570" t="s">
        <v>32</v>
      </c>
    </row>
    <row r="9" spans="2:26" ht="16" x14ac:dyDescent="0.2">
      <c r="B9" s="559" t="s">
        <v>105</v>
      </c>
      <c r="C9" s="560" t="s">
        <v>32</v>
      </c>
      <c r="D9" s="571">
        <v>35.487000000000002</v>
      </c>
      <c r="E9" s="571">
        <v>34.673000000000002</v>
      </c>
      <c r="F9" s="571">
        <v>34.085000000000001</v>
      </c>
      <c r="G9" s="571">
        <v>33.081000000000003</v>
      </c>
      <c r="H9" s="571">
        <v>32.700000000000003</v>
      </c>
      <c r="I9" s="571">
        <v>32.713000000000001</v>
      </c>
      <c r="J9" s="571">
        <v>32.661000000000001</v>
      </c>
      <c r="K9" s="571">
        <v>32.725000000000001</v>
      </c>
      <c r="L9" s="571">
        <v>32.494999999999997</v>
      </c>
      <c r="M9" s="571">
        <v>31.234999999999999</v>
      </c>
      <c r="N9" s="571">
        <v>32.345999999999997</v>
      </c>
      <c r="O9" s="571">
        <v>31.007000000000001</v>
      </c>
      <c r="P9" s="571">
        <v>30.803000000000001</v>
      </c>
      <c r="Q9" s="571">
        <v>31.177</v>
      </c>
      <c r="R9" s="571">
        <v>31.132000000000001</v>
      </c>
      <c r="S9" s="571">
        <v>31.265999999999998</v>
      </c>
      <c r="T9" s="571">
        <v>32.82</v>
      </c>
      <c r="U9" s="571">
        <v>33.258000000000003</v>
      </c>
      <c r="V9" s="571">
        <v>33.043999999999997</v>
      </c>
      <c r="W9" s="571">
        <v>33.481999999999999</v>
      </c>
      <c r="X9" s="571">
        <v>33.082000000000001</v>
      </c>
      <c r="Y9" s="571">
        <v>34.468000000000004</v>
      </c>
    </row>
    <row r="11" spans="2:26" x14ac:dyDescent="0.2">
      <c r="B11" s="572" t="s">
        <v>89</v>
      </c>
      <c r="Z11" s="573" t="s">
        <v>100</v>
      </c>
    </row>
    <row r="13" spans="2:26" x14ac:dyDescent="0.2">
      <c r="D13" s="574"/>
    </row>
  </sheetData>
  <mergeCells count="1">
    <mergeCell ref="B6:C6"/>
  </mergeCells>
  <hyperlinks>
    <hyperlink ref="B11" r:id="rId1" xr:uid="{D5C1D70A-1360-0A45-AAD8-43EAB4DF1597}"/>
    <hyperlink ref="Z11" r:id="rId2" xr:uid="{3602C53C-05C2-7141-9197-AF14CDF948A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CC2C6-C956-2F4F-9803-9BBE09ECDE92}">
  <dimension ref="B1:O36"/>
  <sheetViews>
    <sheetView workbookViewId="0">
      <selection activeCell="P7" sqref="P7"/>
    </sheetView>
  </sheetViews>
  <sheetFormatPr baseColWidth="10" defaultColWidth="8.83203125" defaultRowHeight="15" x14ac:dyDescent="0.2"/>
  <cols>
    <col min="2" max="3" width="32" customWidth="1"/>
    <col min="4" max="4" width="14.6640625" bestFit="1" customWidth="1"/>
    <col min="5" max="5" width="23.5" bestFit="1" customWidth="1"/>
    <col min="6" max="13" width="32" customWidth="1"/>
    <col min="14" max="14" width="23.5" bestFit="1" customWidth="1"/>
  </cols>
  <sheetData>
    <row r="1" spans="2:14" x14ac:dyDescent="0.2">
      <c r="B1" s="554" t="s">
        <v>69</v>
      </c>
    </row>
    <row r="2" spans="2:14" x14ac:dyDescent="0.2">
      <c r="B2" s="555" t="s">
        <v>70</v>
      </c>
    </row>
    <row r="3" spans="2:14" x14ac:dyDescent="0.2">
      <c r="B3" s="555" t="s">
        <v>71</v>
      </c>
    </row>
    <row r="4" spans="2:14" x14ac:dyDescent="0.2">
      <c r="B4" s="555" t="s">
        <v>72</v>
      </c>
    </row>
    <row r="5" spans="2:14" x14ac:dyDescent="0.2">
      <c r="B5" s="555" t="s">
        <v>73</v>
      </c>
    </row>
    <row r="6" spans="2:14" x14ac:dyDescent="0.2">
      <c r="B6" s="555" t="s">
        <v>74</v>
      </c>
    </row>
    <row r="7" spans="2:14" x14ac:dyDescent="0.2">
      <c r="B7" s="555" t="s">
        <v>75</v>
      </c>
    </row>
    <row r="8" spans="2:14" x14ac:dyDescent="0.2">
      <c r="B8" s="555" t="s">
        <v>76</v>
      </c>
    </row>
    <row r="10" spans="2:14" ht="16" x14ac:dyDescent="0.2">
      <c r="B10" s="707" t="s">
        <v>77</v>
      </c>
      <c r="C10" s="707" t="s">
        <v>77</v>
      </c>
      <c r="D10" s="708" t="s">
        <v>78</v>
      </c>
      <c r="E10" s="708" t="s">
        <v>78</v>
      </c>
      <c r="F10" s="706" t="s">
        <v>79</v>
      </c>
      <c r="G10" s="706" t="s">
        <v>79</v>
      </c>
      <c r="H10" s="706" t="s">
        <v>80</v>
      </c>
      <c r="I10" s="706" t="s">
        <v>80</v>
      </c>
      <c r="J10" s="706" t="s">
        <v>81</v>
      </c>
      <c r="K10" s="706" t="s">
        <v>81</v>
      </c>
      <c r="L10" s="706" t="s">
        <v>82</v>
      </c>
      <c r="M10" s="706" t="s">
        <v>82</v>
      </c>
      <c r="N10" s="556" t="s">
        <v>83</v>
      </c>
    </row>
    <row r="11" spans="2:14" ht="16" x14ac:dyDescent="0.2">
      <c r="B11" s="707" t="s">
        <v>30</v>
      </c>
      <c r="C11" s="707" t="s">
        <v>30</v>
      </c>
      <c r="D11" s="556" t="s">
        <v>84</v>
      </c>
      <c r="E11" s="556" t="s">
        <v>85</v>
      </c>
      <c r="F11" s="556" t="s">
        <v>86</v>
      </c>
      <c r="G11" s="556" t="s">
        <v>87</v>
      </c>
      <c r="H11" s="556" t="s">
        <v>86</v>
      </c>
      <c r="I11" s="556" t="s">
        <v>87</v>
      </c>
      <c r="J11" s="556" t="s">
        <v>86</v>
      </c>
      <c r="K11" s="556" t="s">
        <v>87</v>
      </c>
      <c r="L11" s="556" t="s">
        <v>86</v>
      </c>
      <c r="M11" s="556" t="s">
        <v>87</v>
      </c>
      <c r="N11" s="556" t="s">
        <v>86</v>
      </c>
    </row>
    <row r="12" spans="2:14" ht="16" x14ac:dyDescent="0.2">
      <c r="B12" s="707" t="s">
        <v>31</v>
      </c>
      <c r="C12" s="707" t="s">
        <v>31</v>
      </c>
      <c r="D12" s="556" t="s">
        <v>34</v>
      </c>
      <c r="E12" s="556" t="s">
        <v>88</v>
      </c>
      <c r="F12" s="556" t="s">
        <v>88</v>
      </c>
      <c r="G12" s="556" t="s">
        <v>34</v>
      </c>
      <c r="H12" s="556" t="s">
        <v>88</v>
      </c>
      <c r="I12" s="556" t="s">
        <v>34</v>
      </c>
      <c r="J12" s="556" t="s">
        <v>88</v>
      </c>
      <c r="K12" s="556" t="s">
        <v>34</v>
      </c>
      <c r="L12" s="556" t="s">
        <v>88</v>
      </c>
      <c r="M12" s="556" t="s">
        <v>34</v>
      </c>
      <c r="N12" s="556" t="s">
        <v>88</v>
      </c>
    </row>
    <row r="13" spans="2:14" ht="16" x14ac:dyDescent="0.2">
      <c r="B13" s="557" t="s">
        <v>7</v>
      </c>
      <c r="C13" s="558" t="s">
        <v>32</v>
      </c>
      <c r="D13" s="558" t="s">
        <v>32</v>
      </c>
      <c r="E13" s="558" t="s">
        <v>32</v>
      </c>
      <c r="F13" s="558" t="s">
        <v>32</v>
      </c>
      <c r="G13" s="558" t="s">
        <v>32</v>
      </c>
      <c r="H13" s="558" t="s">
        <v>32</v>
      </c>
      <c r="I13" s="558" t="s">
        <v>32</v>
      </c>
      <c r="J13" s="558" t="s">
        <v>32</v>
      </c>
      <c r="K13" s="558" t="s">
        <v>32</v>
      </c>
      <c r="L13" s="558" t="s">
        <v>32</v>
      </c>
      <c r="M13" s="558" t="s">
        <v>32</v>
      </c>
      <c r="N13" s="558" t="s">
        <v>32</v>
      </c>
    </row>
    <row r="14" spans="2:14" ht="16" x14ac:dyDescent="0.2">
      <c r="B14" s="559" t="s">
        <v>9</v>
      </c>
      <c r="C14" s="560" t="s">
        <v>32</v>
      </c>
      <c r="D14" s="561">
        <v>1212.27</v>
      </c>
      <c r="E14" s="561">
        <v>5</v>
      </c>
      <c r="F14" s="561">
        <v>17</v>
      </c>
      <c r="G14" s="561">
        <v>30004</v>
      </c>
      <c r="H14" s="561">
        <v>25</v>
      </c>
      <c r="I14" s="561">
        <v>60009</v>
      </c>
      <c r="J14" s="561">
        <v>29</v>
      </c>
      <c r="K14" s="562" t="s">
        <v>32</v>
      </c>
      <c r="L14" s="562" t="s">
        <v>32</v>
      </c>
      <c r="M14" s="562" t="s">
        <v>32</v>
      </c>
      <c r="N14" s="562" t="s">
        <v>32</v>
      </c>
    </row>
    <row r="15" spans="2:14" ht="16" x14ac:dyDescent="0.2">
      <c r="B15" s="559" t="s">
        <v>10</v>
      </c>
      <c r="C15" s="560" t="s">
        <v>32</v>
      </c>
      <c r="D15" s="561">
        <v>1186</v>
      </c>
      <c r="E15" s="562" t="s">
        <v>32</v>
      </c>
      <c r="F15" s="561">
        <v>16</v>
      </c>
      <c r="G15" s="561">
        <v>30754</v>
      </c>
      <c r="H15" s="561">
        <v>22</v>
      </c>
      <c r="I15" s="561">
        <v>61509</v>
      </c>
      <c r="J15" s="561">
        <v>26</v>
      </c>
      <c r="K15" s="561">
        <v>100000</v>
      </c>
      <c r="L15" s="561">
        <v>29</v>
      </c>
      <c r="M15" s="562" t="s">
        <v>32</v>
      </c>
      <c r="N15" s="562" t="s">
        <v>32</v>
      </c>
    </row>
    <row r="16" spans="2:14" ht="16" x14ac:dyDescent="0.2">
      <c r="B16" s="559" t="s">
        <v>11</v>
      </c>
      <c r="C16" s="560" t="s">
        <v>32</v>
      </c>
      <c r="D16" s="561">
        <v>1221</v>
      </c>
      <c r="E16" s="562" t="s">
        <v>32</v>
      </c>
      <c r="F16" s="561">
        <v>16</v>
      </c>
      <c r="G16" s="561">
        <v>31677</v>
      </c>
      <c r="H16" s="561">
        <v>22</v>
      </c>
      <c r="I16" s="561">
        <v>63354</v>
      </c>
      <c r="J16" s="561">
        <v>26</v>
      </c>
      <c r="K16" s="561">
        <v>103000</v>
      </c>
      <c r="L16" s="561">
        <v>29</v>
      </c>
      <c r="M16" s="562" t="s">
        <v>32</v>
      </c>
      <c r="N16" s="562" t="s">
        <v>32</v>
      </c>
    </row>
    <row r="17" spans="2:14" ht="16" x14ac:dyDescent="0.2">
      <c r="B17" s="559" t="s">
        <v>12</v>
      </c>
      <c r="C17" s="560" t="s">
        <v>32</v>
      </c>
      <c r="D17" s="561">
        <v>1241</v>
      </c>
      <c r="E17" s="562" t="s">
        <v>32</v>
      </c>
      <c r="F17" s="561">
        <v>16</v>
      </c>
      <c r="G17" s="561">
        <v>32183</v>
      </c>
      <c r="H17" s="561">
        <v>22</v>
      </c>
      <c r="I17" s="561">
        <v>64368</v>
      </c>
      <c r="J17" s="561">
        <v>26</v>
      </c>
      <c r="K17" s="561">
        <v>104648</v>
      </c>
      <c r="L17" s="561">
        <v>29</v>
      </c>
      <c r="M17" s="562" t="s">
        <v>32</v>
      </c>
      <c r="N17" s="562" t="s">
        <v>32</v>
      </c>
    </row>
    <row r="18" spans="2:14" ht="16" x14ac:dyDescent="0.2">
      <c r="B18" s="559" t="s">
        <v>13</v>
      </c>
      <c r="C18" s="560" t="s">
        <v>32</v>
      </c>
      <c r="D18" s="561">
        <v>1282</v>
      </c>
      <c r="E18" s="562" t="s">
        <v>32</v>
      </c>
      <c r="F18" s="561">
        <v>16</v>
      </c>
      <c r="G18" s="561">
        <v>35000</v>
      </c>
      <c r="H18" s="561">
        <v>22</v>
      </c>
      <c r="I18" s="561">
        <v>70000</v>
      </c>
      <c r="J18" s="561">
        <v>26</v>
      </c>
      <c r="K18" s="561">
        <v>113804</v>
      </c>
      <c r="L18" s="561">
        <v>29</v>
      </c>
      <c r="M18" s="562" t="s">
        <v>32</v>
      </c>
      <c r="N18" s="562" t="s">
        <v>32</v>
      </c>
    </row>
    <row r="19" spans="2:14" ht="16" x14ac:dyDescent="0.2">
      <c r="B19" s="559" t="s">
        <v>14</v>
      </c>
      <c r="C19" s="560" t="s">
        <v>32</v>
      </c>
      <c r="D19" s="561">
        <v>1297.2</v>
      </c>
      <c r="E19" s="562" t="s">
        <v>32</v>
      </c>
      <c r="F19" s="561">
        <v>15</v>
      </c>
      <c r="G19" s="561">
        <v>35595</v>
      </c>
      <c r="H19" s="561">
        <v>22</v>
      </c>
      <c r="I19" s="561">
        <v>71190</v>
      </c>
      <c r="J19" s="561">
        <v>26</v>
      </c>
      <c r="K19" s="561">
        <v>115739</v>
      </c>
      <c r="L19" s="561">
        <v>29</v>
      </c>
      <c r="M19" s="562" t="s">
        <v>32</v>
      </c>
      <c r="N19" s="562" t="s">
        <v>32</v>
      </c>
    </row>
    <row r="20" spans="2:14" ht="16" x14ac:dyDescent="0.2">
      <c r="B20" s="559" t="s">
        <v>15</v>
      </c>
      <c r="C20" s="560" t="s">
        <v>32</v>
      </c>
      <c r="D20" s="561">
        <v>1386.075</v>
      </c>
      <c r="E20" s="562" t="s">
        <v>32</v>
      </c>
      <c r="F20" s="561">
        <v>15.25</v>
      </c>
      <c r="G20" s="561">
        <v>36378</v>
      </c>
      <c r="H20" s="561">
        <v>22</v>
      </c>
      <c r="I20" s="561">
        <v>72756</v>
      </c>
      <c r="J20" s="561">
        <v>26</v>
      </c>
      <c r="K20" s="561">
        <v>118285</v>
      </c>
      <c r="L20" s="561">
        <v>29</v>
      </c>
      <c r="M20" s="562" t="s">
        <v>32</v>
      </c>
      <c r="N20" s="562" t="s">
        <v>32</v>
      </c>
    </row>
    <row r="21" spans="2:14" ht="16" x14ac:dyDescent="0.2">
      <c r="B21" s="559" t="s">
        <v>16</v>
      </c>
      <c r="C21" s="560" t="s">
        <v>32</v>
      </c>
      <c r="D21" s="561">
        <v>1590</v>
      </c>
      <c r="E21" s="562" t="s">
        <v>32</v>
      </c>
      <c r="F21" s="561">
        <v>15</v>
      </c>
      <c r="G21" s="561">
        <v>37178</v>
      </c>
      <c r="H21" s="561">
        <v>22</v>
      </c>
      <c r="I21" s="561">
        <v>74357</v>
      </c>
      <c r="J21" s="561">
        <v>26</v>
      </c>
      <c r="K21" s="561">
        <v>120887</v>
      </c>
      <c r="L21" s="561">
        <v>29</v>
      </c>
      <c r="M21" s="562" t="s">
        <v>32</v>
      </c>
      <c r="N21" s="562" t="s">
        <v>32</v>
      </c>
    </row>
    <row r="22" spans="2:14" ht="16" x14ac:dyDescent="0.2">
      <c r="B22" s="559" t="s">
        <v>17</v>
      </c>
      <c r="C22" s="560" t="s">
        <v>32</v>
      </c>
      <c r="D22" s="561">
        <v>1592.85</v>
      </c>
      <c r="E22" s="562" t="s">
        <v>32</v>
      </c>
      <c r="F22" s="561">
        <v>15</v>
      </c>
      <c r="G22" s="561">
        <v>37885</v>
      </c>
      <c r="H22" s="561">
        <v>22</v>
      </c>
      <c r="I22" s="561">
        <v>75769</v>
      </c>
      <c r="J22" s="561">
        <v>26</v>
      </c>
      <c r="K22" s="561">
        <v>123184</v>
      </c>
      <c r="L22" s="561">
        <v>29</v>
      </c>
      <c r="M22" s="562" t="s">
        <v>32</v>
      </c>
      <c r="N22" s="562" t="s">
        <v>32</v>
      </c>
    </row>
    <row r="23" spans="2:14" ht="16" x14ac:dyDescent="0.2">
      <c r="B23" s="559" t="s">
        <v>18</v>
      </c>
      <c r="C23" s="560" t="s">
        <v>32</v>
      </c>
      <c r="D23" s="561">
        <v>1704.6</v>
      </c>
      <c r="E23" s="562" t="s">
        <v>32</v>
      </c>
      <c r="F23" s="561">
        <v>15</v>
      </c>
      <c r="G23" s="561">
        <v>40726</v>
      </c>
      <c r="H23" s="561">
        <v>22</v>
      </c>
      <c r="I23" s="561">
        <v>81452</v>
      </c>
      <c r="J23" s="561">
        <v>26</v>
      </c>
      <c r="K23" s="561">
        <v>126264</v>
      </c>
      <c r="L23" s="561">
        <v>29</v>
      </c>
      <c r="M23" s="562" t="s">
        <v>32</v>
      </c>
      <c r="N23" s="562" t="s">
        <v>32</v>
      </c>
    </row>
    <row r="24" spans="2:14" ht="16" x14ac:dyDescent="0.2">
      <c r="B24" s="559" t="s">
        <v>19</v>
      </c>
      <c r="C24" s="560" t="s">
        <v>32</v>
      </c>
      <c r="D24" s="561">
        <v>1714.61</v>
      </c>
      <c r="E24" s="562" t="s">
        <v>32</v>
      </c>
      <c r="F24" s="561">
        <v>15</v>
      </c>
      <c r="G24" s="561">
        <v>40970</v>
      </c>
      <c r="H24" s="561">
        <v>22</v>
      </c>
      <c r="I24" s="561">
        <v>81941</v>
      </c>
      <c r="J24" s="561">
        <v>26</v>
      </c>
      <c r="K24" s="561">
        <v>127021</v>
      </c>
      <c r="L24" s="561">
        <v>29</v>
      </c>
      <c r="M24" s="562" t="s">
        <v>32</v>
      </c>
      <c r="N24" s="562" t="s">
        <v>32</v>
      </c>
    </row>
    <row r="25" spans="2:14" ht="16" x14ac:dyDescent="0.2">
      <c r="B25" s="559" t="s">
        <v>20</v>
      </c>
      <c r="C25" s="560" t="s">
        <v>32</v>
      </c>
      <c r="D25" s="561">
        <v>1738.8</v>
      </c>
      <c r="E25" s="562" t="s">
        <v>32</v>
      </c>
      <c r="F25" s="561">
        <v>15</v>
      </c>
      <c r="G25" s="561">
        <v>41544</v>
      </c>
      <c r="H25" s="561">
        <v>22</v>
      </c>
      <c r="I25" s="561">
        <v>83088</v>
      </c>
      <c r="J25" s="561">
        <v>26</v>
      </c>
      <c r="K25" s="561">
        <v>128800</v>
      </c>
      <c r="L25" s="561">
        <v>29</v>
      </c>
      <c r="M25" s="562" t="s">
        <v>32</v>
      </c>
      <c r="N25" s="562" t="s">
        <v>32</v>
      </c>
    </row>
    <row r="26" spans="2:14" ht="16" x14ac:dyDescent="0.2">
      <c r="B26" s="559" t="s">
        <v>21</v>
      </c>
      <c r="C26" s="560" t="s">
        <v>32</v>
      </c>
      <c r="D26" s="561">
        <v>1787.55</v>
      </c>
      <c r="E26" s="562" t="s">
        <v>32</v>
      </c>
      <c r="F26" s="561">
        <v>15</v>
      </c>
      <c r="G26" s="561">
        <v>42707</v>
      </c>
      <c r="H26" s="561">
        <v>22</v>
      </c>
      <c r="I26" s="561">
        <v>85414</v>
      </c>
      <c r="J26" s="561">
        <v>26</v>
      </c>
      <c r="K26" s="561">
        <v>132406</v>
      </c>
      <c r="L26" s="561">
        <v>29</v>
      </c>
      <c r="M26" s="562" t="s">
        <v>32</v>
      </c>
      <c r="N26" s="562" t="s">
        <v>32</v>
      </c>
    </row>
    <row r="27" spans="2:14" ht="16" x14ac:dyDescent="0.2">
      <c r="B27" s="559" t="s">
        <v>22</v>
      </c>
      <c r="C27" s="560" t="s">
        <v>32</v>
      </c>
      <c r="D27" s="561">
        <v>1823.25</v>
      </c>
      <c r="E27" s="562" t="s">
        <v>32</v>
      </c>
      <c r="F27" s="561">
        <v>15</v>
      </c>
      <c r="G27" s="561">
        <v>43561</v>
      </c>
      <c r="H27" s="561">
        <v>22</v>
      </c>
      <c r="I27" s="561">
        <v>87123</v>
      </c>
      <c r="J27" s="561">
        <v>26</v>
      </c>
      <c r="K27" s="561">
        <v>135054</v>
      </c>
      <c r="L27" s="561">
        <v>29</v>
      </c>
      <c r="M27" s="562" t="s">
        <v>32</v>
      </c>
      <c r="N27" s="562" t="s">
        <v>32</v>
      </c>
    </row>
    <row r="28" spans="2:14" ht="16" x14ac:dyDescent="0.2">
      <c r="B28" s="559" t="s">
        <v>23</v>
      </c>
      <c r="C28" s="560" t="s">
        <v>32</v>
      </c>
      <c r="D28" s="561">
        <v>1839.75</v>
      </c>
      <c r="E28" s="562" t="s">
        <v>32</v>
      </c>
      <c r="F28" s="561">
        <v>15</v>
      </c>
      <c r="G28" s="561">
        <v>43953</v>
      </c>
      <c r="H28" s="561">
        <v>22</v>
      </c>
      <c r="I28" s="561">
        <v>87907</v>
      </c>
      <c r="J28" s="561">
        <v>26</v>
      </c>
      <c r="K28" s="561">
        <v>136270</v>
      </c>
      <c r="L28" s="561">
        <v>29</v>
      </c>
      <c r="M28" s="562" t="s">
        <v>32</v>
      </c>
      <c r="N28" s="562" t="s">
        <v>32</v>
      </c>
    </row>
    <row r="29" spans="2:14" ht="16" x14ac:dyDescent="0.2">
      <c r="B29" s="559" t="s">
        <v>24</v>
      </c>
      <c r="C29" s="560" t="s">
        <v>32</v>
      </c>
      <c r="D29" s="561">
        <v>1870.95</v>
      </c>
      <c r="E29" s="562" t="s">
        <v>32</v>
      </c>
      <c r="F29" s="561">
        <v>15</v>
      </c>
      <c r="G29" s="561">
        <v>44701</v>
      </c>
      <c r="H29" s="561">
        <v>22</v>
      </c>
      <c r="I29" s="561">
        <v>89401</v>
      </c>
      <c r="J29" s="561">
        <v>26</v>
      </c>
      <c r="K29" s="561">
        <v>138586</v>
      </c>
      <c r="L29" s="561">
        <v>29</v>
      </c>
      <c r="M29" s="562" t="s">
        <v>32</v>
      </c>
      <c r="N29" s="562" t="s">
        <v>32</v>
      </c>
    </row>
    <row r="30" spans="2:14" ht="16" x14ac:dyDescent="0.2">
      <c r="B30" s="559" t="s">
        <v>25</v>
      </c>
      <c r="C30" s="560" t="s">
        <v>32</v>
      </c>
      <c r="D30" s="561">
        <v>1895.25</v>
      </c>
      <c r="E30" s="562" t="s">
        <v>32</v>
      </c>
      <c r="F30" s="561">
        <v>15</v>
      </c>
      <c r="G30" s="561">
        <v>45282</v>
      </c>
      <c r="H30" s="561">
        <v>20.5</v>
      </c>
      <c r="I30" s="561">
        <v>90563</v>
      </c>
      <c r="J30" s="561">
        <v>26</v>
      </c>
      <c r="K30" s="561">
        <v>140388</v>
      </c>
      <c r="L30" s="561">
        <v>29</v>
      </c>
      <c r="M30" s="561">
        <v>200000</v>
      </c>
      <c r="N30" s="561">
        <v>33</v>
      </c>
    </row>
    <row r="31" spans="2:14" ht="16" x14ac:dyDescent="0.2">
      <c r="B31" s="559" t="s">
        <v>26</v>
      </c>
      <c r="C31" s="560" t="s">
        <v>32</v>
      </c>
      <c r="D31" s="561">
        <v>1921.95</v>
      </c>
      <c r="E31" s="562" t="s">
        <v>32</v>
      </c>
      <c r="F31" s="561">
        <v>15</v>
      </c>
      <c r="G31" s="561">
        <v>45916</v>
      </c>
      <c r="H31" s="561">
        <v>20.5</v>
      </c>
      <c r="I31" s="561">
        <v>91831</v>
      </c>
      <c r="J31" s="561">
        <v>26</v>
      </c>
      <c r="K31" s="561">
        <v>142353</v>
      </c>
      <c r="L31" s="561">
        <v>29</v>
      </c>
      <c r="M31" s="561">
        <v>202800</v>
      </c>
      <c r="N31" s="561">
        <v>33</v>
      </c>
    </row>
    <row r="32" spans="2:14" ht="16" x14ac:dyDescent="0.2">
      <c r="B32" s="559" t="s">
        <v>27</v>
      </c>
      <c r="C32" s="560" t="s">
        <v>32</v>
      </c>
      <c r="D32" s="561">
        <v>1950.6</v>
      </c>
      <c r="E32" s="562" t="s">
        <v>32</v>
      </c>
      <c r="F32" s="561">
        <v>15</v>
      </c>
      <c r="G32" s="561">
        <v>46605</v>
      </c>
      <c r="H32" s="561">
        <v>20.5</v>
      </c>
      <c r="I32" s="561">
        <v>93208</v>
      </c>
      <c r="J32" s="561">
        <v>26</v>
      </c>
      <c r="K32" s="561">
        <v>144489</v>
      </c>
      <c r="L32" s="561">
        <v>29</v>
      </c>
      <c r="M32" s="561">
        <v>205842</v>
      </c>
      <c r="N32" s="561">
        <v>33</v>
      </c>
    </row>
    <row r="33" spans="2:15" ht="16" x14ac:dyDescent="0.2">
      <c r="B33" s="559" t="s">
        <v>28</v>
      </c>
      <c r="C33" s="560" t="s">
        <v>32</v>
      </c>
      <c r="D33" s="561">
        <v>1993.65</v>
      </c>
      <c r="E33" s="562" t="s">
        <v>32</v>
      </c>
      <c r="F33" s="561">
        <v>15</v>
      </c>
      <c r="G33" s="561">
        <v>47630</v>
      </c>
      <c r="H33" s="561">
        <v>20.5</v>
      </c>
      <c r="I33" s="561">
        <v>95259</v>
      </c>
      <c r="J33" s="561">
        <v>26</v>
      </c>
      <c r="K33" s="561">
        <v>147667</v>
      </c>
      <c r="L33" s="561">
        <v>29</v>
      </c>
      <c r="M33" s="561">
        <v>210371</v>
      </c>
      <c r="N33" s="561">
        <v>33</v>
      </c>
    </row>
    <row r="34" spans="2:15" ht="16" x14ac:dyDescent="0.2">
      <c r="B34" s="559" t="s">
        <v>29</v>
      </c>
      <c r="C34" s="560" t="s">
        <v>32</v>
      </c>
      <c r="D34" s="561">
        <v>2171.1</v>
      </c>
      <c r="E34" s="562" t="s">
        <v>32</v>
      </c>
      <c r="F34" s="561">
        <v>15</v>
      </c>
      <c r="G34" s="561">
        <v>48535</v>
      </c>
      <c r="H34" s="561">
        <v>20.5</v>
      </c>
      <c r="I34" s="561">
        <v>97069</v>
      </c>
      <c r="J34" s="561">
        <v>26</v>
      </c>
      <c r="K34" s="561">
        <v>150473</v>
      </c>
      <c r="L34" s="561">
        <v>29</v>
      </c>
      <c r="M34" s="561">
        <v>214368</v>
      </c>
      <c r="N34" s="561">
        <v>33</v>
      </c>
    </row>
    <row r="36" spans="2:15" x14ac:dyDescent="0.2">
      <c r="B36" s="563" t="s">
        <v>89</v>
      </c>
      <c r="O36" s="564" t="s">
        <v>69</v>
      </c>
    </row>
  </sheetData>
  <mergeCells count="8">
    <mergeCell ref="H10:I10"/>
    <mergeCell ref="J10:K10"/>
    <mergeCell ref="L10:M10"/>
    <mergeCell ref="B11:C11"/>
    <mergeCell ref="B12:C12"/>
    <mergeCell ref="B10:C10"/>
    <mergeCell ref="D10:E10"/>
    <mergeCell ref="F10:G10"/>
  </mergeCells>
  <hyperlinks>
    <hyperlink ref="B36" r:id="rId1" xr:uid="{B2564D7E-7466-B04E-A6D4-787F2FAFAB64}"/>
    <hyperlink ref="O36" r:id="rId2" xr:uid="{271935E3-D836-6647-9681-77FFBE7154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Filter Friendly</vt:lpstr>
      <vt:lpstr>Primary &amp; Disposable Inc Canada</vt:lpstr>
      <vt:lpstr>Statistics Canada Households </vt:lpstr>
      <vt:lpstr>Average Income per Household</vt:lpstr>
      <vt:lpstr>Tax Liability</vt:lpstr>
      <vt:lpstr>Tau_it</vt:lpstr>
      <vt:lpstr>Equation 20</vt:lpstr>
      <vt:lpstr>Computation</vt:lpstr>
      <vt:lpstr>Filter Out NUM!</vt:lpstr>
      <vt:lpstr>Table for Regression</vt:lpstr>
      <vt:lpstr>Results from Regression</vt:lpstr>
      <vt:lpstr>Tax Revenue Share of GDP</vt:lpstr>
      <vt:lpstr>PIT Tax Schedule OECD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Nishan Ghimire</cp:lastModifiedBy>
  <dcterms:created xsi:type="dcterms:W3CDTF">2025-05-14T01:00:24Z</dcterms:created>
  <dcterms:modified xsi:type="dcterms:W3CDTF">2025-08-13T20:37:29Z</dcterms:modified>
</cp:coreProperties>
</file>