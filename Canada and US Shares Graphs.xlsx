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9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0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1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2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3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c82bb3b492b3b6/MRP OneDrive/Master Data and R Code File/"/>
    </mc:Choice>
  </mc:AlternateContent>
  <xr:revisionPtr revIDLastSave="0" documentId="8_{BCD3D9DB-799C-DB49-B55B-EA29D58E6D7B}" xr6:coauthVersionLast="47" xr6:coauthVersionMax="47" xr10:uidLastSave="{00000000-0000-0000-0000-000000000000}"/>
  <bookViews>
    <workbookView xWindow="20" yWindow="800" windowWidth="34200" windowHeight="19780" activeTab="1" xr2:uid="{06AA154E-C0CA-CF4A-9C30-7264DD07E753}"/>
  </bookViews>
  <sheets>
    <sheet name="Trump Era" sheetId="14" r:id="rId1"/>
    <sheet name="Bush Era" sheetId="13" r:id="rId2"/>
    <sheet name="2022 Graphs Canada (Federal)" sheetId="1" r:id="rId3"/>
    <sheet name="1992 Graphs Canada (Federal)" sheetId="3" r:id="rId4"/>
    <sheet name="1992 Graphs Canada (Fed &amp; Prov)" sheetId="4" r:id="rId5"/>
    <sheet name="2022 Graphs Canada (Fed &amp; Prov)" sheetId="5" r:id="rId6"/>
    <sheet name="2021 Graphs US" sheetId="7" r:id="rId7"/>
    <sheet name="1979 Graphs US " sheetId="6" r:id="rId8"/>
    <sheet name="Reagan Era" sheetId="12" r:id="rId9"/>
    <sheet name="Martin (FP)" sheetId="15" r:id="rId10"/>
    <sheet name="Harper (FP)" sheetId="17" r:id="rId11"/>
    <sheet name="Martin (F)" sheetId="16" r:id="rId12"/>
    <sheet name="Harper (F)" sheetId="18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<sst xmlns="http://schemas.openxmlformats.org/spreadsheetml/2006/main" count="205" uniqueCount="13">
  <si>
    <t>Year: 2022</t>
  </si>
  <si>
    <t>Measures</t>
  </si>
  <si>
    <t>Shares of Before Tax Income</t>
  </si>
  <si>
    <t>Lowest Quintile</t>
  </si>
  <si>
    <t>Second Quintile</t>
  </si>
  <si>
    <t>Third Quintile</t>
  </si>
  <si>
    <t>Fourth Quintile</t>
  </si>
  <si>
    <t>Highest Quintile</t>
  </si>
  <si>
    <t>Shares of Taxes Paid</t>
  </si>
  <si>
    <t>Year: 1992</t>
  </si>
  <si>
    <t xml:space="preserve">Percentage Increase  </t>
  </si>
  <si>
    <t>Shares of Before-Tax Income</t>
  </si>
  <si>
    <t>Shares of After-Tax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</si>
</sst>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0" fontId="0" fillId="0" borderId="0" xfId="0" applyNumberFormat="1"/>
    <xf numFmtId="10" fontId="2" fillId="0" borderId="0" xfId="1" applyNumberFormat="1" applyFont="1"/>
    <xf numFmtId="10" fontId="0" fillId="0" borderId="0" xfId="1" applyNumberFormat="1" applyFont="1"/>
    <xf numFmtId="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Shares of Before-Tax Income and Shares of Taxes Paid by Quintile, US, 2017</a:t>
            </a:r>
          </a:p>
        </c:rich>
      </c:tx>
      <c:layout>
        <c:manualLayout>
          <c:xMode val="edge"/>
          <c:yMode val="edge"/>
          <c:x val="0.1752639296187683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'Trump Era'!$B$5</c:f>
              <c:strCache>
                <c:ptCount val="1"/>
                <c:pt idx="0">
                  <c:v>Shares of Before-Tax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'Trump Era'!$A$6:$A$10</c:f>
              <c:strCache>
                <c:ptCount val="5"/>
                <c:pt idx="0">
                  <c:v>Lowest Quintile</c:v>
                </c:pt>
                <c:pt idx="1">
                  <c:v>Second Quintile</c:v>
                </c:pt>
                <c:pt idx="2">
                  <c:v>Third Quintile</c:v>
                </c:pt>
                <c:pt idx="3">
                  <c:v>Fourth Quintile</c:v>
                </c:pt>
                <c:pt idx="4">
                  <c:v>Highest Quintile</c:v>
                </c:pt>
              </c:strCache>
            </c:strRef>
          </c:cat>
          <c:val>
            <c:numRef>
              <c:f>'Trump Era'!$B$6:$B$10</c:f>
              <c:numCache>
                <c:formatCode>0.00%</c:formatCode>
                <c:ptCount val="5"/>
                <c:pt idx="0">
                  <c:v>3.7000000000000005E-2</c:v>
                </c:pt>
                <c:pt idx="1">
                  <c:v>8.5999999999999993E-2</c:v>
                </c:pt>
                <c:pt idx="2">
                  <c:v>0.13500000000000001</c:v>
                </c:pt>
                <c:pt idx="3">
                  <c:v>0.20300000000000001</c:v>
                </c:pt>
                <c:pt idx="4">
                  <c:v>0.55200000000000005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78-E74F-94AF-628D89C20D21}"/>
            </c:ext>
          </c:extLst>
        </c:ser>
        <c:ser>
          <c:idx val="1"/>
          <c:order val="1"/>
          <c:tx>
            <c:strRef>
              <c:f>'Trump Era'!$C$5</c:f>
              <c:strCache>
                <c:ptCount val="1"/>
                <c:pt idx="0">
                  <c:v>Shares of Taxes Paid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5.8651026392960801E-3"/>
                  <c:y val="-1.95312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478-E74F-94AF-628D89C20D21}"/>
                </c:ext>
              </c:extLst>
            </c:dLbl>
            <c:dLbl>
              <c:idx val="1"/>
              <c:layout>
                <c:manualLayout>
                  <c:x val="7.331378299120235E-3"/>
                  <c:y val="1.95312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478-E74F-94AF-628D89C20D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'Trump Era'!$A$6:$A$10</c:f>
              <c:strCache>
                <c:ptCount val="5"/>
                <c:pt idx="0">
                  <c:v>Lowest Quintile</c:v>
                </c:pt>
                <c:pt idx="1">
                  <c:v>Second Quintile</c:v>
                </c:pt>
                <c:pt idx="2">
                  <c:v>Third Quintile</c:v>
                </c:pt>
                <c:pt idx="3">
                  <c:v>Fourth Quintile</c:v>
                </c:pt>
                <c:pt idx="4">
                  <c:v>Highest Quintile</c:v>
                </c:pt>
              </c:strCache>
            </c:strRef>
          </c:cat>
          <c:val>
            <c:numRef>
              <c:f>'Trump Era'!$C$6:$C$10</c:f>
              <c:numCache>
                <c:formatCode>0.00%</c:formatCode>
                <c:ptCount val="5"/>
                <c:pt idx="0">
                  <c:v>2E-3</c:v>
                </c:pt>
                <c:pt idx="1">
                  <c:v>3.7999999999999999E-2</c:v>
                </c:pt>
                <c:pt idx="2">
                  <c:v>0.09</c:v>
                </c:pt>
                <c:pt idx="3">
                  <c:v>0.17499999999999999</c:v>
                </c:pt>
                <c:pt idx="4">
                  <c:v>0.69299999999999995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78-E74F-94AF-628D89C20D2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91259567"/>
        <c:axId val="1291261279"/>
      </c:barChart>
      <c:catAx>
        <c:axId val="129125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91261279"/>
        <c:crosses val="autoZero"/>
        <c:auto val="1"/>
        <c:lblAlgn val="ctr"/>
        <c:lblOffset val="100"/>
        <c:noMultiLvlLbl val="0"/>
      </c:catAx>
      <c:valAx>
        <c:axId val="129126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91259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Shares of Before-Tax Income and Shares of Taxes Paid by Quintile, US, 2001</a:t>
            </a:r>
          </a:p>
        </c:rich>
      </c:tx>
      <c:layout>
        <c:manualLayout>
          <c:xMode val="edge"/>
          <c:yMode val="edge"/>
          <c:x val="0.1752639296187683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'Bush Era'!$B$5</c:f>
              <c:strCache>
                <c:ptCount val="1"/>
                <c:pt idx="0">
                  <c:v>Shares of Before-Tax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'Bush Era'!$A$6:$A$10</c:f>
              <c:strCache>
                <c:ptCount val="5"/>
                <c:pt idx="0">
                  <c:v>Lowest Quintile</c:v>
                </c:pt>
                <c:pt idx="1">
                  <c:v>Second Quintile</c:v>
                </c:pt>
                <c:pt idx="2">
                  <c:v>Third Quintile</c:v>
                </c:pt>
                <c:pt idx="3">
                  <c:v>Fourth Quintile</c:v>
                </c:pt>
                <c:pt idx="4">
                  <c:v>Highest Quintile</c:v>
                </c:pt>
              </c:strCache>
            </c:strRef>
          </c:cat>
          <c:val>
            <c:numRef>
              <c:f>'Bush Era'!$B$6:$B$10</c:f>
              <c:numCache>
                <c:formatCode>0.00%</c:formatCode>
                <c:ptCount val="5"/>
                <c:pt idx="0">
                  <c:v>3.9E-2</c:v>
                </c:pt>
                <c:pt idx="1">
                  <c:v>9.0999999999999998E-2</c:v>
                </c:pt>
                <c:pt idx="2">
                  <c:v>0.14300000000000002</c:v>
                </c:pt>
                <c:pt idx="3">
                  <c:v>0.21</c:v>
                </c:pt>
                <c:pt idx="4">
                  <c:v>0.52400000000000002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E6-D946-B706-227AC5E8D0A8}"/>
            </c:ext>
          </c:extLst>
        </c:ser>
        <c:ser>
          <c:idx val="1"/>
          <c:order val="1"/>
          <c:tx>
            <c:strRef>
              <c:f>'Bush Era'!$C$5</c:f>
              <c:strCache>
                <c:ptCount val="1"/>
                <c:pt idx="0">
                  <c:v>Shares of Taxes Paid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5.8651026392960801E-3"/>
                  <c:y val="-1.95312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EE6-D946-B706-227AC5E8D0A8}"/>
                </c:ext>
              </c:extLst>
            </c:dLbl>
            <c:dLbl>
              <c:idx val="1"/>
              <c:layout>
                <c:manualLayout>
                  <c:x val="7.331378299120235E-3"/>
                  <c:y val="1.95312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EE6-D946-B706-227AC5E8D0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'Bush Era'!$A$6:$A$10</c:f>
              <c:strCache>
                <c:ptCount val="5"/>
                <c:pt idx="0">
                  <c:v>Lowest Quintile</c:v>
                </c:pt>
                <c:pt idx="1">
                  <c:v>Second Quintile</c:v>
                </c:pt>
                <c:pt idx="2">
                  <c:v>Third Quintile</c:v>
                </c:pt>
                <c:pt idx="3">
                  <c:v>Fourth Quintile</c:v>
                </c:pt>
                <c:pt idx="4">
                  <c:v>Highest Quintile</c:v>
                </c:pt>
              </c:strCache>
            </c:strRef>
          </c:cat>
          <c:val>
            <c:numRef>
              <c:f>'Bush Era'!$C$6:$C$10</c:f>
              <c:numCache>
                <c:formatCode>0.00%</c:formatCode>
                <c:ptCount val="5"/>
                <c:pt idx="0">
                  <c:v>1.1000000000000001E-2</c:v>
                </c:pt>
                <c:pt idx="1">
                  <c:v>0.05</c:v>
                </c:pt>
                <c:pt idx="2">
                  <c:v>0.10400000000000001</c:v>
                </c:pt>
                <c:pt idx="3">
                  <c:v>0.188</c:v>
                </c:pt>
                <c:pt idx="4">
                  <c:v>0.64599999999999991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E6-D946-B706-227AC5E8D0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91259567"/>
        <c:axId val="1291261279"/>
      </c:barChart>
      <c:catAx>
        <c:axId val="129125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91261279"/>
        <c:crosses val="autoZero"/>
        <c:auto val="1"/>
        <c:lblAlgn val="ctr"/>
        <c:lblOffset val="100"/>
        <c:noMultiLvlLbl val="0"/>
      </c:catAx>
      <c:valAx>
        <c:axId val="129126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91259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Shares of Before-Tax Income and Shares of Taxes Paid by Quintile, US, 2009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4101171661052383E-2"/>
          <c:y val="0.16787243352286207"/>
          <c:w val="0.93161040365055447"/>
          <c:h val="0.816620109123092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'Bush Era'!$B$13</c:f>
              <c:strCache>
                <c:ptCount val="1"/>
                <c:pt idx="0">
                  <c:v>Shares of Before-Tax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'Bush Era'!$A$14:$A$18</c:f>
              <c:strCache>
                <c:ptCount val="5"/>
                <c:pt idx="0">
                  <c:v>Lowest Quintile</c:v>
                </c:pt>
                <c:pt idx="1">
                  <c:v>Second Quintile</c:v>
                </c:pt>
                <c:pt idx="2">
                  <c:v>Third Quintile</c:v>
                </c:pt>
                <c:pt idx="3">
                  <c:v>Fourth Quintile</c:v>
                </c:pt>
                <c:pt idx="4">
                  <c:v>Highest Quintile</c:v>
                </c:pt>
              </c:strCache>
            </c:strRef>
          </c:cat>
          <c:val>
            <c:numRef>
              <c:f>'Bush Era'!$B$14:$B$18</c:f>
              <c:numCache>
                <c:formatCode>0.00%</c:formatCode>
                <c:ptCount val="5"/>
                <c:pt idx="0">
                  <c:v>0.04</c:v>
                </c:pt>
                <c:pt idx="1">
                  <c:v>9.3000000000000013E-2</c:v>
                </c:pt>
                <c:pt idx="2">
                  <c:v>0.14599999999999999</c:v>
                </c:pt>
                <c:pt idx="3">
                  <c:v>0.215</c:v>
                </c:pt>
                <c:pt idx="4">
                  <c:v>0.52300000000000002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34-6E46-AF36-C2938FD0B0E2}"/>
            </c:ext>
          </c:extLst>
        </c:ser>
        <c:ser>
          <c:idx val="1"/>
          <c:order val="1"/>
          <c:tx>
            <c:strRef>
              <c:f>'Bush Era'!$C$13</c:f>
              <c:strCache>
                <c:ptCount val="1"/>
                <c:pt idx="0">
                  <c:v>Shares of Taxes Paid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'Bush Era'!$A$14:$A$18</c:f>
              <c:strCache>
                <c:ptCount val="5"/>
                <c:pt idx="0">
                  <c:v>Lowest Quintile</c:v>
                </c:pt>
                <c:pt idx="1">
                  <c:v>Second Quintile</c:v>
                </c:pt>
                <c:pt idx="2">
                  <c:v>Third Quintile</c:v>
                </c:pt>
                <c:pt idx="3">
                  <c:v>Fourth Quintile</c:v>
                </c:pt>
                <c:pt idx="4">
                  <c:v>Highest Quintile</c:v>
                </c:pt>
              </c:strCache>
            </c:strRef>
          </c:cat>
          <c:val>
            <c:numRef>
              <c:f>'Bush Era'!$C$14:$C$18</c:f>
              <c:numCache>
                <c:formatCode>0.00%</c:formatCode>
                <c:ptCount val="5"/>
                <c:pt idx="0">
                  <c:v>-2E-3</c:v>
                </c:pt>
                <c:pt idx="1">
                  <c:v>3.7000000000000005E-2</c:v>
                </c:pt>
                <c:pt idx="2">
                  <c:v>9.6000000000000002E-2</c:v>
                </c:pt>
                <c:pt idx="3">
                  <c:v>0.18600000000000003</c:v>
                </c:pt>
                <c:pt idx="4">
                  <c:v>0.68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34-6E46-AF36-C2938FD0B0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22735488"/>
        <c:axId val="522737200"/>
      </c:barChart>
      <c:catAx>
        <c:axId val="52273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2737200"/>
        <c:crosses val="autoZero"/>
        <c:auto val="1"/>
        <c:lblAlgn val="ctr"/>
        <c:lblOffset val="0"/>
        <c:noMultiLvlLbl val="0"/>
      </c:catAx>
      <c:valAx>
        <c:axId val="52273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2735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300" b="1" i="0">
                <a:latin typeface="Arial" panose="020B0604020202020204" pitchFamily="34" charset="0"/>
                <a:cs typeface="Arial" panose="020B0604020202020204" pitchFamily="34" charset="0"/>
              </a:rPr>
              <a:t>Shares of Before-Tax</a:t>
            </a:r>
            <a:r>
              <a:rPr lang="en-US" sz="1300" b="1" i="0" baseline="0">
                <a:latin typeface="Arial" panose="020B0604020202020204" pitchFamily="34" charset="0"/>
                <a:cs typeface="Arial" panose="020B0604020202020204" pitchFamily="34" charset="0"/>
              </a:rPr>
              <a:t> Income and After-Tax Income by Quintile, Canada, 2022</a:t>
            </a:r>
            <a:endParaRPr lang="en-US" sz="1300" b="1" i="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17662362739324394"/>
          <c:y val="1.76669867130149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'2022 Graphs Canada (Federal)'!$B$3</c:f>
              <c:strCache>
                <c:ptCount val="1"/>
                <c:pt idx="0">
                  <c:v>Shares of Before-Tax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'2022 Graphs Canada (Federal)'!$A$4:$A$8</c:f>
              <c:strCache>
                <c:ptCount val="5"/>
                <c:pt idx="0">
                  <c:v>Lowest Quintile</c:v>
                </c:pt>
                <c:pt idx="1">
                  <c:v>Second Quintile</c:v>
                </c:pt>
                <c:pt idx="2">
                  <c:v>Third Quintile</c:v>
                </c:pt>
                <c:pt idx="3">
                  <c:v>Fourth Quintile</c:v>
                </c:pt>
                <c:pt idx="4">
                  <c:v>Highest Quintile</c:v>
                </c:pt>
              </c:strCache>
            </c:strRef>
          </c:cat>
          <c:val>
            <c:numRef>
              <c:f>'2022 Graphs Canada (Federal)'!$B$4:$B$8</c:f>
              <c:numCache>
                <c:formatCode>0.00%</c:formatCode>
                <c:ptCount val="5"/>
                <c:pt idx="0">
                  <c:v>3.3013538827770098E-2</c:v>
                </c:pt>
                <c:pt idx="1">
                  <c:v>8.007994377367128E-2</c:v>
                </c:pt>
                <c:pt idx="2">
                  <c:v>0.13709585540471225</c:v>
                </c:pt>
                <c:pt idx="3">
                  <c:v>0.22291256052494476</c:v>
                </c:pt>
                <c:pt idx="4">
                  <c:v>0.52689810158016426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EF-7542-BCA0-1856410D4EEA}"/>
            </c:ext>
          </c:extLst>
        </c:ser>
        <c:ser>
          <c:idx val="1"/>
          <c:order val="1"/>
          <c:tx>
            <c:strRef>
              <c:f>'2022 Graphs Canada (Federal)'!$C$3</c:f>
              <c:strCache>
                <c:ptCount val="1"/>
                <c:pt idx="0">
                  <c:v>Shares of After-Tax 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5.8651026392961608E-3"/>
                  <c:y val="1.95312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5EF-7542-BCA0-1856410D4EEA}"/>
                </c:ext>
              </c:extLst>
            </c:dLbl>
            <c:dLbl>
              <c:idx val="1"/>
              <c:layout>
                <c:manualLayout>
                  <c:x val="1.4662756598240469E-3"/>
                  <c:y val="1.95312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5EF-7542-BCA0-1856410D4EEA}"/>
                </c:ext>
              </c:extLst>
            </c:dLbl>
            <c:dLbl>
              <c:idx val="2"/>
              <c:layout>
                <c:manualLayout>
                  <c:x val="5.8651026392960801E-3"/>
                  <c:y val="-1.95312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5EF-7542-BCA0-1856410D4EEA}"/>
                </c:ext>
              </c:extLst>
            </c:dLbl>
            <c:dLbl>
              <c:idx val="3"/>
              <c:layout>
                <c:manualLayout>
                  <c:x val="7.331378299120235E-3"/>
                  <c:y val="1.95312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5EF-7542-BCA0-1856410D4E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'2022 Graphs Canada (Federal)'!$A$4:$A$8</c:f>
              <c:strCache>
                <c:ptCount val="5"/>
                <c:pt idx="0">
                  <c:v>Lowest Quintile</c:v>
                </c:pt>
                <c:pt idx="1">
                  <c:v>Second Quintile</c:v>
                </c:pt>
                <c:pt idx="2">
                  <c:v>Third Quintile</c:v>
                </c:pt>
                <c:pt idx="3">
                  <c:v>Fourth Quintile</c:v>
                </c:pt>
                <c:pt idx="4">
                  <c:v>Highest Quintile</c:v>
                </c:pt>
              </c:strCache>
            </c:strRef>
          </c:cat>
          <c:val>
            <c:numRef>
              <c:f>'2022 Graphs Canada (Federal)'!$C$4:$C$8</c:f>
              <c:numCache>
                <c:formatCode>0.00%</c:formatCode>
                <c:ptCount val="5"/>
                <c:pt idx="0">
                  <c:v>3.6623179738177684E-2</c:v>
                </c:pt>
                <c:pt idx="1">
                  <c:v>8.6437457796771949E-2</c:v>
                </c:pt>
                <c:pt idx="2">
                  <c:v>0.14341021618715688</c:v>
                </c:pt>
                <c:pt idx="3">
                  <c:v>0.22683521563832887</c:v>
                </c:pt>
                <c:pt idx="4">
                  <c:v>0.50669393082538283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5EF-7542-BCA0-1856410D4E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91259567"/>
        <c:axId val="1291261279"/>
      </c:barChart>
      <c:catAx>
        <c:axId val="129125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91261279"/>
        <c:crosses val="autoZero"/>
        <c:auto val="1"/>
        <c:lblAlgn val="ctr"/>
        <c:lblOffset val="100"/>
        <c:noMultiLvlLbl val="0"/>
      </c:catAx>
      <c:valAx>
        <c:axId val="129126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91259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3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Shares of Before-Tax Income and Shares of Taxes Paid by Quintile, Canada,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'2022 Graphs Canada (Federal)'!$B$11</c:f>
              <c:strCache>
                <c:ptCount val="1"/>
                <c:pt idx="0">
                  <c:v>Shares of Before-Tax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'2022 Graphs Canada (Federal)'!$A$12:$A$16</c:f>
              <c:strCache>
                <c:ptCount val="5"/>
                <c:pt idx="0">
                  <c:v>Lowest Quintile</c:v>
                </c:pt>
                <c:pt idx="1">
                  <c:v>Second Quintile</c:v>
                </c:pt>
                <c:pt idx="2">
                  <c:v>Third Quintile</c:v>
                </c:pt>
                <c:pt idx="3">
                  <c:v>Fourth Quintile</c:v>
                </c:pt>
                <c:pt idx="4">
                  <c:v>Highest Quintile</c:v>
                </c:pt>
              </c:strCache>
            </c:strRef>
          </c:cat>
          <c:val>
            <c:numRef>
              <c:f>'2022 Graphs Canada (Federal)'!$B$12:$B$16</c:f>
              <c:numCache>
                <c:formatCode>0.00%</c:formatCode>
                <c:ptCount val="5"/>
                <c:pt idx="0">
                  <c:v>3.3013538827770098E-2</c:v>
                </c:pt>
                <c:pt idx="1">
                  <c:v>8.007994377367128E-2</c:v>
                </c:pt>
                <c:pt idx="2">
                  <c:v>0.13709585540471225</c:v>
                </c:pt>
                <c:pt idx="3">
                  <c:v>0.22291256052494476</c:v>
                </c:pt>
                <c:pt idx="4">
                  <c:v>0.52689810158016426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2D-0E49-B8E3-CDC9A802386C}"/>
            </c:ext>
          </c:extLst>
        </c:ser>
        <c:ser>
          <c:idx val="1"/>
          <c:order val="1"/>
          <c:tx>
            <c:strRef>
              <c:f>'2022 Graphs Canada (Federal)'!$C$11</c:f>
              <c:strCache>
                <c:ptCount val="1"/>
                <c:pt idx="0">
                  <c:v>Shares of Taxes Paid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'2022 Graphs Canada (Federal)'!$A$12:$A$16</c:f>
              <c:strCache>
                <c:ptCount val="5"/>
                <c:pt idx="0">
                  <c:v>Lowest Quintile</c:v>
                </c:pt>
                <c:pt idx="1">
                  <c:v>Second Quintile</c:v>
                </c:pt>
                <c:pt idx="2">
                  <c:v>Third Quintile</c:v>
                </c:pt>
                <c:pt idx="3">
                  <c:v>Fourth Quintile</c:v>
                </c:pt>
                <c:pt idx="4">
                  <c:v>Highest Quintile</c:v>
                </c:pt>
              </c:strCache>
            </c:strRef>
          </c:cat>
          <c:val>
            <c:numRef>
              <c:f>'2022 Graphs Canada (Federal)'!$C$12:$C$16</c:f>
              <c:numCache>
                <c:formatCode>0.00%</c:formatCode>
                <c:ptCount val="5"/>
                <c:pt idx="0">
                  <c:v>1.1799496452451449E-3</c:v>
                </c:pt>
                <c:pt idx="1">
                  <c:v>2.4012735246084806E-2</c:v>
                </c:pt>
                <c:pt idx="2">
                  <c:v>8.1409217290924485E-2</c:v>
                </c:pt>
                <c:pt idx="3">
                  <c:v>0.18831848469203838</c:v>
                </c:pt>
                <c:pt idx="4">
                  <c:v>0.70507961257946083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2D-0E49-B8E3-CDC9A80238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22735488"/>
        <c:axId val="522737200"/>
      </c:barChart>
      <c:catAx>
        <c:axId val="52273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2737200"/>
        <c:crosses val="autoZero"/>
        <c:auto val="1"/>
        <c:lblAlgn val="ctr"/>
        <c:lblOffset val="100"/>
        <c:noMultiLvlLbl val="0"/>
      </c:catAx>
      <c:valAx>
        <c:axId val="52273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2735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Shares of Before-Tax Income and After-Tax Income by Quintile, Canada, 1992</a:t>
            </a:r>
          </a:p>
        </c:rich>
      </c:tx>
      <c:layout>
        <c:manualLayout>
          <c:xMode val="edge"/>
          <c:yMode val="edge"/>
          <c:x val="0.1889753566796368"/>
          <c:y val="1.32450331125827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'1992 Graphs Canada (Federal)'!$B$3</c:f>
              <c:strCache>
                <c:ptCount val="1"/>
                <c:pt idx="0">
                  <c:v>Shares of Before-Tax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'1992 Graphs Canada (Federal)'!$A$4:$A$8</c:f>
              <c:strCache>
                <c:ptCount val="5"/>
                <c:pt idx="0">
                  <c:v>Lowest Quintile</c:v>
                </c:pt>
                <c:pt idx="1">
                  <c:v>Second Quintile</c:v>
                </c:pt>
                <c:pt idx="2">
                  <c:v>Third Quintile</c:v>
                </c:pt>
                <c:pt idx="3">
                  <c:v>Fourth Quintile</c:v>
                </c:pt>
                <c:pt idx="4">
                  <c:v>Highest Quintile</c:v>
                </c:pt>
              </c:strCache>
            </c:strRef>
          </c:cat>
          <c:val>
            <c:numRef>
              <c:f>'1992 Graphs Canada (Federal)'!$B$4:$B$8</c:f>
              <c:numCache>
                <c:formatCode>0.00%</c:formatCode>
                <c:ptCount val="5"/>
                <c:pt idx="0">
                  <c:v>3.9403562865787049E-2</c:v>
                </c:pt>
                <c:pt idx="1">
                  <c:v>8.9693125473511742E-2</c:v>
                </c:pt>
                <c:pt idx="2">
                  <c:v>0.15370932436625542</c:v>
                </c:pt>
                <c:pt idx="3">
                  <c:v>0.23918023153785348</c:v>
                </c:pt>
                <c:pt idx="4">
                  <c:v>0.47801375575659227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23-594F-B772-88023308D05F}"/>
            </c:ext>
          </c:extLst>
        </c:ser>
        <c:ser>
          <c:idx val="1"/>
          <c:order val="1"/>
          <c:tx>
            <c:strRef>
              <c:f>'1992 Graphs Canada (Federal)'!$C$3</c:f>
              <c:strCache>
                <c:ptCount val="1"/>
                <c:pt idx="0">
                  <c:v>Shares of After-Tax 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'1992 Graphs Canada (Federal)'!$A$4:$A$8</c:f>
              <c:strCache>
                <c:ptCount val="5"/>
                <c:pt idx="0">
                  <c:v>Lowest Quintile</c:v>
                </c:pt>
                <c:pt idx="1">
                  <c:v>Second Quintile</c:v>
                </c:pt>
                <c:pt idx="2">
                  <c:v>Third Quintile</c:v>
                </c:pt>
                <c:pt idx="3">
                  <c:v>Fourth Quintile</c:v>
                </c:pt>
                <c:pt idx="4">
                  <c:v>Highest Quintile</c:v>
                </c:pt>
              </c:strCache>
            </c:strRef>
          </c:cat>
          <c:val>
            <c:numRef>
              <c:f>'1992 Graphs Canada (Federal)'!$C$4:$C$8</c:f>
              <c:numCache>
                <c:formatCode>0.00%</c:formatCode>
                <c:ptCount val="5"/>
                <c:pt idx="0">
                  <c:v>4.3984753775429181E-2</c:v>
                </c:pt>
                <c:pt idx="1">
                  <c:v>9.6660376493860597E-2</c:v>
                </c:pt>
                <c:pt idx="2">
                  <c:v>0.15914221628903139</c:v>
                </c:pt>
                <c:pt idx="3">
                  <c:v>0.23964243442098765</c:v>
                </c:pt>
                <c:pt idx="4">
                  <c:v>0.46057021878726689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23-594F-B772-88023308D0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6873632"/>
        <c:axId val="426875344"/>
      </c:barChart>
      <c:catAx>
        <c:axId val="42687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6875344"/>
        <c:crosses val="autoZero"/>
        <c:auto val="1"/>
        <c:lblAlgn val="ctr"/>
        <c:lblOffset val="100"/>
        <c:noMultiLvlLbl val="0"/>
      </c:catAx>
      <c:valAx>
        <c:axId val="42687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687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Shares of Before-Tax Income and Shares of Taxes Paid by Quintile, Canada, 1992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'1992 Graphs Canada (Federal)'!$B$10</c:f>
              <c:strCache>
                <c:ptCount val="1"/>
                <c:pt idx="0">
                  <c:v>Shares of Before-Tax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'1992 Graphs Canada (Federal)'!$A$11:$A$15</c:f>
              <c:strCache>
                <c:ptCount val="5"/>
                <c:pt idx="0">
                  <c:v>Lowest Quintile</c:v>
                </c:pt>
                <c:pt idx="1">
                  <c:v>Second Quintile</c:v>
                </c:pt>
                <c:pt idx="2">
                  <c:v>Third Quintile</c:v>
                </c:pt>
                <c:pt idx="3">
                  <c:v>Fourth Quintile</c:v>
                </c:pt>
                <c:pt idx="4">
                  <c:v>Highest Quintile</c:v>
                </c:pt>
              </c:strCache>
            </c:strRef>
          </c:cat>
          <c:val>
            <c:numRef>
              <c:f>'1992 Graphs Canada (Federal)'!$B$11:$B$15</c:f>
              <c:numCache>
                <c:formatCode>0.00%</c:formatCode>
                <c:ptCount val="5"/>
                <c:pt idx="0">
                  <c:v>3.9403562865787049E-2</c:v>
                </c:pt>
                <c:pt idx="1">
                  <c:v>8.9693125473511742E-2</c:v>
                </c:pt>
                <c:pt idx="2">
                  <c:v>0.15370932436625542</c:v>
                </c:pt>
                <c:pt idx="3">
                  <c:v>0.23918023153785348</c:v>
                </c:pt>
                <c:pt idx="4">
                  <c:v>0.47801375575659227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FB-204D-9720-2DB300ADE818}"/>
            </c:ext>
          </c:extLst>
        </c:ser>
        <c:ser>
          <c:idx val="1"/>
          <c:order val="1"/>
          <c:tx>
            <c:strRef>
              <c:f>'1992 Graphs Canada (Federal)'!$C$10</c:f>
              <c:strCache>
                <c:ptCount val="1"/>
                <c:pt idx="0">
                  <c:v>Shares of Taxes Paid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'1992 Graphs Canada (Federal)'!$A$11:$A$15</c:f>
              <c:strCache>
                <c:ptCount val="5"/>
                <c:pt idx="0">
                  <c:v>Lowest Quintile</c:v>
                </c:pt>
                <c:pt idx="1">
                  <c:v>Second Quintile</c:v>
                </c:pt>
                <c:pt idx="2">
                  <c:v>Third Quintile</c:v>
                </c:pt>
                <c:pt idx="3">
                  <c:v>Fourth Quintile</c:v>
                </c:pt>
                <c:pt idx="4">
                  <c:v>Highest Quintile</c:v>
                </c:pt>
              </c:strCache>
            </c:strRef>
          </c:cat>
          <c:val>
            <c:numRef>
              <c:f>'1992 Graphs Canada (Federal)'!$C$11:$C$15</c:f>
              <c:numCache>
                <c:formatCode>0.00%</c:formatCode>
                <c:ptCount val="5"/>
                <c:pt idx="0">
                  <c:v>3.5117828092719344E-3</c:v>
                </c:pt>
                <c:pt idx="1">
                  <c:v>3.5107528375916387E-2</c:v>
                </c:pt>
                <c:pt idx="2">
                  <c:v>0.11114481094406212</c:v>
                </c:pt>
                <c:pt idx="3">
                  <c:v>0.23555905867033058</c:v>
                </c:pt>
                <c:pt idx="4">
                  <c:v>0.61467682102920396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FB-204D-9720-2DB300ADE8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6873632"/>
        <c:axId val="426875344"/>
      </c:barChart>
      <c:catAx>
        <c:axId val="42687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6875344"/>
        <c:crosses val="autoZero"/>
        <c:auto val="1"/>
        <c:lblAlgn val="ctr"/>
        <c:lblOffset val="100"/>
        <c:noMultiLvlLbl val="0"/>
      </c:catAx>
      <c:valAx>
        <c:axId val="42687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687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Shares of Before-Tax Income and After-Tax Income by Quintile, Canada, 1992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'1992 Graphs Canada (Fed &amp; Prov)'!$B$3</c:f>
              <c:strCache>
                <c:ptCount val="1"/>
                <c:pt idx="0">
                  <c:v>Shares of Before-Tax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'1992 Graphs Canada (Fed &amp; Prov)'!$A$4:$A$8</c:f>
              <c:strCache>
                <c:ptCount val="5"/>
                <c:pt idx="0">
                  <c:v>Lowest Quintile</c:v>
                </c:pt>
                <c:pt idx="1">
                  <c:v>Second Quintile</c:v>
                </c:pt>
                <c:pt idx="2">
                  <c:v>Third Quintile</c:v>
                </c:pt>
                <c:pt idx="3">
                  <c:v>Fourth Quintile</c:v>
                </c:pt>
                <c:pt idx="4">
                  <c:v>Highest Quintile</c:v>
                </c:pt>
              </c:strCache>
            </c:strRef>
          </c:cat>
          <c:val>
            <c:numRef>
              <c:f>'1992 Graphs Canada (Fed &amp; Prov)'!$B$4:$B$8</c:f>
              <c:numCache>
                <c:formatCode>0.00%</c:formatCode>
                <c:ptCount val="5"/>
                <c:pt idx="0">
                  <c:v>3.9403562865787049E-2</c:v>
                </c:pt>
                <c:pt idx="1">
                  <c:v>8.9693125473511742E-2</c:v>
                </c:pt>
                <c:pt idx="2">
                  <c:v>0.15370932436625542</c:v>
                </c:pt>
                <c:pt idx="3">
                  <c:v>0.23918023153785348</c:v>
                </c:pt>
                <c:pt idx="4">
                  <c:v>0.47801375575659227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26-DE43-A8EC-80F338A36C0E}"/>
            </c:ext>
          </c:extLst>
        </c:ser>
        <c:ser>
          <c:idx val="1"/>
          <c:order val="1"/>
          <c:tx>
            <c:strRef>
              <c:f>'1992 Graphs Canada (Fed &amp; Prov)'!$C$3</c:f>
              <c:strCache>
                <c:ptCount val="1"/>
                <c:pt idx="0">
                  <c:v>Shares of After-Tax 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'1992 Graphs Canada (Fed &amp; Prov)'!$A$4:$A$8</c:f>
              <c:strCache>
                <c:ptCount val="5"/>
                <c:pt idx="0">
                  <c:v>Lowest Quintile</c:v>
                </c:pt>
                <c:pt idx="1">
                  <c:v>Second Quintile</c:v>
                </c:pt>
                <c:pt idx="2">
                  <c:v>Third Quintile</c:v>
                </c:pt>
                <c:pt idx="3">
                  <c:v>Fourth Quintile</c:v>
                </c:pt>
                <c:pt idx="4">
                  <c:v>Highest Quintile</c:v>
                </c:pt>
              </c:strCache>
            </c:strRef>
          </c:cat>
          <c:val>
            <c:numRef>
              <c:f>'1992 Graphs Canada (Fed &amp; Prov)'!$C$4:$C$8</c:f>
              <c:numCache>
                <c:formatCode>0.00%</c:formatCode>
                <c:ptCount val="5"/>
                <c:pt idx="0">
                  <c:v>4.7602014225195319E-2</c:v>
                </c:pt>
                <c:pt idx="1">
                  <c:v>0.10210128965705194</c:v>
                </c:pt>
                <c:pt idx="2">
                  <c:v>0.16323799944131162</c:v>
                </c:pt>
                <c:pt idx="3">
                  <c:v>0.23940317177899617</c:v>
                </c:pt>
                <c:pt idx="4">
                  <c:v>0.44765552489744498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26-DE43-A8EC-80F338A36C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6873632"/>
        <c:axId val="426875344"/>
      </c:barChart>
      <c:catAx>
        <c:axId val="42687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6875344"/>
        <c:crosses val="autoZero"/>
        <c:auto val="1"/>
        <c:lblAlgn val="ctr"/>
        <c:lblOffset val="100"/>
        <c:noMultiLvlLbl val="0"/>
      </c:catAx>
      <c:valAx>
        <c:axId val="42687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687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Shares of Before-Tax Income and Shares of Taxes Paid by Quintile, Canada, 1992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'1992 Graphs Canada (Fed &amp; Prov)'!$B$11</c:f>
              <c:strCache>
                <c:ptCount val="1"/>
                <c:pt idx="0">
                  <c:v>Shares of Before-Tax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'1992 Graphs Canada (Fed &amp; Prov)'!$A$12:$A$16</c:f>
              <c:strCache>
                <c:ptCount val="5"/>
                <c:pt idx="0">
                  <c:v>Lowest Quintile</c:v>
                </c:pt>
                <c:pt idx="1">
                  <c:v>Second Quintile</c:v>
                </c:pt>
                <c:pt idx="2">
                  <c:v>Third Quintile</c:v>
                </c:pt>
                <c:pt idx="3">
                  <c:v>Fourth Quintile</c:v>
                </c:pt>
                <c:pt idx="4">
                  <c:v>Highest Quintile</c:v>
                </c:pt>
              </c:strCache>
            </c:strRef>
          </c:cat>
          <c:val>
            <c:numRef>
              <c:f>'1992 Graphs Canada (Fed &amp; Prov)'!$B$12:$B$16</c:f>
              <c:numCache>
                <c:formatCode>0.00%</c:formatCode>
                <c:ptCount val="5"/>
                <c:pt idx="0">
                  <c:v>3.9403562865787049E-2</c:v>
                </c:pt>
                <c:pt idx="1">
                  <c:v>8.9693125473511742E-2</c:v>
                </c:pt>
                <c:pt idx="2">
                  <c:v>0.15370932436625542</c:v>
                </c:pt>
                <c:pt idx="3">
                  <c:v>0.23918023153785348</c:v>
                </c:pt>
                <c:pt idx="4">
                  <c:v>0.47801375575659227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E5-8B4F-80F7-EDB7794BA111}"/>
            </c:ext>
          </c:extLst>
        </c:ser>
        <c:ser>
          <c:idx val="1"/>
          <c:order val="1"/>
          <c:tx>
            <c:strRef>
              <c:f>'1992 Graphs Canada (Fed &amp; Prov)'!$C$11</c:f>
              <c:strCache>
                <c:ptCount val="1"/>
                <c:pt idx="0">
                  <c:v>Shares of Taxes Paid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'1992 Graphs Canada (Fed &amp; Prov)'!$A$12:$A$16</c:f>
              <c:strCache>
                <c:ptCount val="5"/>
                <c:pt idx="0">
                  <c:v>Lowest Quintile</c:v>
                </c:pt>
                <c:pt idx="1">
                  <c:v>Second Quintile</c:v>
                </c:pt>
                <c:pt idx="2">
                  <c:v>Third Quintile</c:v>
                </c:pt>
                <c:pt idx="3">
                  <c:v>Fourth Quintile</c:v>
                </c:pt>
                <c:pt idx="4">
                  <c:v>Highest Quintile</c:v>
                </c:pt>
              </c:strCache>
            </c:strRef>
          </c:cat>
          <c:val>
            <c:numRef>
              <c:f>'1992 Graphs Canada (Fed &amp; Prov)'!$C$12:$C$16</c:f>
              <c:numCache>
                <c:formatCode>0.00%</c:formatCode>
                <c:ptCount val="5"/>
                <c:pt idx="0">
                  <c:v>3.0758270279075818E-3</c:v>
                </c:pt>
                <c:pt idx="1">
                  <c:v>3.4711947817879507E-2</c:v>
                </c:pt>
                <c:pt idx="2">
                  <c:v>0.11148730268963826</c:v>
                </c:pt>
                <c:pt idx="3">
                  <c:v>0.23819237251023714</c:v>
                </c:pt>
                <c:pt idx="4">
                  <c:v>0.61253254995433748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E5-8B4F-80F7-EDB7794BA1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6873632"/>
        <c:axId val="426875344"/>
      </c:barChart>
      <c:catAx>
        <c:axId val="42687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6875344"/>
        <c:crosses val="autoZero"/>
        <c:auto val="1"/>
        <c:lblAlgn val="ctr"/>
        <c:lblOffset val="100"/>
        <c:noMultiLvlLbl val="0"/>
      </c:catAx>
      <c:valAx>
        <c:axId val="42687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687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100" b="1" i="0">
                <a:latin typeface="Arial" panose="020B0604020202020204" pitchFamily="34" charset="0"/>
                <a:cs typeface="Arial" panose="020B0604020202020204" pitchFamily="34" charset="0"/>
              </a:rPr>
              <a:t>Shares of Before-Tax</a:t>
            </a:r>
            <a:r>
              <a:rPr lang="en-US" sz="1100" b="1" i="0" baseline="0">
                <a:latin typeface="Arial" panose="020B0604020202020204" pitchFamily="34" charset="0"/>
                <a:cs typeface="Arial" panose="020B0604020202020204" pitchFamily="34" charset="0"/>
              </a:rPr>
              <a:t> Income and After-Tax Income by Quintile, Canada, 2022</a:t>
            </a:r>
            <a:endParaRPr lang="en-US" sz="1100" b="1" i="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20785651793525808"/>
          <c:y val="1.06100795755968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'2022 Graphs Canada (Fed &amp; Prov)'!$B$3</c:f>
              <c:strCache>
                <c:ptCount val="1"/>
                <c:pt idx="0">
                  <c:v>Shares of Before-Tax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'2022 Graphs Canada (Fed &amp; Prov)'!$A$4:$A$8</c:f>
              <c:strCache>
                <c:ptCount val="5"/>
                <c:pt idx="0">
                  <c:v>Lowest Quintile</c:v>
                </c:pt>
                <c:pt idx="1">
                  <c:v>Second Quintile</c:v>
                </c:pt>
                <c:pt idx="2">
                  <c:v>Third Quintile</c:v>
                </c:pt>
                <c:pt idx="3">
                  <c:v>Fourth Quintile</c:v>
                </c:pt>
                <c:pt idx="4">
                  <c:v>Highest Quintile</c:v>
                </c:pt>
              </c:strCache>
            </c:strRef>
          </c:cat>
          <c:val>
            <c:numRef>
              <c:f>'2022 Graphs Canada (Fed &amp; Prov)'!$B$4:$B$8</c:f>
              <c:numCache>
                <c:formatCode>0.00%</c:formatCode>
                <c:ptCount val="5"/>
                <c:pt idx="0">
                  <c:v>3.3013538827770118E-2</c:v>
                </c:pt>
                <c:pt idx="1">
                  <c:v>8.007994377367128E-2</c:v>
                </c:pt>
                <c:pt idx="2">
                  <c:v>0.13709585540471225</c:v>
                </c:pt>
                <c:pt idx="3">
                  <c:v>0.22291256052494476</c:v>
                </c:pt>
                <c:pt idx="4">
                  <c:v>0.52689810158016426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D5-5A4D-BC34-DC460679AC43}"/>
            </c:ext>
          </c:extLst>
        </c:ser>
        <c:ser>
          <c:idx val="1"/>
          <c:order val="1"/>
          <c:tx>
            <c:strRef>
              <c:f>'2022 Graphs Canada (Fed &amp; Prov)'!$C$3</c:f>
              <c:strCache>
                <c:ptCount val="1"/>
                <c:pt idx="0">
                  <c:v>Shares of After-Tax 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5.8651026392961608E-3"/>
                  <c:y val="1.95312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DD5-5A4D-BC34-DC460679AC43}"/>
                </c:ext>
              </c:extLst>
            </c:dLbl>
            <c:dLbl>
              <c:idx val="1"/>
              <c:layout>
                <c:manualLayout>
                  <c:x val="1.4662756598240469E-3"/>
                  <c:y val="1.95312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DD5-5A4D-BC34-DC460679AC43}"/>
                </c:ext>
              </c:extLst>
            </c:dLbl>
            <c:dLbl>
              <c:idx val="2"/>
              <c:layout>
                <c:manualLayout>
                  <c:x val="5.8651026392960801E-3"/>
                  <c:y val="-1.95312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DD5-5A4D-BC34-DC460679AC43}"/>
                </c:ext>
              </c:extLst>
            </c:dLbl>
            <c:dLbl>
              <c:idx val="3"/>
              <c:layout>
                <c:manualLayout>
                  <c:x val="7.331378299120235E-3"/>
                  <c:y val="1.95312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DD5-5A4D-BC34-DC460679AC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'2022 Graphs Canada (Fed &amp; Prov)'!$A$4:$A$8</c:f>
              <c:strCache>
                <c:ptCount val="5"/>
                <c:pt idx="0">
                  <c:v>Lowest Quintile</c:v>
                </c:pt>
                <c:pt idx="1">
                  <c:v>Second Quintile</c:v>
                </c:pt>
                <c:pt idx="2">
                  <c:v>Third Quintile</c:v>
                </c:pt>
                <c:pt idx="3">
                  <c:v>Fourth Quintile</c:v>
                </c:pt>
                <c:pt idx="4">
                  <c:v>Highest Quintile</c:v>
                </c:pt>
              </c:strCache>
            </c:strRef>
          </c:cat>
          <c:val>
            <c:numRef>
              <c:f>'2022 Graphs Canada (Fed &amp; Prov)'!$C$4:$C$8</c:f>
              <c:numCache>
                <c:formatCode>0.00%</c:formatCode>
                <c:ptCount val="5"/>
                <c:pt idx="0">
                  <c:v>3.9574489141718523E-2</c:v>
                </c:pt>
                <c:pt idx="1">
                  <c:v>9.1513494001593268E-2</c:v>
                </c:pt>
                <c:pt idx="2">
                  <c:v>0.1480173056624193</c:v>
                </c:pt>
                <c:pt idx="3">
                  <c:v>0.22940625389435179</c:v>
                </c:pt>
                <c:pt idx="4">
                  <c:v>0.49148845743403913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DD5-5A4D-BC34-DC460679AC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91259567"/>
        <c:axId val="1291261279"/>
      </c:barChart>
      <c:catAx>
        <c:axId val="129125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91261279"/>
        <c:crosses val="autoZero"/>
        <c:auto val="1"/>
        <c:lblAlgn val="ctr"/>
        <c:lblOffset val="100"/>
        <c:noMultiLvlLbl val="0"/>
      </c:catAx>
      <c:valAx>
        <c:axId val="129126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91259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3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Shares of Before-Tax Income and Shares of Taxes Paid by Quintile, Canada,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'2022 Graphs Canada (Fed &amp; Prov)'!$B$11</c:f>
              <c:strCache>
                <c:ptCount val="1"/>
                <c:pt idx="0">
                  <c:v>Shares of Before-Tax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'2022 Graphs Canada (Fed &amp; Prov)'!$A$12:$A$16</c:f>
              <c:strCache>
                <c:ptCount val="5"/>
                <c:pt idx="0">
                  <c:v>Lowest Quintile</c:v>
                </c:pt>
                <c:pt idx="1">
                  <c:v>Second Quintile</c:v>
                </c:pt>
                <c:pt idx="2">
                  <c:v>Third Quintile</c:v>
                </c:pt>
                <c:pt idx="3">
                  <c:v>Fourth Quintile</c:v>
                </c:pt>
                <c:pt idx="4">
                  <c:v>Highest Quintile</c:v>
                </c:pt>
              </c:strCache>
            </c:strRef>
          </c:cat>
          <c:val>
            <c:numRef>
              <c:f>'2022 Graphs Canada (Fed &amp; Prov)'!$B$12:$B$16</c:f>
              <c:numCache>
                <c:formatCode>0.00%</c:formatCode>
                <c:ptCount val="5"/>
                <c:pt idx="0">
                  <c:v>3.3013538827770118E-2</c:v>
                </c:pt>
                <c:pt idx="1">
                  <c:v>8.007994377367128E-2</c:v>
                </c:pt>
                <c:pt idx="2">
                  <c:v>0.13709585540471225</c:v>
                </c:pt>
                <c:pt idx="3">
                  <c:v>0.22291256052494476</c:v>
                </c:pt>
                <c:pt idx="4">
                  <c:v>0.52689810158016426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A5-2940-84E9-7E17B4FB2842}"/>
            </c:ext>
          </c:extLst>
        </c:ser>
        <c:ser>
          <c:idx val="1"/>
          <c:order val="1"/>
          <c:tx>
            <c:strRef>
              <c:f>'2022 Graphs Canada (Fed &amp; Prov)'!$C$11</c:f>
              <c:strCache>
                <c:ptCount val="1"/>
                <c:pt idx="0">
                  <c:v>Shares of Taxes Paid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'2022 Graphs Canada (Fed &amp; Prov)'!$A$12:$A$16</c:f>
              <c:strCache>
                <c:ptCount val="5"/>
                <c:pt idx="0">
                  <c:v>Lowest Quintile</c:v>
                </c:pt>
                <c:pt idx="1">
                  <c:v>Second Quintile</c:v>
                </c:pt>
                <c:pt idx="2">
                  <c:v>Third Quintile</c:v>
                </c:pt>
                <c:pt idx="3">
                  <c:v>Fourth Quintile</c:v>
                </c:pt>
                <c:pt idx="4">
                  <c:v>Highest Quintile</c:v>
                </c:pt>
              </c:strCache>
            </c:strRef>
          </c:cat>
          <c:val>
            <c:numRef>
              <c:f>'2022 Graphs Canada (Fed &amp; Prov)'!$C$12:$C$16</c:f>
              <c:numCache>
                <c:formatCode>0.00%</c:formatCode>
                <c:ptCount val="5"/>
                <c:pt idx="0">
                  <c:v>1.0796561304757053E-3</c:v>
                </c:pt>
                <c:pt idx="1">
                  <c:v>2.4429826897179537E-2</c:v>
                </c:pt>
                <c:pt idx="2">
                  <c:v>8.3938264701351933E-2</c:v>
                </c:pt>
                <c:pt idx="3">
                  <c:v>0.19130603518821399</c:v>
                </c:pt>
                <c:pt idx="4">
                  <c:v>0.69924621708277879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A5-2940-84E9-7E17B4FB28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22735488"/>
        <c:axId val="522737200"/>
      </c:barChart>
      <c:catAx>
        <c:axId val="52273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2737200"/>
        <c:crosses val="autoZero"/>
        <c:auto val="1"/>
        <c:lblAlgn val="ctr"/>
        <c:lblOffset val="100"/>
        <c:noMultiLvlLbl val="0"/>
      </c:catAx>
      <c:valAx>
        <c:axId val="52273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2735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 i="0">
                <a:latin typeface="Arial" panose="020B0604020202020204" pitchFamily="34" charset="0"/>
                <a:cs typeface="Arial" panose="020B0604020202020204" pitchFamily="34" charset="0"/>
              </a:rPr>
              <a:t>Shares of Before-Tax</a:t>
            </a:r>
            <a:r>
              <a:rPr lang="en-US" sz="1400" b="1" i="0" baseline="0">
                <a:latin typeface="Arial" panose="020B0604020202020204" pitchFamily="34" charset="0"/>
                <a:cs typeface="Arial" panose="020B0604020202020204" pitchFamily="34" charset="0"/>
              </a:rPr>
              <a:t> Income and After-Tax Income by Quintile, US, 2021</a:t>
            </a:r>
          </a:p>
        </c:rich>
      </c:tx>
      <c:layout>
        <c:manualLayout>
          <c:xMode val="edge"/>
          <c:yMode val="edge"/>
          <c:x val="0.21682237447591779"/>
          <c:y val="1.06100795755968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'2021 Graphs US'!$B$5</c:f>
              <c:strCache>
                <c:ptCount val="1"/>
                <c:pt idx="0">
                  <c:v>Shares of Before-Tax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'2021 Graphs US'!$A$6:$A$10</c:f>
              <c:strCache>
                <c:ptCount val="5"/>
                <c:pt idx="0">
                  <c:v>Lowest Quintile</c:v>
                </c:pt>
                <c:pt idx="1">
                  <c:v>Second Quintile</c:v>
                </c:pt>
                <c:pt idx="2">
                  <c:v>Third Quintile</c:v>
                </c:pt>
                <c:pt idx="3">
                  <c:v>Fourth Quintile</c:v>
                </c:pt>
                <c:pt idx="4">
                  <c:v>Highest Quintile</c:v>
                </c:pt>
              </c:strCache>
            </c:strRef>
          </c:cat>
          <c:val>
            <c:numRef>
              <c:f>'2021 Graphs US'!$B$6:$B$10</c:f>
              <c:numCache>
                <c:formatCode>0.00%</c:formatCode>
                <c:ptCount val="5"/>
                <c:pt idx="0">
                  <c:v>3.3000000000000002E-2</c:v>
                </c:pt>
                <c:pt idx="1">
                  <c:v>7.8E-2</c:v>
                </c:pt>
                <c:pt idx="2">
                  <c:v>0.12300000000000001</c:v>
                </c:pt>
                <c:pt idx="3">
                  <c:v>0.187</c:v>
                </c:pt>
                <c:pt idx="4">
                  <c:v>0.58799999999999997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84-134B-BFEC-0C4CE57F0148}"/>
            </c:ext>
          </c:extLst>
        </c:ser>
        <c:ser>
          <c:idx val="1"/>
          <c:order val="1"/>
          <c:tx>
            <c:strRef>
              <c:f>'2021 Graphs US'!$C$5</c:f>
              <c:strCache>
                <c:ptCount val="1"/>
                <c:pt idx="0">
                  <c:v>Shares of After-Tax 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5.8651026392960801E-3"/>
                  <c:y val="-1.95312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84-134B-BFEC-0C4CE57F0148}"/>
                </c:ext>
              </c:extLst>
            </c:dLbl>
            <c:dLbl>
              <c:idx val="1"/>
              <c:layout>
                <c:manualLayout>
                  <c:x val="7.331378299120235E-3"/>
                  <c:y val="1.95312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84-134B-BFEC-0C4CE57F01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'2021 Graphs US'!$A$6:$A$10</c:f>
              <c:strCache>
                <c:ptCount val="5"/>
                <c:pt idx="0">
                  <c:v>Lowest Quintile</c:v>
                </c:pt>
                <c:pt idx="1">
                  <c:v>Second Quintile</c:v>
                </c:pt>
                <c:pt idx="2">
                  <c:v>Third Quintile</c:v>
                </c:pt>
                <c:pt idx="3">
                  <c:v>Fourth Quintile</c:v>
                </c:pt>
                <c:pt idx="4">
                  <c:v>Highest Quintile</c:v>
                </c:pt>
              </c:strCache>
            </c:strRef>
          </c:cat>
          <c:val>
            <c:numRef>
              <c:f>'2021 Graphs US'!$C$6:$C$10</c:f>
              <c:numCache>
                <c:formatCode>0.00%</c:formatCode>
                <c:ptCount val="5"/>
                <c:pt idx="0">
                  <c:v>4.8000000000000001E-2</c:v>
                </c:pt>
                <c:pt idx="1">
                  <c:v>7.9000000000000001E-2</c:v>
                </c:pt>
                <c:pt idx="2">
                  <c:v>0.11900000000000001</c:v>
                </c:pt>
                <c:pt idx="3">
                  <c:v>0.18</c:v>
                </c:pt>
                <c:pt idx="4">
                  <c:v>0.58299999999999996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84-134B-BFEC-0C4CE57F01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91259567"/>
        <c:axId val="1291261279"/>
      </c:barChart>
      <c:catAx>
        <c:axId val="129125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91261279"/>
        <c:crosses val="autoZero"/>
        <c:auto val="1"/>
        <c:lblAlgn val="ctr"/>
        <c:lblOffset val="100"/>
        <c:noMultiLvlLbl val="0"/>
      </c:catAx>
      <c:valAx>
        <c:axId val="129126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91259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Shares of Before-Tax Income and Shares of Taxes Paid by Quintile, US,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8223684210526314E-2"/>
          <c:y val="0.1650641839745218"/>
          <c:w val="0.93072368421052631"/>
          <c:h val="0.819687774760164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'2021 Graphs US'!$B$13</c:f>
              <c:strCache>
                <c:ptCount val="1"/>
                <c:pt idx="0">
                  <c:v>Shares of Before-Tax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'2021 Graphs US'!$A$14:$A$18</c:f>
              <c:strCache>
                <c:ptCount val="5"/>
                <c:pt idx="0">
                  <c:v>Lowest Quintile</c:v>
                </c:pt>
                <c:pt idx="1">
                  <c:v>Second Quintile</c:v>
                </c:pt>
                <c:pt idx="2">
                  <c:v>Third Quintile</c:v>
                </c:pt>
                <c:pt idx="3">
                  <c:v>Fourth Quintile</c:v>
                </c:pt>
                <c:pt idx="4">
                  <c:v>Highest Quintile</c:v>
                </c:pt>
              </c:strCache>
            </c:strRef>
          </c:cat>
          <c:val>
            <c:numRef>
              <c:f>'2021 Graphs US'!$B$14:$B$18</c:f>
              <c:numCache>
                <c:formatCode>0.00%</c:formatCode>
                <c:ptCount val="5"/>
                <c:pt idx="0">
                  <c:v>3.3000000000000002E-2</c:v>
                </c:pt>
                <c:pt idx="1">
                  <c:v>7.8E-2</c:v>
                </c:pt>
                <c:pt idx="2">
                  <c:v>0.12300000000000001</c:v>
                </c:pt>
                <c:pt idx="3">
                  <c:v>0.187</c:v>
                </c:pt>
                <c:pt idx="4">
                  <c:v>0.58799999999999997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D4-894D-A315-8E10585143FB}"/>
            </c:ext>
          </c:extLst>
        </c:ser>
        <c:ser>
          <c:idx val="1"/>
          <c:order val="1"/>
          <c:tx>
            <c:strRef>
              <c:f>'2021 Graphs US'!$C$13</c:f>
              <c:strCache>
                <c:ptCount val="1"/>
                <c:pt idx="0">
                  <c:v>Shares of Taxes Paid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'2021 Graphs US'!$A$14:$A$18</c:f>
              <c:strCache>
                <c:ptCount val="5"/>
                <c:pt idx="0">
                  <c:v>Lowest Quintile</c:v>
                </c:pt>
                <c:pt idx="1">
                  <c:v>Second Quintile</c:v>
                </c:pt>
                <c:pt idx="2">
                  <c:v>Third Quintile</c:v>
                </c:pt>
                <c:pt idx="3">
                  <c:v>Fourth Quintile</c:v>
                </c:pt>
                <c:pt idx="4">
                  <c:v>Highest Quintile</c:v>
                </c:pt>
              </c:strCache>
            </c:strRef>
          </c:cat>
          <c:val>
            <c:numRef>
              <c:f>'2021 Graphs US'!$C$14:$C$18</c:f>
              <c:numCache>
                <c:formatCode>0.00%</c:formatCode>
                <c:ptCount val="5"/>
                <c:pt idx="0">
                  <c:v>-4.2999999999999997E-2</c:v>
                </c:pt>
                <c:pt idx="1">
                  <c:v>1E-3</c:v>
                </c:pt>
                <c:pt idx="2">
                  <c:v>5.5E-2</c:v>
                </c:pt>
                <c:pt idx="3">
                  <c:v>0.15</c:v>
                </c:pt>
                <c:pt idx="4">
                  <c:v>0.83599999999999997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D4-894D-A315-8E10585143F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22735488"/>
        <c:axId val="522737200"/>
      </c:barChart>
      <c:catAx>
        <c:axId val="52273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2737200"/>
        <c:crosses val="autoZero"/>
        <c:auto val="1"/>
        <c:lblAlgn val="ctr"/>
        <c:lblOffset val="100"/>
        <c:noMultiLvlLbl val="0"/>
      </c:catAx>
      <c:valAx>
        <c:axId val="52273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2735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 i="0">
                <a:latin typeface="Arial" panose="020B0604020202020204" pitchFamily="34" charset="0"/>
                <a:cs typeface="Arial" panose="020B0604020202020204" pitchFamily="34" charset="0"/>
              </a:rPr>
              <a:t>Shares of Before-Tax</a:t>
            </a:r>
            <a:r>
              <a:rPr lang="en-US" b="1" i="0" baseline="0">
                <a:latin typeface="Arial" panose="020B0604020202020204" pitchFamily="34" charset="0"/>
                <a:cs typeface="Arial" panose="020B0604020202020204" pitchFamily="34" charset="0"/>
              </a:rPr>
              <a:t> Income and After-Tax Income by Quintile, US, 1979</a:t>
            </a:r>
            <a:endParaRPr lang="en-US" b="1" i="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20253666019020347"/>
          <c:y val="2.652519893899204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'1979 Graphs US '!$B$5</c:f>
              <c:strCache>
                <c:ptCount val="1"/>
                <c:pt idx="0">
                  <c:v>Shares of Before-Tax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'1979 Graphs US '!$A$6:$A$10</c:f>
              <c:strCache>
                <c:ptCount val="5"/>
                <c:pt idx="0">
                  <c:v>Lowest Quintile</c:v>
                </c:pt>
                <c:pt idx="1">
                  <c:v>Second Quintile</c:v>
                </c:pt>
                <c:pt idx="2">
                  <c:v>Third Quintile</c:v>
                </c:pt>
                <c:pt idx="3">
                  <c:v>Fourth Quintile</c:v>
                </c:pt>
                <c:pt idx="4">
                  <c:v>Highest Quintile</c:v>
                </c:pt>
              </c:strCache>
            </c:strRef>
          </c:cat>
          <c:val>
            <c:numRef>
              <c:f>'1979 Graphs US '!$B$6:$B$10</c:f>
              <c:numCache>
                <c:formatCode>0.00%</c:formatCode>
                <c:ptCount val="5"/>
                <c:pt idx="0">
                  <c:v>0.05</c:v>
                </c:pt>
                <c:pt idx="1">
                  <c:v>0.11199999999999999</c:v>
                </c:pt>
                <c:pt idx="2">
                  <c:v>0.16</c:v>
                </c:pt>
                <c:pt idx="3">
                  <c:v>0.22399999999999998</c:v>
                </c:pt>
                <c:pt idx="4">
                  <c:v>0.45600000000000002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FE-BA4C-A11B-458BBB98455E}"/>
            </c:ext>
          </c:extLst>
        </c:ser>
        <c:ser>
          <c:idx val="1"/>
          <c:order val="1"/>
          <c:tx>
            <c:strRef>
              <c:f>'1979 Graphs US '!$C$5</c:f>
              <c:strCache>
                <c:ptCount val="1"/>
                <c:pt idx="0">
                  <c:v>Shares of After-Tax 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5.8651026392960801E-3"/>
                  <c:y val="-1.95312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6FE-BA4C-A11B-458BBB98455E}"/>
                </c:ext>
              </c:extLst>
            </c:dLbl>
            <c:dLbl>
              <c:idx val="1"/>
              <c:layout>
                <c:manualLayout>
                  <c:x val="7.331378299120235E-3"/>
                  <c:y val="1.95312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6FE-BA4C-A11B-458BBB9845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'1979 Graphs US '!$A$6:$A$10</c:f>
              <c:strCache>
                <c:ptCount val="5"/>
                <c:pt idx="0">
                  <c:v>Lowest Quintile</c:v>
                </c:pt>
                <c:pt idx="1">
                  <c:v>Second Quintile</c:v>
                </c:pt>
                <c:pt idx="2">
                  <c:v>Third Quintile</c:v>
                </c:pt>
                <c:pt idx="3">
                  <c:v>Fourth Quintile</c:v>
                </c:pt>
                <c:pt idx="4">
                  <c:v>Highest Quintile</c:v>
                </c:pt>
              </c:strCache>
            </c:strRef>
          </c:cat>
          <c:val>
            <c:numRef>
              <c:f>'1979 Graphs US '!$C$6:$C$10</c:f>
              <c:numCache>
                <c:formatCode>0.00%</c:formatCode>
                <c:ptCount val="5"/>
                <c:pt idx="0">
                  <c:v>5.5999999999999994E-2</c:v>
                </c:pt>
                <c:pt idx="1">
                  <c:v>0.109</c:v>
                </c:pt>
                <c:pt idx="2">
                  <c:v>0.161</c:v>
                </c:pt>
                <c:pt idx="3">
                  <c:v>0.22500000000000001</c:v>
                </c:pt>
                <c:pt idx="4">
                  <c:v>0.45299999999999996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6FE-BA4C-A11B-458BBB9845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91259567"/>
        <c:axId val="1291261279"/>
      </c:barChart>
      <c:catAx>
        <c:axId val="129125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91261279"/>
        <c:crosses val="autoZero"/>
        <c:auto val="1"/>
        <c:lblAlgn val="ctr"/>
        <c:lblOffset val="100"/>
        <c:noMultiLvlLbl val="0"/>
      </c:catAx>
      <c:valAx>
        <c:axId val="129126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91259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Shares of Before-Tax Income and Shares of Taxes Paid by Quintile, US, 1979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'1979 Graphs US '!$B$13</c:f>
              <c:strCache>
                <c:ptCount val="1"/>
                <c:pt idx="0">
                  <c:v>Shares of Before-Tax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'1979 Graphs US '!$A$14:$A$18</c:f>
              <c:strCache>
                <c:ptCount val="5"/>
                <c:pt idx="0">
                  <c:v>Lowest Quintile</c:v>
                </c:pt>
                <c:pt idx="1">
                  <c:v>Second Quintile</c:v>
                </c:pt>
                <c:pt idx="2">
                  <c:v>Third Quintile</c:v>
                </c:pt>
                <c:pt idx="3">
                  <c:v>Fourth Quintile</c:v>
                </c:pt>
                <c:pt idx="4">
                  <c:v>Highest Quintile</c:v>
                </c:pt>
              </c:strCache>
            </c:strRef>
          </c:cat>
          <c:val>
            <c:numRef>
              <c:f>'1979 Graphs US '!$B$14:$B$18</c:f>
              <c:numCache>
                <c:formatCode>0.00%</c:formatCode>
                <c:ptCount val="5"/>
                <c:pt idx="0">
                  <c:v>0.05</c:v>
                </c:pt>
                <c:pt idx="1">
                  <c:v>0.11199999999999999</c:v>
                </c:pt>
                <c:pt idx="2">
                  <c:v>0.16</c:v>
                </c:pt>
                <c:pt idx="3">
                  <c:v>0.22399999999999998</c:v>
                </c:pt>
                <c:pt idx="4">
                  <c:v>0.45600000000000002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B0-0C4A-81F0-70D39488BE2C}"/>
            </c:ext>
          </c:extLst>
        </c:ser>
        <c:ser>
          <c:idx val="1"/>
          <c:order val="1"/>
          <c:tx>
            <c:strRef>
              <c:f>'1979 Graphs US '!$C$13</c:f>
              <c:strCache>
                <c:ptCount val="1"/>
                <c:pt idx="0">
                  <c:v>Shares of Taxes Paid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'1979 Graphs US '!$A$14:$A$18</c:f>
              <c:strCache>
                <c:ptCount val="5"/>
                <c:pt idx="0">
                  <c:v>Lowest Quintile</c:v>
                </c:pt>
                <c:pt idx="1">
                  <c:v>Second Quintile</c:v>
                </c:pt>
                <c:pt idx="2">
                  <c:v>Third Quintile</c:v>
                </c:pt>
                <c:pt idx="3">
                  <c:v>Fourth Quintile</c:v>
                </c:pt>
                <c:pt idx="4">
                  <c:v>Highest Quintile</c:v>
                </c:pt>
              </c:strCache>
            </c:strRef>
          </c:cat>
          <c:val>
            <c:numRef>
              <c:f>'1979 Graphs US '!$C$14:$C$18</c:f>
              <c:numCache>
                <c:formatCode>0.00%</c:formatCode>
                <c:ptCount val="5"/>
                <c:pt idx="0">
                  <c:v>2.1000000000000001E-2</c:v>
                </c:pt>
                <c:pt idx="1">
                  <c:v>7.4999999999999997E-2</c:v>
                </c:pt>
                <c:pt idx="2">
                  <c:v>0.13600000000000001</c:v>
                </c:pt>
                <c:pt idx="3">
                  <c:v>0.21600000000000003</c:v>
                </c:pt>
                <c:pt idx="4">
                  <c:v>0.55100000000000005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B0-0C4A-81F0-70D39488BE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22735488"/>
        <c:axId val="522737200"/>
      </c:barChart>
      <c:catAx>
        <c:axId val="52273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2737200"/>
        <c:crosses val="autoZero"/>
        <c:auto val="1"/>
        <c:lblAlgn val="ctr"/>
        <c:lblOffset val="100"/>
        <c:noMultiLvlLbl val="0"/>
      </c:catAx>
      <c:valAx>
        <c:axId val="52273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2735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Shares of Before-Tax Income and Shares of Taxes Paid by Quintile, US, 1981</a:t>
            </a:r>
          </a:p>
        </c:rich>
      </c:tx>
      <c:layout>
        <c:manualLayout>
          <c:xMode val="edge"/>
          <c:yMode val="edge"/>
          <c:x val="0.1752639296187683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'Reagan Era'!$B$5</c:f>
              <c:strCache>
                <c:ptCount val="1"/>
                <c:pt idx="0">
                  <c:v>Shares of Before-Tax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'Reagan Era'!$A$6:$A$10</c:f>
              <c:strCache>
                <c:ptCount val="5"/>
                <c:pt idx="0">
                  <c:v>Lowest Quintile</c:v>
                </c:pt>
                <c:pt idx="1">
                  <c:v>Second Quintile</c:v>
                </c:pt>
                <c:pt idx="2">
                  <c:v>Third Quintile</c:v>
                </c:pt>
                <c:pt idx="3">
                  <c:v>Fourth Quintile</c:v>
                </c:pt>
                <c:pt idx="4">
                  <c:v>Highest Quintile</c:v>
                </c:pt>
              </c:strCache>
            </c:strRef>
          </c:cat>
          <c:val>
            <c:numRef>
              <c:f>'Reagan Era'!$B$6:$B$10</c:f>
              <c:numCache>
                <c:formatCode>0.00%</c:formatCode>
                <c:ptCount val="5"/>
                <c:pt idx="0">
                  <c:v>4.7E-2</c:v>
                </c:pt>
                <c:pt idx="1">
                  <c:v>0.109</c:v>
                </c:pt>
                <c:pt idx="2">
                  <c:v>0.161</c:v>
                </c:pt>
                <c:pt idx="3">
                  <c:v>0.22500000000000001</c:v>
                </c:pt>
                <c:pt idx="4">
                  <c:v>0.46200000000000002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14-3944-8F70-F370FFE7E1CF}"/>
            </c:ext>
          </c:extLst>
        </c:ser>
        <c:ser>
          <c:idx val="1"/>
          <c:order val="1"/>
          <c:tx>
            <c:strRef>
              <c:f>'Reagan Era'!$C$5</c:f>
              <c:strCache>
                <c:ptCount val="1"/>
                <c:pt idx="0">
                  <c:v>Shares of Taxes Paid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5.8651026392960801E-3"/>
                  <c:y val="-1.95312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14-3944-8F70-F370FFE7E1CF}"/>
                </c:ext>
              </c:extLst>
            </c:dLbl>
            <c:dLbl>
              <c:idx val="1"/>
              <c:layout>
                <c:manualLayout>
                  <c:x val="7.331378299120235E-3"/>
                  <c:y val="1.95312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514-3944-8F70-F370FFE7E1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'Reagan Era'!$A$6:$A$10</c:f>
              <c:strCache>
                <c:ptCount val="5"/>
                <c:pt idx="0">
                  <c:v>Lowest Quintile</c:v>
                </c:pt>
                <c:pt idx="1">
                  <c:v>Second Quintile</c:v>
                </c:pt>
                <c:pt idx="2">
                  <c:v>Third Quintile</c:v>
                </c:pt>
                <c:pt idx="3">
                  <c:v>Fourth Quintile</c:v>
                </c:pt>
                <c:pt idx="4">
                  <c:v>Highest Quintile</c:v>
                </c:pt>
              </c:strCache>
            </c:strRef>
          </c:cat>
          <c:val>
            <c:numRef>
              <c:f>'Reagan Era'!$C$6:$C$10</c:f>
              <c:numCache>
                <c:formatCode>0.00%</c:formatCode>
                <c:ptCount val="5"/>
                <c:pt idx="0">
                  <c:v>0.02</c:v>
                </c:pt>
                <c:pt idx="1">
                  <c:v>7.400000000000001E-2</c:v>
                </c:pt>
                <c:pt idx="2">
                  <c:v>0.13800000000000001</c:v>
                </c:pt>
                <c:pt idx="3">
                  <c:v>0.222</c:v>
                </c:pt>
                <c:pt idx="4">
                  <c:v>0.54500000000000004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14-3944-8F70-F370FFE7E1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91259567"/>
        <c:axId val="1291261279"/>
      </c:barChart>
      <c:catAx>
        <c:axId val="129125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91261279"/>
        <c:crosses val="autoZero"/>
        <c:auto val="1"/>
        <c:lblAlgn val="ctr"/>
        <c:lblOffset val="100"/>
        <c:noMultiLvlLbl val="0"/>
      </c:catAx>
      <c:valAx>
        <c:axId val="129126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91259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Shares of Before-Tax Income and Shares of Taxes Paid by Quintile, US, 1989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'Reagan Era'!$B$13</c:f>
              <c:strCache>
                <c:ptCount val="1"/>
                <c:pt idx="0">
                  <c:v>Shares of Before-Tax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'Reagan Era'!$A$14:$A$18</c:f>
              <c:strCache>
                <c:ptCount val="5"/>
                <c:pt idx="0">
                  <c:v>Lowest Quintile</c:v>
                </c:pt>
                <c:pt idx="1">
                  <c:v>Second Quintile</c:v>
                </c:pt>
                <c:pt idx="2">
                  <c:v>Third Quintile</c:v>
                </c:pt>
                <c:pt idx="3">
                  <c:v>Fourth Quintile</c:v>
                </c:pt>
                <c:pt idx="4">
                  <c:v>Highest Quintile</c:v>
                </c:pt>
              </c:strCache>
            </c:strRef>
          </c:cat>
          <c:val>
            <c:numRef>
              <c:f>'Reagan Era'!$B$14:$B$18</c:f>
              <c:numCache>
                <c:formatCode>0.00%</c:formatCode>
                <c:ptCount val="5"/>
                <c:pt idx="0">
                  <c:v>3.7999999999999999E-2</c:v>
                </c:pt>
                <c:pt idx="1">
                  <c:v>9.9000000000000005E-2</c:v>
                </c:pt>
                <c:pt idx="2">
                  <c:v>0.152</c:v>
                </c:pt>
                <c:pt idx="3">
                  <c:v>0.21899999999999997</c:v>
                </c:pt>
                <c:pt idx="4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38-B34F-A3C9-FA8FC8FCBE56}"/>
            </c:ext>
          </c:extLst>
        </c:ser>
        <c:ser>
          <c:idx val="1"/>
          <c:order val="1"/>
          <c:tx>
            <c:strRef>
              <c:f>'Reagan Era'!$C$13</c:f>
              <c:strCache>
                <c:ptCount val="1"/>
                <c:pt idx="0">
                  <c:v>Shares of Taxes Paid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'Reagan Era'!$A$14:$A$18</c:f>
              <c:strCache>
                <c:ptCount val="5"/>
                <c:pt idx="0">
                  <c:v>Lowest Quintile</c:v>
                </c:pt>
                <c:pt idx="1">
                  <c:v>Second Quintile</c:v>
                </c:pt>
                <c:pt idx="2">
                  <c:v>Third Quintile</c:v>
                </c:pt>
                <c:pt idx="3">
                  <c:v>Fourth Quintile</c:v>
                </c:pt>
                <c:pt idx="4">
                  <c:v>Highest Quintile</c:v>
                </c:pt>
              </c:strCache>
            </c:strRef>
          </c:cat>
          <c:val>
            <c:numRef>
              <c:f>'Reagan Era'!$C$14:$C$18</c:f>
              <c:numCache>
                <c:formatCode>0.00%</c:formatCode>
                <c:ptCount val="5"/>
                <c:pt idx="0">
                  <c:v>1.7000000000000001E-2</c:v>
                </c:pt>
                <c:pt idx="1">
                  <c:v>6.5000000000000002E-2</c:v>
                </c:pt>
                <c:pt idx="2">
                  <c:v>0.127</c:v>
                </c:pt>
                <c:pt idx="3">
                  <c:v>0.21</c:v>
                </c:pt>
                <c:pt idx="4">
                  <c:v>0.57899999999999996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38-B34F-A3C9-FA8FC8FCBE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22735488"/>
        <c:axId val="522737200"/>
      </c:barChart>
      <c:catAx>
        <c:axId val="52273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2737200"/>
        <c:crosses val="autoZero"/>
        <c:auto val="1"/>
        <c:lblAlgn val="ctr"/>
        <c:lblOffset val="100"/>
        <c:noMultiLvlLbl val="0"/>
      </c:catAx>
      <c:valAx>
        <c:axId val="52273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2735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Shares of Before Tax Income &amp; Shares of Taxes Paid by Quintile, Canada, 2003</a:t>
            </a:r>
          </a:p>
        </c:rich>
      </c:tx>
      <c:layout>
        <c:manualLayout>
          <c:xMode val="edge"/>
          <c:yMode val="edge"/>
          <c:x val="0.11748614756488772"/>
          <c:y val="2.12201591511936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'Martin (FP)'!$B$3</c:f>
              <c:strCache>
                <c:ptCount val="1"/>
                <c:pt idx="0">
                  <c:v>Shares of Before Tax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'Martin (FP)'!$A$4:$A$8</c:f>
              <c:strCache>
                <c:ptCount val="5"/>
                <c:pt idx="0">
                  <c:v>Lowest Quintile</c:v>
                </c:pt>
                <c:pt idx="1">
                  <c:v>Second Quintile</c:v>
                </c:pt>
                <c:pt idx="2">
                  <c:v>Third Quintile</c:v>
                </c:pt>
                <c:pt idx="3">
                  <c:v>Fourth Quintile</c:v>
                </c:pt>
                <c:pt idx="4">
                  <c:v>Highest Quintile</c:v>
                </c:pt>
              </c:strCache>
            </c:strRef>
          </c:cat>
          <c:val>
            <c:numRef>
              <c:f>'Martin (FP)'!$B$4:$B$8</c:f>
              <c:numCache>
                <c:formatCode>0.00%</c:formatCode>
                <c:ptCount val="5"/>
                <c:pt idx="0">
                  <c:v>3.5000000000000003E-2</c:v>
                </c:pt>
                <c:pt idx="1">
                  <c:v>8.4000000000000005E-2</c:v>
                </c:pt>
                <c:pt idx="2">
                  <c:v>0.14499999999999999</c:v>
                </c:pt>
                <c:pt idx="3">
                  <c:v>0.23100000000000001</c:v>
                </c:pt>
                <c:pt idx="4">
                  <c:v>0.505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DF-F54A-88AC-44305ADF88D6}"/>
            </c:ext>
          </c:extLst>
        </c:ser>
        <c:ser>
          <c:idx val="1"/>
          <c:order val="1"/>
          <c:tx>
            <c:strRef>
              <c:f>'Martin (FP)'!$C$3</c:f>
              <c:strCache>
                <c:ptCount val="1"/>
                <c:pt idx="0">
                  <c:v>Shares of Taxes Paid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5.8651026392961608E-3"/>
                  <c:y val="1.95312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BDF-F54A-88AC-44305ADF88D6}"/>
                </c:ext>
              </c:extLst>
            </c:dLbl>
            <c:dLbl>
              <c:idx val="1"/>
              <c:layout>
                <c:manualLayout>
                  <c:x val="1.4662756598240469E-3"/>
                  <c:y val="1.95312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BDF-F54A-88AC-44305ADF88D6}"/>
                </c:ext>
              </c:extLst>
            </c:dLbl>
            <c:dLbl>
              <c:idx val="2"/>
              <c:layout>
                <c:manualLayout>
                  <c:x val="5.8651026392960801E-3"/>
                  <c:y val="-1.95312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BDF-F54A-88AC-44305ADF88D6}"/>
                </c:ext>
              </c:extLst>
            </c:dLbl>
            <c:dLbl>
              <c:idx val="3"/>
              <c:layout>
                <c:manualLayout>
                  <c:x val="7.331378299120235E-3"/>
                  <c:y val="1.95312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BDF-F54A-88AC-44305ADF88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'Martin (FP)'!$A$4:$A$8</c:f>
              <c:strCache>
                <c:ptCount val="5"/>
                <c:pt idx="0">
                  <c:v>Lowest Quintile</c:v>
                </c:pt>
                <c:pt idx="1">
                  <c:v>Second Quintile</c:v>
                </c:pt>
                <c:pt idx="2">
                  <c:v>Third Quintile</c:v>
                </c:pt>
                <c:pt idx="3">
                  <c:v>Fourth Quintile</c:v>
                </c:pt>
                <c:pt idx="4">
                  <c:v>Highest Quintile</c:v>
                </c:pt>
              </c:strCache>
            </c:strRef>
          </c:cat>
          <c:val>
            <c:numRef>
              <c:f>'Martin (FP)'!$C$4:$C$8</c:f>
              <c:numCache>
                <c:formatCode>0.00%</c:formatCode>
                <c:ptCount val="5"/>
                <c:pt idx="0">
                  <c:v>2.1944173732823852E-3</c:v>
                </c:pt>
                <c:pt idx="1">
                  <c:v>2.9553388795125431E-2</c:v>
                </c:pt>
                <c:pt idx="2">
                  <c:v>9.8643832537195317E-2</c:v>
                </c:pt>
                <c:pt idx="3">
                  <c:v>0.21265506945768287</c:v>
                </c:pt>
                <c:pt idx="4">
                  <c:v>0.65695329259378166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BDF-F54A-88AC-44305ADF88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91259567"/>
        <c:axId val="1291261279"/>
      </c:barChart>
      <c:catAx>
        <c:axId val="129125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91261279"/>
        <c:crosses val="autoZero"/>
        <c:auto val="1"/>
        <c:lblAlgn val="ctr"/>
        <c:lblOffset val="100"/>
        <c:noMultiLvlLbl val="0"/>
      </c:catAx>
      <c:valAx>
        <c:axId val="129126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91259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Shares of Before Tax Income &amp; Shares of Taxes Paid by Quintile, Canada, 2006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4813866184612115E-2"/>
          <c:y val="0.15208427171660585"/>
          <c:w val="0.92781840343022959"/>
          <c:h val="0.785050829391312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'Martin (FP)'!$B$11</c:f>
              <c:strCache>
                <c:ptCount val="1"/>
                <c:pt idx="0">
                  <c:v>Shares of Before Tax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'Martin (FP)'!$A$12:$A$16</c:f>
              <c:strCache>
                <c:ptCount val="5"/>
                <c:pt idx="0">
                  <c:v>Lowest Quintile</c:v>
                </c:pt>
                <c:pt idx="1">
                  <c:v>Second Quintile</c:v>
                </c:pt>
                <c:pt idx="2">
                  <c:v>Third Quintile</c:v>
                </c:pt>
                <c:pt idx="3">
                  <c:v>Fourth Quintile</c:v>
                </c:pt>
                <c:pt idx="4">
                  <c:v>Highest Quintile</c:v>
                </c:pt>
              </c:strCache>
            </c:strRef>
          </c:cat>
          <c:val>
            <c:numRef>
              <c:f>'Martin (FP)'!$B$12:$B$16</c:f>
              <c:numCache>
                <c:formatCode>0.00%</c:formatCode>
                <c:ptCount val="5"/>
                <c:pt idx="0">
                  <c:v>3.3606180989673537E-2</c:v>
                </c:pt>
                <c:pt idx="1">
                  <c:v>8.0978887852619141E-2</c:v>
                </c:pt>
                <c:pt idx="2">
                  <c:v>0.139214044301222</c:v>
                </c:pt>
                <c:pt idx="3">
                  <c:v>0.22329614241172252</c:v>
                </c:pt>
                <c:pt idx="4">
                  <c:v>0.52290474433691336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AC-614A-A740-55EDAE438642}"/>
            </c:ext>
          </c:extLst>
        </c:ser>
        <c:ser>
          <c:idx val="1"/>
          <c:order val="1"/>
          <c:tx>
            <c:strRef>
              <c:f>'Martin (FP)'!$C$11</c:f>
              <c:strCache>
                <c:ptCount val="1"/>
                <c:pt idx="0">
                  <c:v>Shares of Taxes Paid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2.9400144918034369E-3"/>
                  <c:y val="2.8029840880043569E-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BE1-6547-92F8-BA966B76BB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'Martin (FP)'!$A$12:$A$16</c:f>
              <c:strCache>
                <c:ptCount val="5"/>
                <c:pt idx="0">
                  <c:v>Lowest Quintile</c:v>
                </c:pt>
                <c:pt idx="1">
                  <c:v>Second Quintile</c:v>
                </c:pt>
                <c:pt idx="2">
                  <c:v>Third Quintile</c:v>
                </c:pt>
                <c:pt idx="3">
                  <c:v>Fourth Quintile</c:v>
                </c:pt>
                <c:pt idx="4">
                  <c:v>Highest Quintile</c:v>
                </c:pt>
              </c:strCache>
            </c:strRef>
          </c:cat>
          <c:val>
            <c:numRef>
              <c:f>'Martin (FP)'!$C$12:$C$16</c:f>
              <c:numCache>
                <c:formatCode>0.00%</c:formatCode>
                <c:ptCount val="5"/>
                <c:pt idx="0">
                  <c:v>1.9078409977653335E-3</c:v>
                </c:pt>
                <c:pt idx="1">
                  <c:v>2.7288004736922573E-2</c:v>
                </c:pt>
                <c:pt idx="2">
                  <c:v>9.3187055162765278E-2</c:v>
                </c:pt>
                <c:pt idx="3">
                  <c:v>0.20323213393229275</c:v>
                </c:pt>
                <c:pt idx="4">
                  <c:v>0.67438496579301943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AC-614A-A740-55EDAE4386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22735488"/>
        <c:axId val="522737200"/>
      </c:barChart>
      <c:catAx>
        <c:axId val="52273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2737200"/>
        <c:crosses val="autoZero"/>
        <c:auto val="1"/>
        <c:lblAlgn val="ctr"/>
        <c:lblOffset val="100"/>
        <c:noMultiLvlLbl val="0"/>
      </c:catAx>
      <c:valAx>
        <c:axId val="52273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2735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Shares of Before Tax Income &amp; Shares of Taxes Paid by Quintile, Canada, 2006</a:t>
            </a:r>
          </a:p>
        </c:rich>
      </c:tx>
      <c:layout>
        <c:manualLayout>
          <c:xMode val="edge"/>
          <c:yMode val="edge"/>
          <c:x val="0.11748614756488772"/>
          <c:y val="2.12201591511936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'Harper (FP)'!$B$3</c:f>
              <c:strCache>
                <c:ptCount val="1"/>
                <c:pt idx="0">
                  <c:v>Shares of Before Tax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'Harper (FP)'!$A$4:$A$8</c:f>
              <c:strCache>
                <c:ptCount val="5"/>
                <c:pt idx="0">
                  <c:v>Lowest Quintile</c:v>
                </c:pt>
                <c:pt idx="1">
                  <c:v>Second Quintile</c:v>
                </c:pt>
                <c:pt idx="2">
                  <c:v>Third Quintile</c:v>
                </c:pt>
                <c:pt idx="3">
                  <c:v>Fourth Quintile</c:v>
                </c:pt>
                <c:pt idx="4">
                  <c:v>Highest Quintile</c:v>
                </c:pt>
              </c:strCache>
            </c:strRef>
          </c:cat>
          <c:val>
            <c:numRef>
              <c:f>'Harper (FP)'!$B$4:$B$8</c:f>
              <c:numCache>
                <c:formatCode>0.00%</c:formatCode>
                <c:ptCount val="5"/>
                <c:pt idx="0">
                  <c:v>3.3606180989673537E-2</c:v>
                </c:pt>
                <c:pt idx="1">
                  <c:v>8.0978887852619141E-2</c:v>
                </c:pt>
                <c:pt idx="2">
                  <c:v>0.139214044301222</c:v>
                </c:pt>
                <c:pt idx="3">
                  <c:v>0.22329614241172252</c:v>
                </c:pt>
                <c:pt idx="4">
                  <c:v>0.52290474433691336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9F-164A-B3CB-C5F19A8AE71C}"/>
            </c:ext>
          </c:extLst>
        </c:ser>
        <c:ser>
          <c:idx val="1"/>
          <c:order val="1"/>
          <c:tx>
            <c:strRef>
              <c:f>'Harper (FP)'!$C$3</c:f>
              <c:strCache>
                <c:ptCount val="1"/>
                <c:pt idx="0">
                  <c:v>Shares of Taxes Paid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5.8651026392961608E-3"/>
                  <c:y val="1.95312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89F-164A-B3CB-C5F19A8AE71C}"/>
                </c:ext>
              </c:extLst>
            </c:dLbl>
            <c:dLbl>
              <c:idx val="1"/>
              <c:layout>
                <c:manualLayout>
                  <c:x val="1.4662756598240469E-3"/>
                  <c:y val="1.95312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89F-164A-B3CB-C5F19A8AE71C}"/>
                </c:ext>
              </c:extLst>
            </c:dLbl>
            <c:dLbl>
              <c:idx val="2"/>
              <c:layout>
                <c:manualLayout>
                  <c:x val="5.8651026392960801E-3"/>
                  <c:y val="-1.95312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89F-164A-B3CB-C5F19A8AE71C}"/>
                </c:ext>
              </c:extLst>
            </c:dLbl>
            <c:dLbl>
              <c:idx val="3"/>
              <c:layout>
                <c:manualLayout>
                  <c:x val="7.331378299120235E-3"/>
                  <c:y val="1.95312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89F-164A-B3CB-C5F19A8AE7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'Harper (FP)'!$A$4:$A$8</c:f>
              <c:strCache>
                <c:ptCount val="5"/>
                <c:pt idx="0">
                  <c:v>Lowest Quintile</c:v>
                </c:pt>
                <c:pt idx="1">
                  <c:v>Second Quintile</c:v>
                </c:pt>
                <c:pt idx="2">
                  <c:v>Third Quintile</c:v>
                </c:pt>
                <c:pt idx="3">
                  <c:v>Fourth Quintile</c:v>
                </c:pt>
                <c:pt idx="4">
                  <c:v>Highest Quintile</c:v>
                </c:pt>
              </c:strCache>
            </c:strRef>
          </c:cat>
          <c:val>
            <c:numRef>
              <c:f>'Harper (FP)'!$C$4:$C$8</c:f>
              <c:numCache>
                <c:formatCode>0.00%</c:formatCode>
                <c:ptCount val="5"/>
                <c:pt idx="0">
                  <c:v>1.9078409977653335E-3</c:v>
                </c:pt>
                <c:pt idx="1">
                  <c:v>2.7288004736922573E-2</c:v>
                </c:pt>
                <c:pt idx="2">
                  <c:v>9.3187055162765278E-2</c:v>
                </c:pt>
                <c:pt idx="3">
                  <c:v>0.20323213393229275</c:v>
                </c:pt>
                <c:pt idx="4">
                  <c:v>0.67438496579301943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89F-164A-B3CB-C5F19A8AE7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91259567"/>
        <c:axId val="1291261279"/>
      </c:barChart>
      <c:catAx>
        <c:axId val="129125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91261279"/>
        <c:crosses val="autoZero"/>
        <c:auto val="1"/>
        <c:lblAlgn val="ctr"/>
        <c:lblOffset val="100"/>
        <c:noMultiLvlLbl val="0"/>
      </c:catAx>
      <c:valAx>
        <c:axId val="129126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91259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Shares of Before Tax Income &amp; Shares of Taxes Paid by Quintile, Canada, 2015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4813866184612115E-2"/>
          <c:y val="0.15208427171660585"/>
          <c:w val="0.92781840343022959"/>
          <c:h val="0.785050829391312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'Harper (FP)'!$B$11</c:f>
              <c:strCache>
                <c:ptCount val="1"/>
                <c:pt idx="0">
                  <c:v>Shares of Before Tax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'Harper (FP)'!$A$12:$A$16</c:f>
              <c:strCache>
                <c:ptCount val="5"/>
                <c:pt idx="0">
                  <c:v>Lowest Quintile</c:v>
                </c:pt>
                <c:pt idx="1">
                  <c:v>Second Quintile</c:v>
                </c:pt>
                <c:pt idx="2">
                  <c:v>Third Quintile</c:v>
                </c:pt>
                <c:pt idx="3">
                  <c:v>Fourth Quintile</c:v>
                </c:pt>
                <c:pt idx="4">
                  <c:v>Highest Quintile</c:v>
                </c:pt>
              </c:strCache>
            </c:strRef>
          </c:cat>
          <c:val>
            <c:numRef>
              <c:f>'Harper (FP)'!$B$12:$B$16</c:f>
              <c:numCache>
                <c:formatCode>0.00%</c:formatCode>
                <c:ptCount val="5"/>
                <c:pt idx="0">
                  <c:v>3.37648993420624E-2</c:v>
                </c:pt>
                <c:pt idx="1">
                  <c:v>8.1058019135065995E-2</c:v>
                </c:pt>
                <c:pt idx="2">
                  <c:v>0.13861519822243901</c:v>
                </c:pt>
                <c:pt idx="3">
                  <c:v>0.22410140369625839</c:v>
                </c:pt>
                <c:pt idx="4">
                  <c:v>0.5224604796812371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4-AD44-BE68-E06B3B8FE9C3}"/>
            </c:ext>
          </c:extLst>
        </c:ser>
        <c:ser>
          <c:idx val="1"/>
          <c:order val="1"/>
          <c:tx>
            <c:strRef>
              <c:f>'Harper (FP)'!$C$11</c:f>
              <c:strCache>
                <c:ptCount val="1"/>
                <c:pt idx="0">
                  <c:v>Shares of Taxes Paid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2.9400144918034369E-3"/>
                  <c:y val="2.8029840880043569E-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274-AD44-BE68-E06B3B8FE9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'Harper (FP)'!$A$12:$A$16</c:f>
              <c:strCache>
                <c:ptCount val="5"/>
                <c:pt idx="0">
                  <c:v>Lowest Quintile</c:v>
                </c:pt>
                <c:pt idx="1">
                  <c:v>Second Quintile</c:v>
                </c:pt>
                <c:pt idx="2">
                  <c:v>Third Quintile</c:v>
                </c:pt>
                <c:pt idx="3">
                  <c:v>Fourth Quintile</c:v>
                </c:pt>
                <c:pt idx="4">
                  <c:v>Highest Quintile</c:v>
                </c:pt>
              </c:strCache>
            </c:strRef>
          </c:cat>
          <c:val>
            <c:numRef>
              <c:f>'Harper (FP)'!$C$12:$C$16</c:f>
              <c:numCache>
                <c:formatCode>0.00%</c:formatCode>
                <c:ptCount val="5"/>
                <c:pt idx="0">
                  <c:v>1.39998975118576E-3</c:v>
                </c:pt>
                <c:pt idx="1">
                  <c:v>2.5274251445821686E-2</c:v>
                </c:pt>
                <c:pt idx="2">
                  <c:v>8.7249556996216351E-2</c:v>
                </c:pt>
                <c:pt idx="3">
                  <c:v>0.19788241826420078</c:v>
                </c:pt>
                <c:pt idx="4">
                  <c:v>0.68819378262448616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74-AD44-BE68-E06B3B8FE9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22735488"/>
        <c:axId val="522737200"/>
      </c:barChart>
      <c:catAx>
        <c:axId val="52273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2737200"/>
        <c:crosses val="autoZero"/>
        <c:auto val="1"/>
        <c:lblAlgn val="ctr"/>
        <c:lblOffset val="100"/>
        <c:noMultiLvlLbl val="0"/>
      </c:catAx>
      <c:valAx>
        <c:axId val="52273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2735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Shares of Before-Tax Income and Shares of Taxes Paid by Quintile, Canada, 2003</a:t>
            </a:r>
          </a:p>
        </c:rich>
      </c:tx>
      <c:layout>
        <c:manualLayout>
          <c:xMode val="edge"/>
          <c:yMode val="edge"/>
          <c:x val="0.11748614756488772"/>
          <c:y val="2.12201591511936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'Martin (F)'!$B$3</c:f>
              <c:strCache>
                <c:ptCount val="1"/>
                <c:pt idx="0">
                  <c:v>Shares of Before-Tax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'Martin (F)'!$A$4:$A$8</c:f>
              <c:strCache>
                <c:ptCount val="5"/>
                <c:pt idx="0">
                  <c:v>Lowest Quintile</c:v>
                </c:pt>
                <c:pt idx="1">
                  <c:v>Second Quintile</c:v>
                </c:pt>
                <c:pt idx="2">
                  <c:v>Third Quintile</c:v>
                </c:pt>
                <c:pt idx="3">
                  <c:v>Fourth Quintile</c:v>
                </c:pt>
                <c:pt idx="4">
                  <c:v>Highest Quintile</c:v>
                </c:pt>
              </c:strCache>
            </c:strRef>
          </c:cat>
          <c:val>
            <c:numRef>
              <c:f>'Martin (F)'!$B$4:$B$8</c:f>
              <c:numCache>
                <c:formatCode>0.00%</c:formatCode>
                <c:ptCount val="5"/>
                <c:pt idx="0">
                  <c:v>3.5000000000000003E-2</c:v>
                </c:pt>
                <c:pt idx="1">
                  <c:v>8.4000000000000005E-2</c:v>
                </c:pt>
                <c:pt idx="2">
                  <c:v>0.14499999999999999</c:v>
                </c:pt>
                <c:pt idx="3">
                  <c:v>0.23100000000000001</c:v>
                </c:pt>
                <c:pt idx="4">
                  <c:v>0.505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18-AF4C-AB78-49B27BDC1771}"/>
            </c:ext>
          </c:extLst>
        </c:ser>
        <c:ser>
          <c:idx val="1"/>
          <c:order val="1"/>
          <c:tx>
            <c:strRef>
              <c:f>'Martin (F)'!$C$3</c:f>
              <c:strCache>
                <c:ptCount val="1"/>
                <c:pt idx="0">
                  <c:v>Shares of Taxes Paid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5.8651026392961608E-3"/>
                  <c:y val="1.95312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E18-AF4C-AB78-49B27BDC1771}"/>
                </c:ext>
              </c:extLst>
            </c:dLbl>
            <c:dLbl>
              <c:idx val="1"/>
              <c:layout>
                <c:manualLayout>
                  <c:x val="1.4662756598240469E-3"/>
                  <c:y val="1.95312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E18-AF4C-AB78-49B27BDC1771}"/>
                </c:ext>
              </c:extLst>
            </c:dLbl>
            <c:dLbl>
              <c:idx val="2"/>
              <c:layout>
                <c:manualLayout>
                  <c:x val="5.8651026392960801E-3"/>
                  <c:y val="-1.95312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E18-AF4C-AB78-49B27BDC1771}"/>
                </c:ext>
              </c:extLst>
            </c:dLbl>
            <c:dLbl>
              <c:idx val="3"/>
              <c:layout>
                <c:manualLayout>
                  <c:x val="7.331378299120235E-3"/>
                  <c:y val="1.95312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E18-AF4C-AB78-49B27BDC17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'Martin (F)'!$A$4:$A$8</c:f>
              <c:strCache>
                <c:ptCount val="5"/>
                <c:pt idx="0">
                  <c:v>Lowest Quintile</c:v>
                </c:pt>
                <c:pt idx="1">
                  <c:v>Second Quintile</c:v>
                </c:pt>
                <c:pt idx="2">
                  <c:v>Third Quintile</c:v>
                </c:pt>
                <c:pt idx="3">
                  <c:v>Fourth Quintile</c:v>
                </c:pt>
                <c:pt idx="4">
                  <c:v>Highest Quintile</c:v>
                </c:pt>
              </c:strCache>
            </c:strRef>
          </c:cat>
          <c:val>
            <c:numRef>
              <c:f>'Martin (F)'!$C$4:$C$8</c:f>
              <c:numCache>
                <c:formatCode>0.00%</c:formatCode>
                <c:ptCount val="5"/>
                <c:pt idx="0">
                  <c:v>2.7407949802576168E-3</c:v>
                </c:pt>
                <c:pt idx="1">
                  <c:v>3.1309229080226944E-2</c:v>
                </c:pt>
                <c:pt idx="2">
                  <c:v>0.10048633238695197</c:v>
                </c:pt>
                <c:pt idx="3">
                  <c:v>0.2125031726803141</c:v>
                </c:pt>
                <c:pt idx="4">
                  <c:v>0.65296046967864863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E18-AF4C-AB78-49B27BDC17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91259567"/>
        <c:axId val="1291261279"/>
      </c:barChart>
      <c:catAx>
        <c:axId val="129125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91261279"/>
        <c:crosses val="autoZero"/>
        <c:auto val="1"/>
        <c:lblAlgn val="ctr"/>
        <c:lblOffset val="100"/>
        <c:noMultiLvlLbl val="0"/>
      </c:catAx>
      <c:valAx>
        <c:axId val="129126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91259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Shares of Before-Tax Income and Shares of Taxes Paid by Quintile, Canada, 2006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4813866184612115E-2"/>
          <c:y val="0.15208427171660585"/>
          <c:w val="0.92781840343022959"/>
          <c:h val="0.785050829391312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'Martin (F)'!$B$11</c:f>
              <c:strCache>
                <c:ptCount val="1"/>
                <c:pt idx="0">
                  <c:v>Shares of Before-Tax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'Martin (F)'!$A$12:$A$16</c:f>
              <c:strCache>
                <c:ptCount val="5"/>
                <c:pt idx="0">
                  <c:v>Lowest Quintile</c:v>
                </c:pt>
                <c:pt idx="1">
                  <c:v>Second Quintile</c:v>
                </c:pt>
                <c:pt idx="2">
                  <c:v>Third Quintile</c:v>
                </c:pt>
                <c:pt idx="3">
                  <c:v>Fourth Quintile</c:v>
                </c:pt>
                <c:pt idx="4">
                  <c:v>Highest Quintile</c:v>
                </c:pt>
              </c:strCache>
            </c:strRef>
          </c:cat>
          <c:val>
            <c:numRef>
              <c:f>'Martin (F)'!$B$12:$B$16</c:f>
              <c:numCache>
                <c:formatCode>0.00%</c:formatCode>
                <c:ptCount val="5"/>
                <c:pt idx="0">
                  <c:v>3.3606180989673537E-2</c:v>
                </c:pt>
                <c:pt idx="1">
                  <c:v>8.0978887852619141E-2</c:v>
                </c:pt>
                <c:pt idx="2">
                  <c:v>0.139214044301222</c:v>
                </c:pt>
                <c:pt idx="3">
                  <c:v>0.22329614241172252</c:v>
                </c:pt>
                <c:pt idx="4">
                  <c:v>0.52290474433691336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A6-784D-BF64-85D33BB33F24}"/>
            </c:ext>
          </c:extLst>
        </c:ser>
        <c:ser>
          <c:idx val="1"/>
          <c:order val="1"/>
          <c:tx>
            <c:strRef>
              <c:f>'Martin (F)'!$C$11</c:f>
              <c:strCache>
                <c:ptCount val="1"/>
                <c:pt idx="0">
                  <c:v>Shares of Taxes Paid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2.9400144918034369E-3"/>
                  <c:y val="2.8029840880043569E-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5A6-784D-BF64-85D33BB33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'Martin (F)'!$A$12:$A$16</c:f>
              <c:strCache>
                <c:ptCount val="5"/>
                <c:pt idx="0">
                  <c:v>Lowest Quintile</c:v>
                </c:pt>
                <c:pt idx="1">
                  <c:v>Second Quintile</c:v>
                </c:pt>
                <c:pt idx="2">
                  <c:v>Third Quintile</c:v>
                </c:pt>
                <c:pt idx="3">
                  <c:v>Fourth Quintile</c:v>
                </c:pt>
                <c:pt idx="4">
                  <c:v>Highest Quintile</c:v>
                </c:pt>
              </c:strCache>
            </c:strRef>
          </c:cat>
          <c:val>
            <c:numRef>
              <c:f>'Martin (F)'!$C$12:$C$16</c:f>
              <c:numCache>
                <c:formatCode>0.00%</c:formatCode>
                <c:ptCount val="5"/>
                <c:pt idx="0">
                  <c:v>2.3493168418740481E-3</c:v>
                </c:pt>
                <c:pt idx="1">
                  <c:v>2.6962333236272704E-2</c:v>
                </c:pt>
                <c:pt idx="2">
                  <c:v>9.0072688376541407E-2</c:v>
                </c:pt>
                <c:pt idx="3">
                  <c:v>0.199099501062238</c:v>
                </c:pt>
                <c:pt idx="4">
                  <c:v>0.68151615946930466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A6-784D-BF64-85D33BB33F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22735488"/>
        <c:axId val="522737200"/>
      </c:barChart>
      <c:catAx>
        <c:axId val="52273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2737200"/>
        <c:crosses val="autoZero"/>
        <c:auto val="1"/>
        <c:lblAlgn val="ctr"/>
        <c:lblOffset val="100"/>
        <c:noMultiLvlLbl val="0"/>
      </c:catAx>
      <c:valAx>
        <c:axId val="52273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2735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Shares of Before-Tax Income and Shares of Taxes Paid by Quintile, Canada, 2006</a:t>
            </a:r>
          </a:p>
        </c:rich>
      </c:tx>
      <c:layout>
        <c:manualLayout>
          <c:xMode val="edge"/>
          <c:yMode val="edge"/>
          <c:x val="0.11748614756488772"/>
          <c:y val="2.12201591511936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'Harper (F)'!$B$3</c:f>
              <c:strCache>
                <c:ptCount val="1"/>
                <c:pt idx="0">
                  <c:v>Shares of Before-Tax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'Harper (F)'!$A$4:$A$8</c:f>
              <c:strCache>
                <c:ptCount val="5"/>
                <c:pt idx="0">
                  <c:v>Lowest Quintile</c:v>
                </c:pt>
                <c:pt idx="1">
                  <c:v>Second Quintile</c:v>
                </c:pt>
                <c:pt idx="2">
                  <c:v>Third Quintile</c:v>
                </c:pt>
                <c:pt idx="3">
                  <c:v>Fourth Quintile</c:v>
                </c:pt>
                <c:pt idx="4">
                  <c:v>Highest Quintile</c:v>
                </c:pt>
              </c:strCache>
            </c:strRef>
          </c:cat>
          <c:val>
            <c:numRef>
              <c:f>'Harper (F)'!$B$4:$B$8</c:f>
              <c:numCache>
                <c:formatCode>0.00%</c:formatCode>
                <c:ptCount val="5"/>
                <c:pt idx="0">
                  <c:v>3.3606180989673537E-2</c:v>
                </c:pt>
                <c:pt idx="1">
                  <c:v>8.0978887852619141E-2</c:v>
                </c:pt>
                <c:pt idx="2">
                  <c:v>0.139214044301222</c:v>
                </c:pt>
                <c:pt idx="3">
                  <c:v>0.22329614241172252</c:v>
                </c:pt>
                <c:pt idx="4">
                  <c:v>0.52290474433691336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D3-ED47-931A-8F5CC144C9B4}"/>
            </c:ext>
          </c:extLst>
        </c:ser>
        <c:ser>
          <c:idx val="1"/>
          <c:order val="1"/>
          <c:tx>
            <c:strRef>
              <c:f>'Harper (F)'!$C$3</c:f>
              <c:strCache>
                <c:ptCount val="1"/>
                <c:pt idx="0">
                  <c:v>Shares of Taxes Paid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5.8651026392961608E-3"/>
                  <c:y val="1.95312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D3-ED47-931A-8F5CC144C9B4}"/>
                </c:ext>
              </c:extLst>
            </c:dLbl>
            <c:dLbl>
              <c:idx val="1"/>
              <c:layout>
                <c:manualLayout>
                  <c:x val="1.4662756598240469E-3"/>
                  <c:y val="1.95312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D3-ED47-931A-8F5CC144C9B4}"/>
                </c:ext>
              </c:extLst>
            </c:dLbl>
            <c:dLbl>
              <c:idx val="2"/>
              <c:layout>
                <c:manualLayout>
                  <c:x val="5.8651026392960801E-3"/>
                  <c:y val="-1.95312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D3-ED47-931A-8F5CC144C9B4}"/>
                </c:ext>
              </c:extLst>
            </c:dLbl>
            <c:dLbl>
              <c:idx val="3"/>
              <c:layout>
                <c:manualLayout>
                  <c:x val="7.331378299120235E-3"/>
                  <c:y val="1.95312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D3-ED47-931A-8F5CC144C9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'Harper (F)'!$A$4:$A$8</c:f>
              <c:strCache>
                <c:ptCount val="5"/>
                <c:pt idx="0">
                  <c:v>Lowest Quintile</c:v>
                </c:pt>
                <c:pt idx="1">
                  <c:v>Second Quintile</c:v>
                </c:pt>
                <c:pt idx="2">
                  <c:v>Third Quintile</c:v>
                </c:pt>
                <c:pt idx="3">
                  <c:v>Fourth Quintile</c:v>
                </c:pt>
                <c:pt idx="4">
                  <c:v>Highest Quintile</c:v>
                </c:pt>
              </c:strCache>
            </c:strRef>
          </c:cat>
          <c:val>
            <c:numRef>
              <c:f>'Harper (F)'!$C$4:$C$8</c:f>
              <c:numCache>
                <c:formatCode>0.00%</c:formatCode>
                <c:ptCount val="5"/>
                <c:pt idx="0">
                  <c:v>2.3493168418740481E-3</c:v>
                </c:pt>
                <c:pt idx="1">
                  <c:v>2.6962333236272704E-2</c:v>
                </c:pt>
                <c:pt idx="2">
                  <c:v>9.0072688376541407E-2</c:v>
                </c:pt>
                <c:pt idx="3">
                  <c:v>0.199099501062238</c:v>
                </c:pt>
                <c:pt idx="4">
                  <c:v>0.68151615946930466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0D3-ED47-931A-8F5CC144C9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91259567"/>
        <c:axId val="1291261279"/>
      </c:barChart>
      <c:catAx>
        <c:axId val="129125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91261279"/>
        <c:crosses val="autoZero"/>
        <c:auto val="1"/>
        <c:lblAlgn val="ctr"/>
        <c:lblOffset val="100"/>
        <c:noMultiLvlLbl val="0"/>
      </c:catAx>
      <c:valAx>
        <c:axId val="129126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91259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Shares of Before-Tax Income and Shares of Taxes Paid by Quintile, Canada, 2015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4813866184612115E-2"/>
          <c:y val="0.15208427171660585"/>
          <c:w val="0.92781840343022959"/>
          <c:h val="0.785050829391312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'Harper (F)'!$B$11</c:f>
              <c:strCache>
                <c:ptCount val="1"/>
                <c:pt idx="0">
                  <c:v>Shares of Before-Tax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'Harper (F)'!$A$12:$A$16</c:f>
              <c:strCache>
                <c:ptCount val="5"/>
                <c:pt idx="0">
                  <c:v>Lowest Quintile</c:v>
                </c:pt>
                <c:pt idx="1">
                  <c:v>Second Quintile</c:v>
                </c:pt>
                <c:pt idx="2">
                  <c:v>Third Quintile</c:v>
                </c:pt>
                <c:pt idx="3">
                  <c:v>Fourth Quintile</c:v>
                </c:pt>
                <c:pt idx="4">
                  <c:v>Highest Quintile</c:v>
                </c:pt>
              </c:strCache>
            </c:strRef>
          </c:cat>
          <c:val>
            <c:numRef>
              <c:f>'Harper (F)'!$B$12:$B$16</c:f>
              <c:numCache>
                <c:formatCode>0.00%</c:formatCode>
                <c:ptCount val="5"/>
                <c:pt idx="0">
                  <c:v>3.37648993420624E-2</c:v>
                </c:pt>
                <c:pt idx="1">
                  <c:v>8.1058019135065995E-2</c:v>
                </c:pt>
                <c:pt idx="2">
                  <c:v>0.13861519822243901</c:v>
                </c:pt>
                <c:pt idx="3">
                  <c:v>0.22410140369625839</c:v>
                </c:pt>
                <c:pt idx="4">
                  <c:v>0.5224604796812371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F6-5747-BB60-5C029850BCA4}"/>
            </c:ext>
          </c:extLst>
        </c:ser>
        <c:ser>
          <c:idx val="1"/>
          <c:order val="1"/>
          <c:tx>
            <c:strRef>
              <c:f>'Harper (F)'!$C$11</c:f>
              <c:strCache>
                <c:ptCount val="1"/>
                <c:pt idx="0">
                  <c:v>Shares of Taxes Paid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2.9400144918034369E-3"/>
                  <c:y val="2.8029840880043569E-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4F6-5747-BB60-5C029850BC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'Harper (F)'!$A$12:$A$16</c:f>
              <c:strCache>
                <c:ptCount val="5"/>
                <c:pt idx="0">
                  <c:v>Lowest Quintile</c:v>
                </c:pt>
                <c:pt idx="1">
                  <c:v>Second Quintile</c:v>
                </c:pt>
                <c:pt idx="2">
                  <c:v>Third Quintile</c:v>
                </c:pt>
                <c:pt idx="3">
                  <c:v>Fourth Quintile</c:v>
                </c:pt>
                <c:pt idx="4">
                  <c:v>Highest Quintile</c:v>
                </c:pt>
              </c:strCache>
            </c:strRef>
          </c:cat>
          <c:val>
            <c:numRef>
              <c:f>'Harper (F)'!$C$12:$C$16</c:f>
              <c:numCache>
                <c:formatCode>0.00%</c:formatCode>
                <c:ptCount val="5"/>
                <c:pt idx="0">
                  <c:v>1.5878903855589389E-3</c:v>
                </c:pt>
                <c:pt idx="1">
                  <c:v>2.4014951382084482E-2</c:v>
                </c:pt>
                <c:pt idx="2">
                  <c:v>8.3670129734444973E-2</c:v>
                </c:pt>
                <c:pt idx="3">
                  <c:v>0.19351391261580447</c:v>
                </c:pt>
                <c:pt idx="4">
                  <c:v>0.69721311512396988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F6-5747-BB60-5C029850BC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22735488"/>
        <c:axId val="522737200"/>
      </c:barChart>
      <c:catAx>
        <c:axId val="52273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2737200"/>
        <c:crosses val="autoZero"/>
        <c:auto val="1"/>
        <c:lblAlgn val="ctr"/>
        <c:lblOffset val="100"/>
        <c:noMultiLvlLbl val="0"/>
      </c:catAx>
      <c:valAx>
        <c:axId val="52273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2735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63500</xdr:rowOff>
    </xdr:from>
    <xdr:to>
      <xdr:col>18</xdr:col>
      <xdr:colOff>698500</xdr:colOff>
      <xdr:row>26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106B39-147F-5E48-9D9D-2A2FC380B6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63500</xdr:rowOff>
    </xdr:from>
    <xdr:to>
      <xdr:col>18</xdr:col>
      <xdr:colOff>698500</xdr:colOff>
      <xdr:row>26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8CB28F-AD0D-0343-9B53-D807D8B9BC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</xdr:colOff>
      <xdr:row>28</xdr:row>
      <xdr:rowOff>88900</xdr:rowOff>
    </xdr:from>
    <xdr:to>
      <xdr:col>18</xdr:col>
      <xdr:colOff>711200</xdr:colOff>
      <xdr:row>53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5CF813-1ED9-AF40-A421-59AC5845FE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482599</xdr:colOff>
      <xdr:row>2</xdr:row>
      <xdr:rowOff>190500</xdr:rowOff>
    </xdr:from>
    <xdr:to>
      <xdr:col>18</xdr:col>
      <xdr:colOff>696813</xdr:colOff>
      <xdr:row>28</xdr:row>
      <xdr:rowOff>67433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FB287B-FA41-B44F-A356-3ACDEE9BAF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215900</xdr:colOff>
      <xdr:row>35</xdr:row>
      <xdr:rowOff>177800</xdr:rowOff>
    </xdr:from>
    <xdr:to>
      <xdr:col>18</xdr:col>
      <xdr:colOff>139700</xdr:colOff>
      <xdr:row>61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0CE296-6F66-5D49-94DE-DC4F0F0ECC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279400</xdr:colOff>
      <xdr:row>1</xdr:row>
      <xdr:rowOff>50800</xdr:rowOff>
    </xdr:from>
    <xdr:to>
      <xdr:col>21</xdr:col>
      <xdr:colOff>165100</xdr:colOff>
      <xdr:row>29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4C9534-00FC-C2EB-66F6-36300B6FB1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279400</xdr:colOff>
      <xdr:row>30</xdr:row>
      <xdr:rowOff>63500</xdr:rowOff>
    </xdr:from>
    <xdr:to>
      <xdr:col>21</xdr:col>
      <xdr:colOff>165100</xdr:colOff>
      <xdr:row>58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CB6218-83F0-5E44-8DCB-4F59A414FE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457200</xdr:colOff>
      <xdr:row>1</xdr:row>
      <xdr:rowOff>139700</xdr:rowOff>
    </xdr:from>
    <xdr:to>
      <xdr:col>20</xdr:col>
      <xdr:colOff>342900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504590-9F8D-2C4B-ABDA-7521039AA5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431800</xdr:colOff>
      <xdr:row>30</xdr:row>
      <xdr:rowOff>190500</xdr:rowOff>
    </xdr:from>
    <xdr:to>
      <xdr:col>20</xdr:col>
      <xdr:colOff>317500</xdr:colOff>
      <xdr:row>59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405A53-0BEB-B94A-A1DA-55A9DF93FA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762000</xdr:colOff>
      <xdr:row>1</xdr:row>
      <xdr:rowOff>190500</xdr:rowOff>
    </xdr:from>
    <xdr:to>
      <xdr:col>16</xdr:col>
      <xdr:colOff>254000</xdr:colOff>
      <xdr:row>25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97E41D-4F7A-274C-B65A-E1F66B6F76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76200</xdr:colOff>
      <xdr:row>25</xdr:row>
      <xdr:rowOff>190500</xdr:rowOff>
    </xdr:from>
    <xdr:to>
      <xdr:col>16</xdr:col>
      <xdr:colOff>444500</xdr:colOff>
      <xdr:row>51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BB2FAF-AEE1-3F45-8797-D6C2B5684D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787400</xdr:colOff>
      <xdr:row>1</xdr:row>
      <xdr:rowOff>139700</xdr:rowOff>
    </xdr:from>
    <xdr:to>
      <xdr:col>19</xdr:col>
      <xdr:colOff>660400</xdr:colOff>
      <xdr:row>25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A4BFEA-B3D7-D44C-91BD-1EDDDC2D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50800</xdr:colOff>
      <xdr:row>26</xdr:row>
      <xdr:rowOff>177800</xdr:rowOff>
    </xdr:from>
    <xdr:to>
      <xdr:col>19</xdr:col>
      <xdr:colOff>622300</xdr:colOff>
      <xdr:row>52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EE741B-F6B9-3C4A-BBDE-722CBD2713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63500</xdr:rowOff>
    </xdr:from>
    <xdr:to>
      <xdr:col>18</xdr:col>
      <xdr:colOff>698500</xdr:colOff>
      <xdr:row>26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90F7E4-F2A5-E14F-8EEA-9A9E4EE842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</xdr:colOff>
      <xdr:row>28</xdr:row>
      <xdr:rowOff>88900</xdr:rowOff>
    </xdr:from>
    <xdr:to>
      <xdr:col>18</xdr:col>
      <xdr:colOff>711200</xdr:colOff>
      <xdr:row>53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1A2626-875B-DA4F-8CB1-15FD654064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63500</xdr:rowOff>
    </xdr:from>
    <xdr:to>
      <xdr:col>18</xdr:col>
      <xdr:colOff>698500</xdr:colOff>
      <xdr:row>26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0DCB30-1E8B-9A45-B10D-7E46B28014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</xdr:colOff>
      <xdr:row>28</xdr:row>
      <xdr:rowOff>88900</xdr:rowOff>
    </xdr:from>
    <xdr:to>
      <xdr:col>18</xdr:col>
      <xdr:colOff>711200</xdr:colOff>
      <xdr:row>53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B19E5C-6D1E-124C-9506-FCBC51D11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101600</xdr:colOff>
      <xdr:row>1</xdr:row>
      <xdr:rowOff>88900</xdr:rowOff>
    </xdr:from>
    <xdr:to>
      <xdr:col>16</xdr:col>
      <xdr:colOff>419100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E33FF0-B4D5-CB42-8286-7026B51373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76200</xdr:colOff>
      <xdr:row>25</xdr:row>
      <xdr:rowOff>190500</xdr:rowOff>
    </xdr:from>
    <xdr:to>
      <xdr:col>16</xdr:col>
      <xdr:colOff>444500</xdr:colOff>
      <xdr:row>51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7D6A58-8ED9-2848-A60E-57A1F8BC5B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101600</xdr:colOff>
      <xdr:row>1</xdr:row>
      <xdr:rowOff>88900</xdr:rowOff>
    </xdr:from>
    <xdr:to>
      <xdr:col>16</xdr:col>
      <xdr:colOff>419100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D80211-43C8-B04F-94AA-1B2D011E2C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76200</xdr:colOff>
      <xdr:row>25</xdr:row>
      <xdr:rowOff>190500</xdr:rowOff>
    </xdr:from>
    <xdr:to>
      <xdr:col>16</xdr:col>
      <xdr:colOff>444500</xdr:colOff>
      <xdr:row>51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50B834-A60D-6F42-A779-E0BF8782A4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101600</xdr:colOff>
      <xdr:row>1</xdr:row>
      <xdr:rowOff>88900</xdr:rowOff>
    </xdr:from>
    <xdr:to>
      <xdr:col>16</xdr:col>
      <xdr:colOff>787400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11D6E7-09AE-884E-AC5A-69AA0D3DE9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76200</xdr:colOff>
      <xdr:row>25</xdr:row>
      <xdr:rowOff>190500</xdr:rowOff>
    </xdr:from>
    <xdr:to>
      <xdr:col>16</xdr:col>
      <xdr:colOff>787400</xdr:colOff>
      <xdr:row>51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42C5BE-FF34-2D44-B8B8-856223B4A0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101600</xdr:colOff>
      <xdr:row>1</xdr:row>
      <xdr:rowOff>88900</xdr:rowOff>
    </xdr:from>
    <xdr:to>
      <xdr:col>16</xdr:col>
      <xdr:colOff>749300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AE573E-55FD-154B-A55F-286125CF2A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76200</xdr:colOff>
      <xdr:row>25</xdr:row>
      <xdr:rowOff>190500</xdr:rowOff>
    </xdr:from>
    <xdr:to>
      <xdr:col>16</xdr:col>
      <xdr:colOff>762000</xdr:colOff>
      <xdr:row>51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48EBAF-7B6C-B044-A653-A5812526CE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E35C2-0FB5-6940-821B-662017235884}">
  <dimension ref="A4:C18"/>
  <sheetViews>
    <sheetView zoomScale="63" zoomScaleNormal="113" workbookViewId="0">
      <selection activeCell="S58" sqref="S58"/>
    </sheetView>
  </sheetViews>
  <sheetFormatPr baseColWidth="10" defaultRowHeight="16" x14ac:dyDescent="0.2"/>
  <cols>
    <col min="1" max="1" width="14.1640625" bestFit="1" customWidth="1"/>
    <col min="2" max="2" width="24.6640625" bestFit="1" customWidth="1"/>
    <col min="3" max="3" width="19" customWidth="1"/>
  </cols>
  <sheetData>
    <row r="4" spans="1:3" x14ac:dyDescent="0.2">
      <c r="A4">
        <v>2017</v>
      </c>
    </row>
    <row r="5" spans="1:3" x14ac:dyDescent="0.2">
      <c r="A5" t="s">
        <v>1</v>
      </c>
      <c r="B5" s="1" t="s">
        <v>11</v>
      </c>
      <c r="C5" t="s">
        <v>8</v>
      </c>
    </row>
    <row r="6" spans="1:3" x14ac:dyDescent="0.2">
      <c r="A6" t="s">
        <v>3</v>
      </c>
      <c r="B6" s="1">
        <v>3.7000000000000005E-2</v>
      </c>
      <c r="C6" s="1">
        <v>2E-3</v>
      </c>
    </row>
    <row r="7" spans="1:3" x14ac:dyDescent="0.2">
      <c r="A7" t="s">
        <v>4</v>
      </c>
      <c r="B7" s="1">
        <v>8.5999999999999993E-2</v>
      </c>
      <c r="C7" s="1">
        <v>3.7999999999999999E-2</v>
      </c>
    </row>
    <row r="8" spans="1:3" x14ac:dyDescent="0.2">
      <c r="A8" t="s">
        <v>5</v>
      </c>
      <c r="B8" s="1">
        <v>0.13500000000000001</v>
      </c>
      <c r="C8" s="1">
        <v>0.09</v>
      </c>
    </row>
    <row r="9" spans="1:3" x14ac:dyDescent="0.2">
      <c r="A9" t="s">
        <v>6</v>
      </c>
      <c r="B9" s="1">
        <v>0.20300000000000001</v>
      </c>
      <c r="C9" s="1">
        <v>0.17499999999999999</v>
      </c>
    </row>
    <row r="10" spans="1:3" x14ac:dyDescent="0.2">
      <c r="A10" t="s">
        <v>7</v>
      </c>
      <c r="B10" s="1">
        <v>0.55200000000000005</v>
      </c>
      <c r="C10" s="1">
        <v>0.69299999999999995</v>
      </c>
    </row>
    <row r="13" spans="1:3" x14ac:dyDescent="0.2">
      <c r="B13" s="1"/>
    </row>
    <row r="14" spans="1:3" x14ac:dyDescent="0.2">
      <c r="B14" s="1"/>
      <c r="C14" s="1"/>
    </row>
    <row r="15" spans="1:3" x14ac:dyDescent="0.2">
      <c r="B15" s="1"/>
      <c r="C15" s="1"/>
    </row>
    <row r="16" spans="1:3" x14ac:dyDescent="0.2">
      <c r="B16" s="1"/>
      <c r="C16" s="1"/>
    </row>
    <row r="17" spans="2:3" x14ac:dyDescent="0.2">
      <c r="B17" s="1"/>
      <c r="C17" s="1"/>
    </row>
    <row r="18" spans="2:3" x14ac:dyDescent="0.2">
      <c r="B18" s="1"/>
      <c r="C18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94926-0975-1845-8977-55C561EFC4C7}">
  <dimension ref="A4:C18"/>
  <sheetViews>
    <sheetView tabSelected="1" zoomScale="75" zoomScaleNormal="113" workbookViewId="0">
      <selection activeCell="V34" sqref="V34"/>
    </sheetView>
  </sheetViews>
  <sheetFormatPr baseColWidth="10" defaultRowHeight="16" x14ac:dyDescent="0.2"/>
  <cols>
    <col min="1" max="1" width="14.1640625" bestFit="1" customWidth="1"/>
    <col min="2" max="2" width="24.6640625" bestFit="1" customWidth="1"/>
    <col min="3" max="3" width="22.33203125" bestFit="1" customWidth="1"/>
  </cols>
  <sheetData>
    <row r="4" spans="1:3" x14ac:dyDescent="0.2">
      <c r="A4">
        <v>2001</v>
      </c>
    </row>
    <row r="5" spans="1:3" x14ac:dyDescent="0.2">
      <c r="A5" t="s">
        <v>1</v>
      </c>
      <c r="B5" s="1" t="s">
        <v>11</v>
      </c>
      <c r="C5" t="s">
        <v>8</v>
      </c>
    </row>
    <row r="6" spans="1:3" x14ac:dyDescent="0.2">
      <c r="A6" t="s">
        <v>3</v>
      </c>
      <c r="B6" s="1">
        <v>3.9E-2</v>
      </c>
      <c r="C6" s="1">
        <v>1.1000000000000001E-2</v>
      </c>
    </row>
    <row r="7" spans="1:3" x14ac:dyDescent="0.2">
      <c r="A7" t="s">
        <v>4</v>
      </c>
      <c r="B7" s="1">
        <v>9.0999999999999998E-2</v>
      </c>
      <c r="C7" s="1">
        <v>0.05</v>
      </c>
    </row>
    <row r="8" spans="1:3" x14ac:dyDescent="0.2">
      <c r="A8" t="s">
        <v>5</v>
      </c>
      <c r="B8" s="1">
        <v>0.14300000000000002</v>
      </c>
      <c r="C8" s="1">
        <v>0.10400000000000001</v>
      </c>
    </row>
    <row r="9" spans="1:3" x14ac:dyDescent="0.2">
      <c r="A9" t="s">
        <v>6</v>
      </c>
      <c r="B9" s="1">
        <v>0.21</v>
      </c>
      <c r="C9" s="1">
        <v>0.188</v>
      </c>
    </row>
    <row r="10" spans="1:3" x14ac:dyDescent="0.2">
      <c r="A10" t="s">
        <v>7</v>
      </c>
      <c r="B10" s="1">
        <v>0.52400000000000002</v>
      </c>
      <c r="C10" s="1">
        <v>0.64599999999999991</v>
      </c>
    </row>
    <row r="12" spans="1:3" x14ac:dyDescent="0.2">
      <c r="A12">
        <v>2009</v>
      </c>
    </row>
    <row r="13" spans="1:3" x14ac:dyDescent="0.2">
      <c r="A13" t="s">
        <v>1</v>
      </c>
      <c r="B13" s="1" t="s">
        <v>11</v>
      </c>
      <c r="C13" t="s">
        <v>8</v>
      </c>
    </row>
    <row r="14" spans="1:3" x14ac:dyDescent="0.2">
      <c r="A14" t="s">
        <v>3</v>
      </c>
      <c r="B14" s="1">
        <v>0.04</v>
      </c>
      <c r="C14" s="1">
        <v>-2E-3</v>
      </c>
    </row>
    <row r="15" spans="1:3" x14ac:dyDescent="0.2">
      <c r="A15" t="s">
        <v>4</v>
      </c>
      <c r="B15" s="1">
        <v>9.3000000000000013E-2</v>
      </c>
      <c r="C15" s="1">
        <v>3.7000000000000005E-2</v>
      </c>
    </row>
    <row r="16" spans="1:3" x14ac:dyDescent="0.2">
      <c r="A16" t="s">
        <v>5</v>
      </c>
      <c r="B16" s="1">
        <v>0.14599999999999999</v>
      </c>
      <c r="C16" s="1">
        <v>9.6000000000000002E-2</v>
      </c>
    </row>
    <row r="17" spans="1:3" x14ac:dyDescent="0.2">
      <c r="A17" t="s">
        <v>6</v>
      </c>
      <c r="B17" s="1">
        <v>0.215</v>
      </c>
      <c r="C17" s="1">
        <v>0.18600000000000003</v>
      </c>
    </row>
    <row r="18" spans="1:3" x14ac:dyDescent="0.2">
      <c r="A18" t="s">
        <v>7</v>
      </c>
      <c r="B18" s="1">
        <v>0.52300000000000002</v>
      </c>
      <c r="C18" s="1">
        <v>0.68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40B3F-CFCA-BA44-9681-0204E2402B8E}">
  <dimension ref="A1:C16"/>
  <sheetViews>
    <sheetView topLeftCell="A14" zoomScale="113" workbookViewId="0">
      <selection activeCell="E24" sqref="E24"/>
    </sheetView>
  </sheetViews>
  <sheetFormatPr baseColWidth="10" defaultRowHeight="16" x14ac:dyDescent="0.2"/>
  <cols>
    <col min="1" max="1" width="14.1640625" bestFit="1" customWidth="1"/>
    <col min="2" max="2" width="23.83203125" bestFit="1" customWidth="1"/>
    <col min="3" max="3" width="22.33203125" bestFit="1" customWidth="1"/>
  </cols>
  <sheetData>
    <row r="1" spans="1:3" x14ac:dyDescent="0.2">
      <c r="A1" t="s">
        <v>0</v>
      </c>
    </row>
    <row r="3" spans="1:3" x14ac:dyDescent="0.2">
      <c r="A3" t="s">
        <v>1</v>
      </c>
      <c r="B3" s="1" t="s">
        <v>11</v>
      </c>
      <c r="C3" s="1" t="s">
        <v>12</v>
      </c>
    </row>
    <row r="4" spans="1:3" x14ac:dyDescent="0.2">
      <c r="A4" t="s">
        <v>3</v>
      </c>
      <c r="B4" s="1">
        <v>3.3013538827770098E-2</v>
      </c>
      <c r="C4" s="1">
        <v>3.6623179738177684E-2</v>
      </c>
    </row>
    <row r="5" spans="1:3" x14ac:dyDescent="0.2">
      <c r="A5" t="s">
        <v>4</v>
      </c>
      <c r="B5" s="1">
        <v>8.007994377367128E-2</v>
      </c>
      <c r="C5" s="1">
        <v>8.6437457796771949E-2</v>
      </c>
    </row>
    <row r="6" spans="1:3" x14ac:dyDescent="0.2">
      <c r="A6" t="s">
        <v>5</v>
      </c>
      <c r="B6" s="1">
        <v>0.13709585540471225</v>
      </c>
      <c r="C6" s="1">
        <v>0.14341021618715688</v>
      </c>
    </row>
    <row r="7" spans="1:3" x14ac:dyDescent="0.2">
      <c r="A7" t="s">
        <v>6</v>
      </c>
      <c r="B7" s="1">
        <v>0.22291256052494476</v>
      </c>
      <c r="C7" s="1">
        <v>0.22683521563832887</v>
      </c>
    </row>
    <row r="8" spans="1:3" x14ac:dyDescent="0.2">
      <c r="A8" t="s">
        <v>7</v>
      </c>
      <c r="B8" s="1">
        <v>0.52689810158016426</v>
      </c>
      <c r="C8" s="1">
        <v>0.50669393082538283</v>
      </c>
    </row>
    <row r="11" spans="1:3" x14ac:dyDescent="0.2">
      <c r="A11" t="s">
        <v>1</v>
      </c>
      <c r="B11" s="1" t="s">
        <v>11</v>
      </c>
      <c r="C11" t="s">
        <v>8</v>
      </c>
    </row>
    <row r="12" spans="1:3" x14ac:dyDescent="0.2">
      <c r="A12" t="s">
        <v>3</v>
      </c>
      <c r="B12" s="1">
        <v>3.3013538827770098E-2</v>
      </c>
      <c r="C12" s="1">
        <v>1.1799496452451449E-3</v>
      </c>
    </row>
    <row r="13" spans="1:3" x14ac:dyDescent="0.2">
      <c r="A13" t="s">
        <v>4</v>
      </c>
      <c r="B13" s="1">
        <v>8.007994377367128E-2</v>
      </c>
      <c r="C13" s="1">
        <v>2.4012735246084806E-2</v>
      </c>
    </row>
    <row r="14" spans="1:3" x14ac:dyDescent="0.2">
      <c r="A14" t="s">
        <v>5</v>
      </c>
      <c r="B14" s="1">
        <v>0.13709585540471225</v>
      </c>
      <c r="C14" s="1">
        <v>8.1409217290924485E-2</v>
      </c>
    </row>
    <row r="15" spans="1:3" x14ac:dyDescent="0.2">
      <c r="A15" t="s">
        <v>6</v>
      </c>
      <c r="B15" s="1">
        <v>0.22291256052494476</v>
      </c>
      <c r="C15" s="1">
        <v>0.18831848469203838</v>
      </c>
    </row>
    <row r="16" spans="1:3" x14ac:dyDescent="0.2">
      <c r="A16" t="s">
        <v>7</v>
      </c>
      <c r="B16" s="1">
        <v>0.52689810158016426</v>
      </c>
      <c r="C16" s="1">
        <v>0.70507961257946083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766FC-6A3A-7A47-9884-4027F18F66FF}">
  <dimension ref="A1:C15"/>
  <sheetViews>
    <sheetView topLeftCell="A15" workbookViewId="0">
      <selection activeCell="B3" sqref="B3"/>
    </sheetView>
  </sheetViews>
  <sheetFormatPr baseColWidth="10" defaultRowHeight="16" x14ac:dyDescent="0.2"/>
  <cols>
    <col min="1" max="1" width="14.1640625" bestFit="1" customWidth="1"/>
    <col min="2" max="2" width="23.83203125" bestFit="1" customWidth="1"/>
    <col min="3" max="3" width="22.33203125" bestFit="1" customWidth="1"/>
  </cols>
  <sheetData>
    <row r="1" spans="1:3" x14ac:dyDescent="0.2">
      <c r="A1" t="s">
        <v>9</v>
      </c>
    </row>
    <row r="3" spans="1:3" x14ac:dyDescent="0.2">
      <c r="A3" t="s">
        <v>1</v>
      </c>
      <c r="B3" s="1" t="s">
        <v>11</v>
      </c>
      <c r="C3" s="1" t="s">
        <v>12</v>
      </c>
    </row>
    <row r="4" spans="1:3" x14ac:dyDescent="0.2">
      <c r="A4" t="s">
        <v>3</v>
      </c>
      <c r="B4" s="1">
        <v>3.9403562865787049E-2</v>
      </c>
      <c r="C4" s="1">
        <v>4.3984753775429181E-2</v>
      </c>
    </row>
    <row r="5" spans="1:3" x14ac:dyDescent="0.2">
      <c r="A5" t="s">
        <v>4</v>
      </c>
      <c r="B5" s="1">
        <v>8.9693125473511742E-2</v>
      </c>
      <c r="C5" s="1">
        <v>9.6660376493860597E-2</v>
      </c>
    </row>
    <row r="6" spans="1:3" x14ac:dyDescent="0.2">
      <c r="A6" t="s">
        <v>5</v>
      </c>
      <c r="B6" s="1">
        <v>0.15370932436625542</v>
      </c>
      <c r="C6" s="1">
        <v>0.15914221628903139</v>
      </c>
    </row>
    <row r="7" spans="1:3" x14ac:dyDescent="0.2">
      <c r="A7" t="s">
        <v>6</v>
      </c>
      <c r="B7" s="1">
        <v>0.23918023153785348</v>
      </c>
      <c r="C7" s="1">
        <v>0.23964243442098765</v>
      </c>
    </row>
    <row r="8" spans="1:3" x14ac:dyDescent="0.2">
      <c r="A8" t="s">
        <v>7</v>
      </c>
      <c r="B8" s="1">
        <v>0.47801375575659227</v>
      </c>
      <c r="C8" s="1">
        <v>0.46057021878726689</v>
      </c>
    </row>
    <row r="10" spans="1:3" x14ac:dyDescent="0.2">
      <c r="A10" t="s">
        <v>1</v>
      </c>
      <c r="B10" s="1" t="s">
        <v>11</v>
      </c>
      <c r="C10" t="s">
        <v>8</v>
      </c>
    </row>
    <row r="11" spans="1:3" x14ac:dyDescent="0.2">
      <c r="A11" t="s">
        <v>3</v>
      </c>
      <c r="B11" s="1">
        <v>3.9403562865787049E-2</v>
      </c>
      <c r="C11" s="1">
        <v>3.5117828092719344E-3</v>
      </c>
    </row>
    <row r="12" spans="1:3" x14ac:dyDescent="0.2">
      <c r="A12" t="s">
        <v>4</v>
      </c>
      <c r="B12" s="1">
        <v>8.9693125473511742E-2</v>
      </c>
      <c r="C12" s="1">
        <v>3.5107528375916387E-2</v>
      </c>
    </row>
    <row r="13" spans="1:3" x14ac:dyDescent="0.2">
      <c r="A13" t="s">
        <v>5</v>
      </c>
      <c r="B13" s="1">
        <v>0.15370932436625542</v>
      </c>
      <c r="C13" s="1">
        <v>0.11114481094406212</v>
      </c>
    </row>
    <row r="14" spans="1:3" x14ac:dyDescent="0.2">
      <c r="A14" t="s">
        <v>6</v>
      </c>
      <c r="B14" s="1">
        <v>0.23918023153785348</v>
      </c>
      <c r="C14" s="1">
        <v>0.23555905867033058</v>
      </c>
    </row>
    <row r="15" spans="1:3" x14ac:dyDescent="0.2">
      <c r="A15" t="s">
        <v>7</v>
      </c>
      <c r="B15" s="1">
        <v>0.47801375575659227</v>
      </c>
      <c r="C15" s="1">
        <v>0.61467682102920396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A110-6125-FC4C-A3BA-4ED6DE294A9B}">
  <dimension ref="A1:C16"/>
  <sheetViews>
    <sheetView topLeftCell="A9" workbookViewId="0">
      <selection activeCell="E38" sqref="E38"/>
    </sheetView>
  </sheetViews>
  <sheetFormatPr baseColWidth="10" defaultRowHeight="16" x14ac:dyDescent="0.2"/>
  <cols>
    <col min="1" max="1" width="14.1640625" bestFit="1" customWidth="1"/>
    <col min="2" max="2" width="23.83203125" bestFit="1" customWidth="1"/>
    <col min="3" max="3" width="22.33203125" bestFit="1" customWidth="1"/>
  </cols>
  <sheetData>
    <row r="1" spans="1:3" x14ac:dyDescent="0.2">
      <c r="A1" t="s">
        <v>9</v>
      </c>
    </row>
    <row r="3" spans="1:3" x14ac:dyDescent="0.2">
      <c r="A3" t="s">
        <v>1</v>
      </c>
      <c r="B3" s="1" t="s">
        <v>11</v>
      </c>
      <c r="C3" s="1" t="s">
        <v>12</v>
      </c>
    </row>
    <row r="4" spans="1:3" x14ac:dyDescent="0.2">
      <c r="A4" t="s">
        <v>3</v>
      </c>
      <c r="B4" s="1">
        <v>3.9403562865787049E-2</v>
      </c>
      <c r="C4" s="1">
        <v>4.7602014225195319E-2</v>
      </c>
    </row>
    <row r="5" spans="1:3" x14ac:dyDescent="0.2">
      <c r="A5" t="s">
        <v>4</v>
      </c>
      <c r="B5" s="1">
        <v>8.9693125473511742E-2</v>
      </c>
      <c r="C5" s="1">
        <v>0.10210128965705194</v>
      </c>
    </row>
    <row r="6" spans="1:3" x14ac:dyDescent="0.2">
      <c r="A6" t="s">
        <v>5</v>
      </c>
      <c r="B6" s="1">
        <v>0.15370932436625542</v>
      </c>
      <c r="C6" s="1">
        <v>0.16323799944131162</v>
      </c>
    </row>
    <row r="7" spans="1:3" x14ac:dyDescent="0.2">
      <c r="A7" t="s">
        <v>6</v>
      </c>
      <c r="B7" s="1">
        <v>0.23918023153785348</v>
      </c>
      <c r="C7" s="1">
        <v>0.23940317177899617</v>
      </c>
    </row>
    <row r="8" spans="1:3" x14ac:dyDescent="0.2">
      <c r="A8" t="s">
        <v>7</v>
      </c>
      <c r="B8" s="1">
        <v>0.47801375575659227</v>
      </c>
      <c r="C8" s="1">
        <v>0.44765552489744498</v>
      </c>
    </row>
    <row r="11" spans="1:3" x14ac:dyDescent="0.2">
      <c r="A11" t="s">
        <v>1</v>
      </c>
      <c r="B11" s="1" t="s">
        <v>11</v>
      </c>
      <c r="C11" t="s">
        <v>8</v>
      </c>
    </row>
    <row r="12" spans="1:3" x14ac:dyDescent="0.2">
      <c r="A12" t="s">
        <v>3</v>
      </c>
      <c r="B12" s="1">
        <v>3.9403562865787049E-2</v>
      </c>
      <c r="C12" s="1">
        <v>3.0758270279075818E-3</v>
      </c>
    </row>
    <row r="13" spans="1:3" x14ac:dyDescent="0.2">
      <c r="A13" t="s">
        <v>4</v>
      </c>
      <c r="B13" s="1">
        <v>8.9693125473511742E-2</v>
      </c>
      <c r="C13" s="1">
        <v>3.4711947817879507E-2</v>
      </c>
    </row>
    <row r="14" spans="1:3" x14ac:dyDescent="0.2">
      <c r="A14" t="s">
        <v>5</v>
      </c>
      <c r="B14" s="1">
        <v>0.15370932436625542</v>
      </c>
      <c r="C14" s="1">
        <v>0.11148730268963826</v>
      </c>
    </row>
    <row r="15" spans="1:3" x14ac:dyDescent="0.2">
      <c r="A15" t="s">
        <v>6</v>
      </c>
      <c r="B15" s="1">
        <v>0.23918023153785348</v>
      </c>
      <c r="C15" s="1">
        <v>0.23819237251023714</v>
      </c>
    </row>
    <row r="16" spans="1:3" x14ac:dyDescent="0.2">
      <c r="A16" t="s">
        <v>7</v>
      </c>
      <c r="B16" s="1">
        <v>0.47801375575659227</v>
      </c>
      <c r="C16" s="1">
        <v>0.61253254995433748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FCA00-6F0C-B048-9A3A-5679380FA948}">
  <dimension ref="A1:C16"/>
  <sheetViews>
    <sheetView topLeftCell="A8" workbookViewId="0">
      <selection activeCell="R24" sqref="R24"/>
    </sheetView>
  </sheetViews>
  <sheetFormatPr baseColWidth="10" defaultRowHeight="16" x14ac:dyDescent="0.2"/>
  <cols>
    <col min="1" max="1" width="14.5" customWidth="1"/>
    <col min="2" max="2" width="23.83203125" bestFit="1" customWidth="1"/>
    <col min="3" max="3" width="22.33203125" bestFit="1" customWidth="1"/>
  </cols>
  <sheetData>
    <row r="1" spans="1:3" x14ac:dyDescent="0.2">
      <c r="A1" t="s">
        <v>0</v>
      </c>
    </row>
    <row r="3" spans="1:3" x14ac:dyDescent="0.2">
      <c r="A3" t="s">
        <v>1</v>
      </c>
      <c r="B3" s="1" t="s">
        <v>11</v>
      </c>
      <c r="C3" s="1" t="s">
        <v>12</v>
      </c>
    </row>
    <row r="4" spans="1:3" x14ac:dyDescent="0.2">
      <c r="A4" t="s">
        <v>3</v>
      </c>
      <c r="B4" s="1">
        <v>3.3013538827770118E-2</v>
      </c>
      <c r="C4" s="1">
        <v>3.9574489141718523E-2</v>
      </c>
    </row>
    <row r="5" spans="1:3" x14ac:dyDescent="0.2">
      <c r="A5" t="s">
        <v>4</v>
      </c>
      <c r="B5" s="1">
        <v>8.007994377367128E-2</v>
      </c>
      <c r="C5" s="1">
        <v>9.1513494001593268E-2</v>
      </c>
    </row>
    <row r="6" spans="1:3" x14ac:dyDescent="0.2">
      <c r="A6" t="s">
        <v>5</v>
      </c>
      <c r="B6" s="1">
        <v>0.13709585540471225</v>
      </c>
      <c r="C6" s="1">
        <v>0.1480173056624193</v>
      </c>
    </row>
    <row r="7" spans="1:3" x14ac:dyDescent="0.2">
      <c r="A7" t="s">
        <v>6</v>
      </c>
      <c r="B7" s="1">
        <v>0.22291256052494476</v>
      </c>
      <c r="C7" s="1">
        <v>0.22940625389435179</v>
      </c>
    </row>
    <row r="8" spans="1:3" x14ac:dyDescent="0.2">
      <c r="A8" t="s">
        <v>7</v>
      </c>
      <c r="B8" s="1">
        <v>0.52689810158016426</v>
      </c>
      <c r="C8" s="1">
        <v>0.49148845743403913</v>
      </c>
    </row>
    <row r="11" spans="1:3" x14ac:dyDescent="0.2">
      <c r="A11" t="s">
        <v>1</v>
      </c>
      <c r="B11" s="1" t="s">
        <v>11</v>
      </c>
      <c r="C11" t="s">
        <v>8</v>
      </c>
    </row>
    <row r="12" spans="1:3" x14ac:dyDescent="0.2">
      <c r="A12" t="s">
        <v>3</v>
      </c>
      <c r="B12" s="1">
        <v>3.3013538827770118E-2</v>
      </c>
      <c r="C12" s="1">
        <v>1.0796561304757053E-3</v>
      </c>
    </row>
    <row r="13" spans="1:3" x14ac:dyDescent="0.2">
      <c r="A13" t="s">
        <v>4</v>
      </c>
      <c r="B13" s="1">
        <v>8.007994377367128E-2</v>
      </c>
      <c r="C13" s="1">
        <v>2.4429826897179537E-2</v>
      </c>
    </row>
    <row r="14" spans="1:3" x14ac:dyDescent="0.2">
      <c r="A14" t="s">
        <v>5</v>
      </c>
      <c r="B14" s="1">
        <v>0.13709585540471225</v>
      </c>
      <c r="C14" s="1">
        <v>8.3938264701351933E-2</v>
      </c>
    </row>
    <row r="15" spans="1:3" x14ac:dyDescent="0.2">
      <c r="A15" t="s">
        <v>6</v>
      </c>
      <c r="B15" s="1">
        <v>0.22291256052494476</v>
      </c>
      <c r="C15" s="1">
        <v>0.19130603518821399</v>
      </c>
    </row>
    <row r="16" spans="1:3" x14ac:dyDescent="0.2">
      <c r="A16" t="s">
        <v>7</v>
      </c>
      <c r="B16" s="1">
        <v>0.52689810158016426</v>
      </c>
      <c r="C16" s="1">
        <v>0.69924621708277879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1A1CA-7449-3441-9B9B-6BA7A8D43B88}">
  <dimension ref="A1:E18"/>
  <sheetViews>
    <sheetView workbookViewId="0">
      <selection activeCell="F25" sqref="F25"/>
    </sheetView>
  </sheetViews>
  <sheetFormatPr baseColWidth="10" defaultRowHeight="16" x14ac:dyDescent="0.2"/>
  <cols>
    <col min="1" max="1" width="14.1640625" bestFit="1" customWidth="1"/>
    <col min="2" max="2" width="23.83203125" bestFit="1" customWidth="1"/>
    <col min="3" max="3" width="22.33203125" bestFit="1" customWidth="1"/>
    <col min="4" max="4" width="18.5" bestFit="1" customWidth="1"/>
    <col min="5" max="5" width="13" customWidth="1"/>
  </cols>
  <sheetData>
    <row r="1" spans="1:5" x14ac:dyDescent="0.2">
      <c r="A1">
        <v>2021</v>
      </c>
    </row>
    <row r="5" spans="1:5" x14ac:dyDescent="0.2">
      <c r="A5" t="s">
        <v>1</v>
      </c>
      <c r="B5" s="1" t="s">
        <v>11</v>
      </c>
      <c r="C5" s="1" t="s">
        <v>12</v>
      </c>
      <c r="D5" t="s">
        <v>10</v>
      </c>
    </row>
    <row r="6" spans="1:5" x14ac:dyDescent="0.2">
      <c r="A6" t="s">
        <v>3</v>
      </c>
      <c r="B6" s="1">
        <v>3.3000000000000002E-2</v>
      </c>
      <c r="C6" s="1">
        <v>4.8000000000000001E-2</v>
      </c>
      <c r="D6" s="3">
        <v>-1.7000000000000001E-2</v>
      </c>
      <c r="E6" s="4"/>
    </row>
    <row r="7" spans="1:5" x14ac:dyDescent="0.2">
      <c r="A7" t="s">
        <v>4</v>
      </c>
      <c r="B7" s="1">
        <v>7.8E-2</v>
      </c>
      <c r="C7" s="1">
        <v>7.9000000000000001E-2</v>
      </c>
      <c r="D7" s="3">
        <v>-3.4199999999999994E-2</v>
      </c>
      <c r="E7" s="4"/>
    </row>
    <row r="8" spans="1:5" x14ac:dyDescent="0.2">
      <c r="A8" t="s">
        <v>5</v>
      </c>
      <c r="B8" s="1">
        <v>0.12300000000000001</v>
      </c>
      <c r="C8" s="1">
        <v>0.11900000000000001</v>
      </c>
      <c r="D8" s="3">
        <v>-3.7000000000000005E-2</v>
      </c>
      <c r="E8" s="4"/>
    </row>
    <row r="9" spans="1:5" x14ac:dyDescent="0.2">
      <c r="A9" t="s">
        <v>6</v>
      </c>
      <c r="B9" s="1">
        <v>0.187</v>
      </c>
      <c r="C9" s="1">
        <v>0.18</v>
      </c>
      <c r="D9" s="3">
        <v>-3.7000000000000005E-2</v>
      </c>
      <c r="E9" s="4"/>
    </row>
    <row r="10" spans="1:5" x14ac:dyDescent="0.2">
      <c r="A10" t="s">
        <v>7</v>
      </c>
      <c r="B10" s="1">
        <v>0.58799999999999997</v>
      </c>
      <c r="C10" s="1">
        <v>0.58299999999999996</v>
      </c>
      <c r="D10" s="3">
        <v>0.13199999999999995</v>
      </c>
      <c r="E10" s="4"/>
    </row>
    <row r="13" spans="1:5" x14ac:dyDescent="0.2">
      <c r="A13" t="s">
        <v>1</v>
      </c>
      <c r="B13" s="1" t="s">
        <v>11</v>
      </c>
      <c r="C13" t="s">
        <v>8</v>
      </c>
    </row>
    <row r="14" spans="1:5" x14ac:dyDescent="0.2">
      <c r="A14" t="s">
        <v>3</v>
      </c>
      <c r="B14" s="1">
        <v>3.3000000000000002E-2</v>
      </c>
      <c r="C14" s="1">
        <v>-4.2999999999999997E-2</v>
      </c>
    </row>
    <row r="15" spans="1:5" x14ac:dyDescent="0.2">
      <c r="A15" t="s">
        <v>4</v>
      </c>
      <c r="B15" s="1">
        <v>7.8E-2</v>
      </c>
      <c r="C15" s="1">
        <v>1E-3</v>
      </c>
    </row>
    <row r="16" spans="1:5" x14ac:dyDescent="0.2">
      <c r="A16" t="s">
        <v>5</v>
      </c>
      <c r="B16" s="1">
        <v>0.12300000000000001</v>
      </c>
      <c r="C16" s="1">
        <v>5.5E-2</v>
      </c>
    </row>
    <row r="17" spans="1:3" x14ac:dyDescent="0.2">
      <c r="A17" t="s">
        <v>6</v>
      </c>
      <c r="B17" s="1">
        <v>0.187</v>
      </c>
      <c r="C17" s="1">
        <v>0.15</v>
      </c>
    </row>
    <row r="18" spans="1:3" x14ac:dyDescent="0.2">
      <c r="A18" t="s">
        <v>7</v>
      </c>
      <c r="B18" s="1">
        <v>0.58799999999999997</v>
      </c>
      <c r="C18" s="1">
        <v>0.83599999999999997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A6DD1-D088-F743-9DA3-65B6BD52BC21}">
  <dimension ref="A1:C18"/>
  <sheetViews>
    <sheetView workbookViewId="0">
      <selection activeCell="F38" sqref="F38"/>
    </sheetView>
  </sheetViews>
  <sheetFormatPr baseColWidth="10" defaultRowHeight="16" x14ac:dyDescent="0.2"/>
  <cols>
    <col min="1" max="1" width="14.1640625" bestFit="1" customWidth="1"/>
    <col min="2" max="2" width="23.83203125" bestFit="1" customWidth="1"/>
    <col min="3" max="3" width="22.33203125" bestFit="1" customWidth="1"/>
  </cols>
  <sheetData>
    <row r="1" spans="1:3" x14ac:dyDescent="0.2">
      <c r="A1">
        <v>1979</v>
      </c>
    </row>
    <row r="5" spans="1:3" x14ac:dyDescent="0.2">
      <c r="A5" t="s">
        <v>1</v>
      </c>
      <c r="B5" s="1" t="s">
        <v>11</v>
      </c>
      <c r="C5" s="1" t="s">
        <v>12</v>
      </c>
    </row>
    <row r="6" spans="1:3" x14ac:dyDescent="0.2">
      <c r="A6" t="s">
        <v>3</v>
      </c>
      <c r="B6" s="1">
        <v>0.05</v>
      </c>
      <c r="C6" s="1">
        <v>5.5999999999999994E-2</v>
      </c>
    </row>
    <row r="7" spans="1:3" x14ac:dyDescent="0.2">
      <c r="A7" t="s">
        <v>4</v>
      </c>
      <c r="B7" s="1">
        <v>0.11199999999999999</v>
      </c>
      <c r="C7" s="1">
        <v>0.109</v>
      </c>
    </row>
    <row r="8" spans="1:3" x14ac:dyDescent="0.2">
      <c r="A8" t="s">
        <v>5</v>
      </c>
      <c r="B8" s="1">
        <v>0.16</v>
      </c>
      <c r="C8" s="1">
        <v>0.161</v>
      </c>
    </row>
    <row r="9" spans="1:3" x14ac:dyDescent="0.2">
      <c r="A9" t="s">
        <v>6</v>
      </c>
      <c r="B9" s="1">
        <v>0.22399999999999998</v>
      </c>
      <c r="C9" s="1">
        <v>0.22500000000000001</v>
      </c>
    </row>
    <row r="10" spans="1:3" x14ac:dyDescent="0.2">
      <c r="A10" t="s">
        <v>7</v>
      </c>
      <c r="B10" s="1">
        <v>0.45600000000000002</v>
      </c>
      <c r="C10" s="1">
        <v>0.45299999999999996</v>
      </c>
    </row>
    <row r="13" spans="1:3" x14ac:dyDescent="0.2">
      <c r="A13" t="s">
        <v>1</v>
      </c>
      <c r="B13" s="1" t="s">
        <v>11</v>
      </c>
      <c r="C13" t="s">
        <v>8</v>
      </c>
    </row>
    <row r="14" spans="1:3" x14ac:dyDescent="0.2">
      <c r="A14" t="s">
        <v>3</v>
      </c>
      <c r="B14" s="1">
        <v>0.05</v>
      </c>
      <c r="C14" s="1">
        <v>2.1000000000000001E-2</v>
      </c>
    </row>
    <row r="15" spans="1:3" x14ac:dyDescent="0.2">
      <c r="A15" t="s">
        <v>4</v>
      </c>
      <c r="B15" s="1">
        <v>0.11199999999999999</v>
      </c>
      <c r="C15" s="1">
        <v>7.4999999999999997E-2</v>
      </c>
    </row>
    <row r="16" spans="1:3" x14ac:dyDescent="0.2">
      <c r="A16" t="s">
        <v>5</v>
      </c>
      <c r="B16" s="1">
        <v>0.16</v>
      </c>
      <c r="C16" s="1">
        <v>0.13600000000000001</v>
      </c>
    </row>
    <row r="17" spans="1:3" x14ac:dyDescent="0.2">
      <c r="A17" t="s">
        <v>6</v>
      </c>
      <c r="B17" s="1">
        <v>0.22399999999999998</v>
      </c>
      <c r="C17" s="1">
        <v>0.21600000000000003</v>
      </c>
    </row>
    <row r="18" spans="1:3" x14ac:dyDescent="0.2">
      <c r="A18" t="s">
        <v>7</v>
      </c>
      <c r="B18" s="1">
        <v>0.45600000000000002</v>
      </c>
      <c r="C18" s="1">
        <v>0.55100000000000005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103D6-2D2C-0B43-A631-0A484D522993}">
  <dimension ref="A4:C18"/>
  <sheetViews>
    <sheetView topLeftCell="A8" zoomScale="89" zoomScaleNormal="113" workbookViewId="0">
      <selection activeCell="U29" sqref="U29"/>
    </sheetView>
  </sheetViews>
  <sheetFormatPr baseColWidth="10" defaultRowHeight="16" x14ac:dyDescent="0.2"/>
  <cols>
    <col min="1" max="1" width="14.1640625" bestFit="1" customWidth="1"/>
    <col min="2" max="2" width="24.6640625" bestFit="1" customWidth="1"/>
    <col min="3" max="3" width="22.33203125" bestFit="1" customWidth="1"/>
  </cols>
  <sheetData>
    <row r="4" spans="1:3" x14ac:dyDescent="0.2">
      <c r="A4">
        <v>1981</v>
      </c>
    </row>
    <row r="5" spans="1:3" x14ac:dyDescent="0.2">
      <c r="A5" t="s">
        <v>1</v>
      </c>
      <c r="B5" s="1" t="s">
        <v>11</v>
      </c>
      <c r="C5" t="s">
        <v>8</v>
      </c>
    </row>
    <row r="6" spans="1:3" x14ac:dyDescent="0.2">
      <c r="A6" t="s">
        <v>3</v>
      </c>
      <c r="B6" s="1">
        <v>4.7E-2</v>
      </c>
      <c r="C6" s="1">
        <v>0.02</v>
      </c>
    </row>
    <row r="7" spans="1:3" x14ac:dyDescent="0.2">
      <c r="A7" t="s">
        <v>4</v>
      </c>
      <c r="B7" s="1">
        <v>0.109</v>
      </c>
      <c r="C7" s="1">
        <v>7.400000000000001E-2</v>
      </c>
    </row>
    <row r="8" spans="1:3" x14ac:dyDescent="0.2">
      <c r="A8" t="s">
        <v>5</v>
      </c>
      <c r="B8" s="1">
        <v>0.161</v>
      </c>
      <c r="C8" s="1">
        <v>0.13800000000000001</v>
      </c>
    </row>
    <row r="9" spans="1:3" x14ac:dyDescent="0.2">
      <c r="A9" t="s">
        <v>6</v>
      </c>
      <c r="B9" s="1">
        <v>0.22500000000000001</v>
      </c>
      <c r="C9" s="1">
        <v>0.222</v>
      </c>
    </row>
    <row r="10" spans="1:3" x14ac:dyDescent="0.2">
      <c r="A10" t="s">
        <v>7</v>
      </c>
      <c r="B10" s="1">
        <v>0.46200000000000002</v>
      </c>
      <c r="C10" s="1">
        <v>0.54500000000000004</v>
      </c>
    </row>
    <row r="12" spans="1:3" x14ac:dyDescent="0.2">
      <c r="A12">
        <v>1989</v>
      </c>
    </row>
    <row r="13" spans="1:3" x14ac:dyDescent="0.2">
      <c r="A13" t="s">
        <v>1</v>
      </c>
      <c r="B13" s="1" t="s">
        <v>11</v>
      </c>
      <c r="C13" t="s">
        <v>8</v>
      </c>
    </row>
    <row r="14" spans="1:3" x14ac:dyDescent="0.2">
      <c r="A14" t="s">
        <v>3</v>
      </c>
      <c r="B14" s="1">
        <v>3.7999999999999999E-2</v>
      </c>
      <c r="C14" s="1">
        <v>1.7000000000000001E-2</v>
      </c>
    </row>
    <row r="15" spans="1:3" x14ac:dyDescent="0.2">
      <c r="A15" t="s">
        <v>4</v>
      </c>
      <c r="B15" s="1">
        <v>9.9000000000000005E-2</v>
      </c>
      <c r="C15" s="1">
        <v>6.5000000000000002E-2</v>
      </c>
    </row>
    <row r="16" spans="1:3" x14ac:dyDescent="0.2">
      <c r="A16" t="s">
        <v>5</v>
      </c>
      <c r="B16" s="1">
        <v>0.152</v>
      </c>
      <c r="C16" s="1">
        <v>0.127</v>
      </c>
    </row>
    <row r="17" spans="1:3" x14ac:dyDescent="0.2">
      <c r="A17" t="s">
        <v>6</v>
      </c>
      <c r="B17" s="1">
        <v>0.21899999999999997</v>
      </c>
      <c r="C17" s="1">
        <v>0.21</v>
      </c>
    </row>
    <row r="18" spans="1:3" x14ac:dyDescent="0.2">
      <c r="A18" t="s">
        <v>7</v>
      </c>
      <c r="B18" s="1">
        <v>0.5</v>
      </c>
      <c r="C18" s="1">
        <v>0.57899999999999996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BF786-FEAF-4546-BC3E-7B5830AC9ECC}">
  <dimension ref="A2:C16"/>
  <sheetViews>
    <sheetView topLeftCell="A5" zoomScaleNormal="100" workbookViewId="0">
      <selection activeCell="R38" sqref="R38"/>
    </sheetView>
  </sheetViews>
  <sheetFormatPr baseColWidth="10" defaultRowHeight="16" x14ac:dyDescent="0.2"/>
  <cols>
    <col min="1" max="1" width="14.5" customWidth="1"/>
    <col min="2" max="2" width="23.83203125" bestFit="1" customWidth="1"/>
    <col min="3" max="3" width="22.33203125" bestFit="1" customWidth="1"/>
  </cols>
  <sheetData>
    <row r="2" spans="1:3" x14ac:dyDescent="0.2">
      <c r="A2">
        <v>2003</v>
      </c>
    </row>
    <row r="3" spans="1:3" x14ac:dyDescent="0.2">
      <c r="A3" t="s">
        <v>1</v>
      </c>
      <c r="B3" s="1" t="s">
        <v>2</v>
      </c>
      <c r="C3" t="s">
        <v>8</v>
      </c>
    </row>
    <row r="4" spans="1:3" x14ac:dyDescent="0.2">
      <c r="A4" t="s">
        <v>3</v>
      </c>
      <c r="B4" s="2">
        <v>3.5000000000000003E-2</v>
      </c>
      <c r="C4" s="1">
        <v>2.1944173732823852E-3</v>
      </c>
    </row>
    <row r="5" spans="1:3" x14ac:dyDescent="0.2">
      <c r="A5" t="s">
        <v>4</v>
      </c>
      <c r="B5" s="2">
        <v>8.4000000000000005E-2</v>
      </c>
      <c r="C5" s="1">
        <v>2.9553388795125431E-2</v>
      </c>
    </row>
    <row r="6" spans="1:3" x14ac:dyDescent="0.2">
      <c r="A6" t="s">
        <v>5</v>
      </c>
      <c r="B6" s="2">
        <v>0.14499999999999999</v>
      </c>
      <c r="C6" s="1">
        <v>9.8643832537195317E-2</v>
      </c>
    </row>
    <row r="7" spans="1:3" x14ac:dyDescent="0.2">
      <c r="A7" t="s">
        <v>6</v>
      </c>
      <c r="B7" s="2">
        <v>0.23100000000000001</v>
      </c>
      <c r="C7" s="1">
        <v>0.21265506945768287</v>
      </c>
    </row>
    <row r="8" spans="1:3" x14ac:dyDescent="0.2">
      <c r="A8" t="s">
        <v>7</v>
      </c>
      <c r="B8" s="2">
        <v>0.505</v>
      </c>
      <c r="C8" s="1">
        <v>0.65695329259378166</v>
      </c>
    </row>
    <row r="10" spans="1:3" x14ac:dyDescent="0.2">
      <c r="A10">
        <v>2006</v>
      </c>
    </row>
    <row r="11" spans="1:3" x14ac:dyDescent="0.2">
      <c r="A11" t="s">
        <v>1</v>
      </c>
      <c r="B11" s="1" t="s">
        <v>2</v>
      </c>
      <c r="C11" t="s">
        <v>8</v>
      </c>
    </row>
    <row r="12" spans="1:3" x14ac:dyDescent="0.2">
      <c r="A12" t="s">
        <v>3</v>
      </c>
      <c r="B12" s="1">
        <v>3.3606180989673537E-2</v>
      </c>
      <c r="C12" s="1">
        <v>1.9078409977653335E-3</v>
      </c>
    </row>
    <row r="13" spans="1:3" x14ac:dyDescent="0.2">
      <c r="A13" t="s">
        <v>4</v>
      </c>
      <c r="B13" s="1">
        <v>8.0978887852619141E-2</v>
      </c>
      <c r="C13" s="1">
        <v>2.7288004736922573E-2</v>
      </c>
    </row>
    <row r="14" spans="1:3" x14ac:dyDescent="0.2">
      <c r="A14" t="s">
        <v>5</v>
      </c>
      <c r="B14" s="1">
        <v>0.139214044301222</v>
      </c>
      <c r="C14" s="1">
        <v>9.3187055162765278E-2</v>
      </c>
    </row>
    <row r="15" spans="1:3" x14ac:dyDescent="0.2">
      <c r="A15" t="s">
        <v>6</v>
      </c>
      <c r="B15" s="1">
        <v>0.22329614241172252</v>
      </c>
      <c r="C15" s="1">
        <v>0.20323213393229275</v>
      </c>
    </row>
    <row r="16" spans="1:3" x14ac:dyDescent="0.2">
      <c r="A16" t="s">
        <v>7</v>
      </c>
      <c r="B16" s="1">
        <v>0.52290474433691336</v>
      </c>
      <c r="C16" s="1">
        <v>0.67438496579301943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8B4FB-4887-2A48-944F-472567A69FEE}">
  <dimension ref="A2:C16"/>
  <sheetViews>
    <sheetView zoomScaleNormal="100" workbookViewId="0">
      <selection activeCell="U45" sqref="U45"/>
    </sheetView>
  </sheetViews>
  <sheetFormatPr baseColWidth="10" defaultRowHeight="16" x14ac:dyDescent="0.2"/>
  <cols>
    <col min="1" max="1" width="14.1640625" bestFit="1" customWidth="1"/>
    <col min="2" max="2" width="23.83203125" bestFit="1" customWidth="1"/>
    <col min="3" max="3" width="20.33203125" customWidth="1"/>
  </cols>
  <sheetData>
    <row r="2" spans="1:3" x14ac:dyDescent="0.2">
      <c r="A2">
        <v>2006</v>
      </c>
    </row>
    <row r="3" spans="1:3" x14ac:dyDescent="0.2">
      <c r="A3" t="s">
        <v>1</v>
      </c>
      <c r="B3" s="1" t="s">
        <v>2</v>
      </c>
      <c r="C3" t="s">
        <v>8</v>
      </c>
    </row>
    <row r="4" spans="1:3" x14ac:dyDescent="0.2">
      <c r="A4" t="s">
        <v>3</v>
      </c>
      <c r="B4" s="2">
        <v>3.3606180989673537E-2</v>
      </c>
      <c r="C4" s="1">
        <v>1.9078409977653335E-3</v>
      </c>
    </row>
    <row r="5" spans="1:3" x14ac:dyDescent="0.2">
      <c r="A5" t="s">
        <v>4</v>
      </c>
      <c r="B5" s="2">
        <v>8.0978887852619141E-2</v>
      </c>
      <c r="C5" s="1">
        <v>2.7288004736922573E-2</v>
      </c>
    </row>
    <row r="6" spans="1:3" x14ac:dyDescent="0.2">
      <c r="A6" t="s">
        <v>5</v>
      </c>
      <c r="B6" s="2">
        <v>0.139214044301222</v>
      </c>
      <c r="C6" s="1">
        <v>9.3187055162765278E-2</v>
      </c>
    </row>
    <row r="7" spans="1:3" x14ac:dyDescent="0.2">
      <c r="A7" t="s">
        <v>6</v>
      </c>
      <c r="B7" s="2">
        <v>0.22329614241172252</v>
      </c>
      <c r="C7" s="1">
        <v>0.20323213393229275</v>
      </c>
    </row>
    <row r="8" spans="1:3" x14ac:dyDescent="0.2">
      <c r="A8" t="s">
        <v>7</v>
      </c>
      <c r="B8" s="2">
        <v>0.52290474433691336</v>
      </c>
      <c r="C8" s="1">
        <v>0.67438496579301943</v>
      </c>
    </row>
    <row r="10" spans="1:3" x14ac:dyDescent="0.2">
      <c r="A10">
        <v>2015</v>
      </c>
    </row>
    <row r="11" spans="1:3" x14ac:dyDescent="0.2">
      <c r="A11" t="s">
        <v>1</v>
      </c>
      <c r="B11" s="1" t="s">
        <v>2</v>
      </c>
      <c r="C11" t="s">
        <v>8</v>
      </c>
    </row>
    <row r="12" spans="1:3" x14ac:dyDescent="0.2">
      <c r="A12" t="s">
        <v>3</v>
      </c>
      <c r="B12" s="1">
        <v>3.37648993420624E-2</v>
      </c>
      <c r="C12" s="1">
        <v>1.39998975118576E-3</v>
      </c>
    </row>
    <row r="13" spans="1:3" x14ac:dyDescent="0.2">
      <c r="A13" t="s">
        <v>4</v>
      </c>
      <c r="B13" s="1">
        <v>8.1058019135065995E-2</v>
      </c>
      <c r="C13" s="1">
        <v>2.5274251445821686E-2</v>
      </c>
    </row>
    <row r="14" spans="1:3" x14ac:dyDescent="0.2">
      <c r="A14" t="s">
        <v>5</v>
      </c>
      <c r="B14" s="1">
        <v>0.13861519822243901</v>
      </c>
      <c r="C14" s="1">
        <v>8.7249556996216351E-2</v>
      </c>
    </row>
    <row r="15" spans="1:3" x14ac:dyDescent="0.2">
      <c r="A15" t="s">
        <v>6</v>
      </c>
      <c r="B15" s="1">
        <v>0.22410140369625839</v>
      </c>
      <c r="C15" s="1">
        <v>0.19788241826420078</v>
      </c>
    </row>
    <row r="16" spans="1:3" x14ac:dyDescent="0.2">
      <c r="A16" t="s">
        <v>7</v>
      </c>
      <c r="B16" s="1">
        <v>0.5224604796812371</v>
      </c>
      <c r="C16" s="1">
        <v>0.68819378262448616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88267-7B38-FF46-9530-3ED4EE413720}">
  <dimension ref="A2:C16"/>
  <sheetViews>
    <sheetView zoomScaleNormal="100" workbookViewId="0">
      <selection activeCell="S18" sqref="S18"/>
    </sheetView>
  </sheetViews>
  <sheetFormatPr baseColWidth="10" defaultRowHeight="16" x14ac:dyDescent="0.2"/>
  <cols>
    <col min="1" max="1" width="14.5" customWidth="1"/>
    <col min="2" max="2" width="23.83203125" bestFit="1" customWidth="1"/>
    <col min="3" max="3" width="24.33203125" customWidth="1"/>
  </cols>
  <sheetData>
    <row r="2" spans="1:3" x14ac:dyDescent="0.2">
      <c r="A2">
        <v>2003</v>
      </c>
    </row>
    <row r="3" spans="1:3" x14ac:dyDescent="0.2">
      <c r="A3" t="s">
        <v>1</v>
      </c>
      <c r="B3" s="1" t="s">
        <v>11</v>
      </c>
      <c r="C3" t="s">
        <v>8</v>
      </c>
    </row>
    <row r="4" spans="1:3" x14ac:dyDescent="0.2">
      <c r="A4" t="s">
        <v>3</v>
      </c>
      <c r="B4" s="2">
        <v>3.5000000000000003E-2</v>
      </c>
      <c r="C4" s="1">
        <v>2.7407949802576168E-3</v>
      </c>
    </row>
    <row r="5" spans="1:3" x14ac:dyDescent="0.2">
      <c r="A5" t="s">
        <v>4</v>
      </c>
      <c r="B5" s="2">
        <v>8.4000000000000005E-2</v>
      </c>
      <c r="C5" s="1">
        <v>3.1309229080226944E-2</v>
      </c>
    </row>
    <row r="6" spans="1:3" x14ac:dyDescent="0.2">
      <c r="A6" t="s">
        <v>5</v>
      </c>
      <c r="B6" s="2">
        <v>0.14499999999999999</v>
      </c>
      <c r="C6" s="1">
        <v>0.10048633238695197</v>
      </c>
    </row>
    <row r="7" spans="1:3" x14ac:dyDescent="0.2">
      <c r="A7" t="s">
        <v>6</v>
      </c>
      <c r="B7" s="2">
        <v>0.23100000000000001</v>
      </c>
      <c r="C7" s="1">
        <v>0.2125031726803141</v>
      </c>
    </row>
    <row r="8" spans="1:3" x14ac:dyDescent="0.2">
      <c r="A8" t="s">
        <v>7</v>
      </c>
      <c r="B8" s="2">
        <v>0.505</v>
      </c>
      <c r="C8" s="1">
        <v>0.65296046967864863</v>
      </c>
    </row>
    <row r="10" spans="1:3" x14ac:dyDescent="0.2">
      <c r="A10">
        <v>2006</v>
      </c>
    </row>
    <row r="11" spans="1:3" x14ac:dyDescent="0.2">
      <c r="A11" t="s">
        <v>1</v>
      </c>
      <c r="B11" s="1" t="s">
        <v>11</v>
      </c>
      <c r="C11" t="s">
        <v>8</v>
      </c>
    </row>
    <row r="12" spans="1:3" x14ac:dyDescent="0.2">
      <c r="A12" t="s">
        <v>3</v>
      </c>
      <c r="B12" s="1">
        <v>3.3606180989673537E-2</v>
      </c>
      <c r="C12" s="1">
        <v>2.3493168418740481E-3</v>
      </c>
    </row>
    <row r="13" spans="1:3" x14ac:dyDescent="0.2">
      <c r="A13" t="s">
        <v>4</v>
      </c>
      <c r="B13" s="1">
        <v>8.0978887852619141E-2</v>
      </c>
      <c r="C13" s="1">
        <v>2.6962333236272704E-2</v>
      </c>
    </row>
    <row r="14" spans="1:3" x14ac:dyDescent="0.2">
      <c r="A14" t="s">
        <v>5</v>
      </c>
      <c r="B14" s="1">
        <v>0.139214044301222</v>
      </c>
      <c r="C14" s="1">
        <v>9.0072688376541407E-2</v>
      </c>
    </row>
    <row r="15" spans="1:3" x14ac:dyDescent="0.2">
      <c r="A15" t="s">
        <v>6</v>
      </c>
      <c r="B15" s="1">
        <v>0.22329614241172252</v>
      </c>
      <c r="C15" s="1">
        <v>0.199099501062238</v>
      </c>
    </row>
    <row r="16" spans="1:3" x14ac:dyDescent="0.2">
      <c r="A16" t="s">
        <v>7</v>
      </c>
      <c r="B16" s="1">
        <v>0.52290474433691336</v>
      </c>
      <c r="C16" s="1">
        <v>0.68151615946930466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9181E-1DA5-EE46-A072-D389773C7C11}">
  <dimension ref="A2:C16"/>
  <sheetViews>
    <sheetView topLeftCell="A9" zoomScaleNormal="100" workbookViewId="0">
      <selection activeCell="F27" sqref="F27"/>
    </sheetView>
  </sheetViews>
  <sheetFormatPr baseColWidth="10" defaultRowHeight="16" x14ac:dyDescent="0.2"/>
  <cols>
    <col min="1" max="1" width="14.5" customWidth="1"/>
    <col min="2" max="2" width="23.83203125" bestFit="1" customWidth="1"/>
    <col min="3" max="3" width="24.33203125" customWidth="1"/>
  </cols>
  <sheetData>
    <row r="2" spans="1:3" x14ac:dyDescent="0.2">
      <c r="A2">
        <v>2006</v>
      </c>
    </row>
    <row r="3" spans="1:3" x14ac:dyDescent="0.2">
      <c r="A3" t="s">
        <v>1</v>
      </c>
      <c r="B3" s="1" t="s">
        <v>11</v>
      </c>
      <c r="C3" t="s">
        <v>8</v>
      </c>
    </row>
    <row r="4" spans="1:3" x14ac:dyDescent="0.2">
      <c r="A4" t="s">
        <v>3</v>
      </c>
      <c r="B4" s="1">
        <v>3.3606180989673537E-2</v>
      </c>
      <c r="C4" s="1">
        <v>2.3493168418740481E-3</v>
      </c>
    </row>
    <row r="5" spans="1:3" x14ac:dyDescent="0.2">
      <c r="A5" t="s">
        <v>4</v>
      </c>
      <c r="B5" s="1">
        <v>8.0978887852619141E-2</v>
      </c>
      <c r="C5" s="1">
        <v>2.6962333236272704E-2</v>
      </c>
    </row>
    <row r="6" spans="1:3" x14ac:dyDescent="0.2">
      <c r="A6" t="s">
        <v>5</v>
      </c>
      <c r="B6" s="1">
        <v>0.139214044301222</v>
      </c>
      <c r="C6" s="1">
        <v>9.0072688376541407E-2</v>
      </c>
    </row>
    <row r="7" spans="1:3" x14ac:dyDescent="0.2">
      <c r="A7" t="s">
        <v>6</v>
      </c>
      <c r="B7" s="1">
        <v>0.22329614241172252</v>
      </c>
      <c r="C7" s="1">
        <v>0.199099501062238</v>
      </c>
    </row>
    <row r="8" spans="1:3" x14ac:dyDescent="0.2">
      <c r="A8" t="s">
        <v>7</v>
      </c>
      <c r="B8" s="1">
        <v>0.52290474433691336</v>
      </c>
      <c r="C8" s="1">
        <v>0.68151615946930466</v>
      </c>
    </row>
    <row r="10" spans="1:3" x14ac:dyDescent="0.2">
      <c r="A10">
        <v>2015</v>
      </c>
    </row>
    <row r="11" spans="1:3" x14ac:dyDescent="0.2">
      <c r="A11" t="s">
        <v>1</v>
      </c>
      <c r="B11" s="1" t="s">
        <v>11</v>
      </c>
      <c r="C11" t="s">
        <v>8</v>
      </c>
    </row>
    <row r="12" spans="1:3" x14ac:dyDescent="0.2">
      <c r="A12" t="s">
        <v>3</v>
      </c>
      <c r="B12" s="1">
        <v>3.37648993420624E-2</v>
      </c>
      <c r="C12" s="1">
        <v>1.5878903855589389E-3</v>
      </c>
    </row>
    <row r="13" spans="1:3" x14ac:dyDescent="0.2">
      <c r="A13" t="s">
        <v>4</v>
      </c>
      <c r="B13" s="1">
        <v>8.1058019135065995E-2</v>
      </c>
      <c r="C13" s="1">
        <v>2.4014951382084482E-2</v>
      </c>
    </row>
    <row r="14" spans="1:3" x14ac:dyDescent="0.2">
      <c r="A14" t="s">
        <v>5</v>
      </c>
      <c r="B14" s="1">
        <v>0.13861519822243901</v>
      </c>
      <c r="C14" s="1">
        <v>8.3670129734444973E-2</v>
      </c>
    </row>
    <row r="15" spans="1:3" x14ac:dyDescent="0.2">
      <c r="A15" t="s">
        <v>6</v>
      </c>
      <c r="B15" s="1">
        <v>0.22410140369625839</v>
      </c>
      <c r="C15" s="1">
        <v>0.19351391261580447</v>
      </c>
    </row>
    <row r="16" spans="1:3" x14ac:dyDescent="0.2">
      <c r="A16" t="s">
        <v>7</v>
      </c>
      <c r="B16" s="1">
        <v>0.5224604796812371</v>
      </c>
      <c r="C16" s="1">
        <v>0.69721311512396988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Trump Era</vt:lpstr>
      <vt:lpstr>Bush Era</vt:lpstr>
      <vt:lpstr>2022 Graphs Canada (Federal)</vt:lpstr>
      <vt:lpstr>1992 Graphs Canada (Federal)</vt:lpstr>
      <vt:lpstr>1992 Graphs Canada (Fed &amp; Prov)</vt:lpstr>
      <vt:lpstr>2022 Graphs Canada (Fed &amp; Prov)</vt:lpstr>
      <vt:lpstr>2021 Graphs US</vt:lpstr>
      <vt:lpstr>1979 Graphs US </vt:lpstr>
      <vt:lpstr>Reagan Era</vt:lpstr>
      <vt:lpstr>Martin (FP)</vt:lpstr>
      <vt:lpstr>Harper (FP)</vt:lpstr>
      <vt:lpstr>Martin (F)</vt:lpstr>
      <vt:lpstr>Harper (F)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 Ghimire</dc:creator>
  <cp:lastModifiedBy>Nishan Ghimire</cp:lastModifiedBy>
  <dcterms:created xsi:type="dcterms:W3CDTF">2025-07-30T20:41:55Z</dcterms:created>
  <dcterms:modified xsi:type="dcterms:W3CDTF">2025-12-23T19:59:53Z</dcterms:modified>
</cp:coreProperties>
</file>