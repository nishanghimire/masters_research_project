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c82bb3b492b3b6/MRP OneDrive/Master Data and R Code File/"/>
    </mc:Choice>
  </mc:AlternateContent>
  <xr:revisionPtr revIDLastSave="0" documentId="8_{012A08FD-F75D-9740-94B8-76980F33473B}" xr6:coauthVersionLast="47" xr6:coauthVersionMax="47" xr10:uidLastSave="{00000000-0000-0000-0000-000000000000}"/>
  <bookViews>
    <workbookView xWindow="0" yWindow="780" windowWidth="34200" windowHeight="19800" activeTab="2" xr2:uid="{3E097A9F-9835-E84F-A0F7-0A2D17FFA345}"/>
  </bookViews>
  <sheets>
    <sheet name="US" sheetId="1" r:id="rId1"/>
    <sheet name="Canada (Federal)" sheetId="2" r:id="rId2"/>
    <sheet name="Canada (Federal and Prov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3" l="1"/>
  <c r="L39" i="2"/>
  <c r="H35" i="3"/>
  <c r="G35" i="3"/>
  <c r="G35" i="2"/>
  <c r="F35" i="2"/>
  <c r="G44" i="1"/>
  <c r="G2" i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2" i="1"/>
  <c r="G49" i="1" l="1"/>
  <c r="G47" i="1"/>
  <c r="L48" i="1"/>
  <c r="F47" i="1"/>
</calcChain>
</file>

<file path=xl/sharedStrings.xml><?xml version="1.0" encoding="utf-8"?>
<sst xmlns="http://schemas.openxmlformats.org/spreadsheetml/2006/main" count="25" uniqueCount="13">
  <si>
    <t>year</t>
  </si>
  <si>
    <t>Kakwani_index</t>
  </si>
  <si>
    <t>RS_Index</t>
  </si>
  <si>
    <t xml:space="preserve">Kakwani </t>
  </si>
  <si>
    <t>RS</t>
  </si>
  <si>
    <t>Kakwani</t>
  </si>
  <si>
    <t>% change between 1992 and 2022</t>
  </si>
  <si>
    <t>% change between 1979 and 2021</t>
  </si>
  <si>
    <t>Other % changes</t>
  </si>
  <si>
    <t>Between 1979 and 1986</t>
  </si>
  <si>
    <t xml:space="preserve">Other % changes </t>
  </si>
  <si>
    <t>1992-1994</t>
  </si>
  <si>
    <t>% change between 1979 and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</si>
</sst>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>
                <a:latin typeface="Arial" panose="020B0604020202020204" pitchFamily="34" charset="0"/>
                <a:cs typeface="Arial" panose="020B0604020202020204" pitchFamily="34" charset="0"/>
              </a:rPr>
              <a:t>Kakwani Index, US, 1979-2021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US!$F$1</c:f>
              <c:strCache>
                <c:ptCount val="1"/>
                <c:pt idx="0">
                  <c:v>Kakwani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US!$B$2:$B$44</c:f>
              <c:numCache>
                <c:formatCode>0</c:formatCode>
                <c:ptCount val="43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</c:numCache>
            </c:numRef>
          </c:cat>
          <c:val>
            <c:numRef>
              <c:f>US!$F$2:$F$44</c:f>
              <c:numCache>
                <c:formatCode>General</c:formatCode>
                <c:ptCount val="43"/>
                <c:pt idx="0">
                  <c:v>100</c:v>
                </c:pt>
                <c:pt idx="1">
                  <c:v>100.11576973846152</c:v>
                </c:pt>
                <c:pt idx="2">
                  <c:v>92.07551065418086</c:v>
                </c:pt>
                <c:pt idx="3">
                  <c:v>86.765427705222692</c:v>
                </c:pt>
                <c:pt idx="4">
                  <c:v>79.677989869393514</c:v>
                </c:pt>
                <c:pt idx="5">
                  <c:v>73.49955615961575</c:v>
                </c:pt>
                <c:pt idx="6">
                  <c:v>71.719741588703528</c:v>
                </c:pt>
                <c:pt idx="7">
                  <c:v>68.876548000779792</c:v>
                </c:pt>
                <c:pt idx="8">
                  <c:v>88.574849922698263</c:v>
                </c:pt>
                <c:pt idx="9">
                  <c:v>84.370289796499094</c:v>
                </c:pt>
                <c:pt idx="10">
                  <c:v>85.757542451952034</c:v>
                </c:pt>
                <c:pt idx="11">
                  <c:v>82.964493500764974</c:v>
                </c:pt>
                <c:pt idx="12">
                  <c:v>89.62658887359639</c:v>
                </c:pt>
                <c:pt idx="13">
                  <c:v>92.527973648280181</c:v>
                </c:pt>
                <c:pt idx="14">
                  <c:v>99.118061542209091</c:v>
                </c:pt>
                <c:pt idx="15">
                  <c:v>107.38494987913715</c:v>
                </c:pt>
                <c:pt idx="16">
                  <c:v>110.78427894316611</c:v>
                </c:pt>
                <c:pt idx="17">
                  <c:v>110.82578268243451</c:v>
                </c:pt>
                <c:pt idx="18">
                  <c:v>109.63959319569099</c:v>
                </c:pt>
                <c:pt idx="19">
                  <c:v>113.49241850399274</c:v>
                </c:pt>
                <c:pt idx="20">
                  <c:v>112.17991646949569</c:v>
                </c:pt>
                <c:pt idx="21">
                  <c:v>111.05849256663365</c:v>
                </c:pt>
                <c:pt idx="22">
                  <c:v>122.45538828078509</c:v>
                </c:pt>
                <c:pt idx="23">
                  <c:v>127.64842135832349</c:v>
                </c:pt>
                <c:pt idx="24">
                  <c:v>126.24954692437085</c:v>
                </c:pt>
                <c:pt idx="25">
                  <c:v>123.8018412700967</c:v>
                </c:pt>
                <c:pt idx="26">
                  <c:v>121.12480894015596</c:v>
                </c:pt>
                <c:pt idx="27">
                  <c:v>120.14998769243599</c:v>
                </c:pt>
                <c:pt idx="28">
                  <c:v>118.34520138503071</c:v>
                </c:pt>
                <c:pt idx="29">
                  <c:v>153.84502564106316</c:v>
                </c:pt>
                <c:pt idx="30">
                  <c:v>164.41617159048474</c:v>
                </c:pt>
                <c:pt idx="31">
                  <c:v>159.26035380680455</c:v>
                </c:pt>
                <c:pt idx="32">
                  <c:v>155.0304470480317</c:v>
                </c:pt>
                <c:pt idx="33">
                  <c:v>148.85579887428764</c:v>
                </c:pt>
                <c:pt idx="34">
                  <c:v>145.50605667477782</c:v>
                </c:pt>
                <c:pt idx="35">
                  <c:v>142.11674922305073</c:v>
                </c:pt>
                <c:pt idx="36">
                  <c:v>143.82757377131924</c:v>
                </c:pt>
                <c:pt idx="37">
                  <c:v>143.84348399522915</c:v>
                </c:pt>
                <c:pt idx="38">
                  <c:v>142.08937266535753</c:v>
                </c:pt>
                <c:pt idx="39">
                  <c:v>148.41885292040388</c:v>
                </c:pt>
                <c:pt idx="40">
                  <c:v>144.4955380051359</c:v>
                </c:pt>
                <c:pt idx="41">
                  <c:v>245.05806500222565</c:v>
                </c:pt>
                <c:pt idx="42">
                  <c:v>251.58165913277938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55-9E41-9B38-68BA674F5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0606064"/>
        <c:axId val="410635904"/>
      </c:lineChart>
      <c:catAx>
        <c:axId val="4106060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635904"/>
        <c:crosses val="autoZero"/>
        <c:auto val="1"/>
        <c:lblAlgn val="ctr"/>
        <c:lblOffset val="100"/>
        <c:tickLblSkip val="6"/>
        <c:tickMarkSkip val="5"/>
        <c:noMultiLvlLbl val="0"/>
      </c:catAx>
      <c:valAx>
        <c:axId val="410635904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60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CA" sz="1200" b="1" i="0" u="none" strike="noStrike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  <a:t>Reynolds-Smolensky (RS) Index, US, 1979-2021</a:t>
            </a:r>
            <a:endParaRPr lang="en-US" sz="1200" b="1" i="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US!$G$1</c:f>
              <c:strCache>
                <c:ptCount val="1"/>
                <c:pt idx="0">
                  <c:v>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US!$B$2:$B$49</c:f>
              <c:numCache>
                <c:formatCode>0</c:formatCode>
                <c:ptCount val="48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</c:numCache>
            </c:numRef>
          </c:cat>
          <c:val>
            <c:numRef>
              <c:f>US!$G$2:$G$44</c:f>
              <c:numCache>
                <c:formatCode>General</c:formatCode>
                <c:ptCount val="43"/>
                <c:pt idx="0">
                  <c:v>100</c:v>
                </c:pt>
                <c:pt idx="1">
                  <c:v>104.03232434950067</c:v>
                </c:pt>
                <c:pt idx="2">
                  <c:v>102.06633438430308</c:v>
                </c:pt>
                <c:pt idx="3">
                  <c:v>94.543567178308436</c:v>
                </c:pt>
                <c:pt idx="4">
                  <c:v>93.780015905140189</c:v>
                </c:pt>
                <c:pt idx="5">
                  <c:v>84.93748616591671</c:v>
                </c:pt>
                <c:pt idx="6">
                  <c:v>86.693162015410536</c:v>
                </c:pt>
                <c:pt idx="7">
                  <c:v>84.701955265170994</c:v>
                </c:pt>
                <c:pt idx="8">
                  <c:v>99.336072151368484</c:v>
                </c:pt>
                <c:pt idx="9">
                  <c:v>96.933826397485745</c:v>
                </c:pt>
                <c:pt idx="10">
                  <c:v>98.692512399304093</c:v>
                </c:pt>
                <c:pt idx="11">
                  <c:v>101.7673199117791</c:v>
                </c:pt>
                <c:pt idx="12">
                  <c:v>111.40305182581058</c:v>
                </c:pt>
                <c:pt idx="13">
                  <c:v>119.96300576867756</c:v>
                </c:pt>
                <c:pt idx="14">
                  <c:v>130.22683210127377</c:v>
                </c:pt>
                <c:pt idx="15">
                  <c:v>135.21542957216903</c:v>
                </c:pt>
                <c:pt idx="16">
                  <c:v>134.55137554948797</c:v>
                </c:pt>
                <c:pt idx="17">
                  <c:v>133.12038157916555</c:v>
                </c:pt>
                <c:pt idx="18">
                  <c:v>126.6724550513961</c:v>
                </c:pt>
                <c:pt idx="19">
                  <c:v>125.60303985730074</c:v>
                </c:pt>
                <c:pt idx="20">
                  <c:v>124.68764712795419</c:v>
                </c:pt>
                <c:pt idx="21">
                  <c:v>124.45092658617003</c:v>
                </c:pt>
                <c:pt idx="22">
                  <c:v>129.8357466223207</c:v>
                </c:pt>
                <c:pt idx="23">
                  <c:v>134.67066410088734</c:v>
                </c:pt>
                <c:pt idx="24">
                  <c:v>134.20524408189632</c:v>
                </c:pt>
                <c:pt idx="25">
                  <c:v>134.23493103326453</c:v>
                </c:pt>
                <c:pt idx="26">
                  <c:v>132.68196280677418</c:v>
                </c:pt>
                <c:pt idx="27">
                  <c:v>130.56063456173985</c:v>
                </c:pt>
                <c:pt idx="28">
                  <c:v>123.32491331842796</c:v>
                </c:pt>
                <c:pt idx="29">
                  <c:v>137.71897506296085</c:v>
                </c:pt>
                <c:pt idx="30">
                  <c:v>151.33850839201628</c:v>
                </c:pt>
                <c:pt idx="31">
                  <c:v>155.62613691831061</c:v>
                </c:pt>
                <c:pt idx="32">
                  <c:v>154.78525897764413</c:v>
                </c:pt>
                <c:pt idx="33">
                  <c:v>154.50922620699899</c:v>
                </c:pt>
                <c:pt idx="34">
                  <c:v>163.44213261541501</c:v>
                </c:pt>
                <c:pt idx="35">
                  <c:v>168.2008589929292</c:v>
                </c:pt>
                <c:pt idx="36">
                  <c:v>169.8473762647146</c:v>
                </c:pt>
                <c:pt idx="37">
                  <c:v>169.14687596658334</c:v>
                </c:pt>
                <c:pt idx="38">
                  <c:v>164.55873690403487</c:v>
                </c:pt>
                <c:pt idx="39">
                  <c:v>161.1509560748479</c:v>
                </c:pt>
                <c:pt idx="40">
                  <c:v>156.35122313123614</c:v>
                </c:pt>
                <c:pt idx="41">
                  <c:v>208.28810294072056</c:v>
                </c:pt>
                <c:pt idx="42">
                  <c:v>209.33457248266549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4C-FD40-A737-D4B4D929A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062016"/>
        <c:axId val="540063744"/>
      </c:lineChart>
      <c:catAx>
        <c:axId val="54006201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0063744"/>
        <c:crosses val="autoZero"/>
        <c:auto val="1"/>
        <c:lblAlgn val="ctr"/>
        <c:lblOffset val="100"/>
        <c:tickLblSkip val="6"/>
        <c:noMultiLvlLbl val="0"/>
      </c:catAx>
      <c:valAx>
        <c:axId val="540063744"/>
        <c:scaling>
          <c:orientation val="minMax"/>
          <c:max val="3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006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 b="1" i="0">
                <a:latin typeface="Arial" panose="020B0604020202020204" pitchFamily="34" charset="0"/>
                <a:cs typeface="Arial" panose="020B0604020202020204" pitchFamily="34" charset="0"/>
              </a:rPr>
              <a:t>Kakwani Index, as per federal income tax, Canada, 1992-2022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'Canada (Federal)'!$F$1</c:f>
              <c:strCache>
                <c:ptCount val="1"/>
                <c:pt idx="0">
                  <c:v>Kakwani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'Canada (Federal)'!$B$2:$B$32</c:f>
              <c:numCache>
                <c:formatCode>General</c:formatCode>
                <c:ptCount val="31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</c:numCache>
            </c:numRef>
          </c:cat>
          <c:val>
            <c:numRef>
              <c:f>'Canada (Federal)'!$F$2:$F$32</c:f>
              <c:numCache>
                <c:formatCode>General</c:formatCode>
                <c:ptCount val="31"/>
                <c:pt idx="0">
                  <c:v>100</c:v>
                </c:pt>
                <c:pt idx="1">
                  <c:v>99.245538591272279</c:v>
                </c:pt>
                <c:pt idx="2">
                  <c:v>81.648781897975695</c:v>
                </c:pt>
                <c:pt idx="3">
                  <c:v>103.32144802560612</c:v>
                </c:pt>
                <c:pt idx="4">
                  <c:v>102.87418679058189</c:v>
                </c:pt>
                <c:pt idx="5">
                  <c:v>101.87968382430445</c:v>
                </c:pt>
                <c:pt idx="6">
                  <c:v>103.25662481245766</c:v>
                </c:pt>
                <c:pt idx="7">
                  <c:v>103.12647343415962</c:v>
                </c:pt>
                <c:pt idx="8">
                  <c:v>99.790634276520535</c:v>
                </c:pt>
                <c:pt idx="9">
                  <c:v>99.831409150613908</c:v>
                </c:pt>
                <c:pt idx="10">
                  <c:v>100.84213369992847</c:v>
                </c:pt>
                <c:pt idx="11">
                  <c:v>100.00662749501517</c:v>
                </c:pt>
                <c:pt idx="12">
                  <c:v>98.797267452245734</c:v>
                </c:pt>
                <c:pt idx="13">
                  <c:v>102.46959399965536</c:v>
                </c:pt>
                <c:pt idx="14">
                  <c:v>103.40482822479704</c:v>
                </c:pt>
                <c:pt idx="15">
                  <c:v>109.28442620726133</c:v>
                </c:pt>
                <c:pt idx="16">
                  <c:v>110.22338445341153</c:v>
                </c:pt>
                <c:pt idx="17">
                  <c:v>117.18212798134707</c:v>
                </c:pt>
                <c:pt idx="18">
                  <c:v>114.70016265766336</c:v>
                </c:pt>
                <c:pt idx="19">
                  <c:v>113.91931750687523</c:v>
                </c:pt>
                <c:pt idx="20">
                  <c:v>114.5898306454107</c:v>
                </c:pt>
                <c:pt idx="21">
                  <c:v>113.62335251519747</c:v>
                </c:pt>
                <c:pt idx="22">
                  <c:v>111.8380315961091</c:v>
                </c:pt>
                <c:pt idx="23">
                  <c:v>111.16998009857923</c:v>
                </c:pt>
                <c:pt idx="24">
                  <c:v>112.6259460749134</c:v>
                </c:pt>
                <c:pt idx="25">
                  <c:v>111.04468888329234</c:v>
                </c:pt>
                <c:pt idx="26">
                  <c:v>110.41551868985154</c:v>
                </c:pt>
                <c:pt idx="27">
                  <c:v>110.56643621919713</c:v>
                </c:pt>
                <c:pt idx="28">
                  <c:v>114.23125160558956</c:v>
                </c:pt>
                <c:pt idx="29">
                  <c:v>108.49872089346206</c:v>
                </c:pt>
                <c:pt idx="30">
                  <c:v>111.47011094426655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E3-8C40-BA69-39B228A0C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851936"/>
        <c:axId val="540853664"/>
      </c:lineChart>
      <c:catAx>
        <c:axId val="54085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0853664"/>
        <c:crosses val="autoZero"/>
        <c:auto val="1"/>
        <c:lblAlgn val="ctr"/>
        <c:lblOffset val="100"/>
        <c:tickLblSkip val="6"/>
        <c:noMultiLvlLbl val="0"/>
      </c:catAx>
      <c:valAx>
        <c:axId val="540853664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085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 b="1" i="0">
                <a:latin typeface="Arial" panose="020B0604020202020204" pitchFamily="34" charset="0"/>
                <a:cs typeface="Arial" panose="020B0604020202020204" pitchFamily="34" charset="0"/>
              </a:rPr>
              <a:t>RS Index, as per federal</a:t>
            </a:r>
            <a:r>
              <a:rPr lang="en-US" sz="1000" b="1" i="0" baseline="0">
                <a:latin typeface="Arial" panose="020B0604020202020204" pitchFamily="34" charset="0"/>
                <a:cs typeface="Arial" panose="020B0604020202020204" pitchFamily="34" charset="0"/>
              </a:rPr>
              <a:t> income tax, Canada, 1992-2022</a:t>
            </a:r>
            <a:endParaRPr lang="en-US" sz="1000" b="1" i="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942079058971313E-2"/>
          <c:y val="0.14606248562377111"/>
          <c:w val="0.87436759552101773"/>
          <c:h val="0.77732502191682851"/>
        </c:manualLayout>
      </c:layout>
      <c:lineChart>
        <c:grouping val="standard"/>
        <c:varyColors val="0"/>
        <c:ser>
          <c:idx val="0"/>
          <c:order val="0"/>
          <c:tx>
            <c:strRef>
              <c:f>'Canada (Federal)'!$G$1</c:f>
              <c:strCache>
                <c:ptCount val="1"/>
                <c:pt idx="0">
                  <c:v>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'Canada (Federal)'!$B$2:$B$32</c:f>
              <c:numCache>
                <c:formatCode>General</c:formatCode>
                <c:ptCount val="31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</c:numCache>
            </c:numRef>
          </c:cat>
          <c:val>
            <c:numRef>
              <c:f>'Canada (Federal)'!$G$2:$G$32</c:f>
              <c:numCache>
                <c:formatCode>General</c:formatCode>
                <c:ptCount val="31"/>
                <c:pt idx="0">
                  <c:v>100</c:v>
                </c:pt>
                <c:pt idx="1">
                  <c:v>95.816474581568329</c:v>
                </c:pt>
                <c:pt idx="2">
                  <c:v>72.902105337074488</c:v>
                </c:pt>
                <c:pt idx="3">
                  <c:v>104.59619601284544</c:v>
                </c:pt>
                <c:pt idx="4">
                  <c:v>106.17695433771439</c:v>
                </c:pt>
                <c:pt idx="5">
                  <c:v>108.85117847249077</c:v>
                </c:pt>
                <c:pt idx="6">
                  <c:v>111.90691892073659</c:v>
                </c:pt>
                <c:pt idx="7">
                  <c:v>111.02396703778174</c:v>
                </c:pt>
                <c:pt idx="8">
                  <c:v>107.09036818425928</c:v>
                </c:pt>
                <c:pt idx="9">
                  <c:v>97.229296496775277</c:v>
                </c:pt>
                <c:pt idx="10">
                  <c:v>97.642412152345415</c:v>
                </c:pt>
                <c:pt idx="11">
                  <c:v>96.898616057608706</c:v>
                </c:pt>
                <c:pt idx="12">
                  <c:v>94.590677254506744</c:v>
                </c:pt>
                <c:pt idx="13">
                  <c:v>95.015908463777464</c:v>
                </c:pt>
                <c:pt idx="14">
                  <c:v>96.446186666561161</c:v>
                </c:pt>
                <c:pt idx="15">
                  <c:v>97.387688817195581</c:v>
                </c:pt>
                <c:pt idx="16">
                  <c:v>99.577538060146551</c:v>
                </c:pt>
                <c:pt idx="17">
                  <c:v>96.982831518637681</c:v>
                </c:pt>
                <c:pt idx="18">
                  <c:v>96.666590841432622</c:v>
                </c:pt>
                <c:pt idx="19">
                  <c:v>97.655566182077493</c:v>
                </c:pt>
                <c:pt idx="20">
                  <c:v>98.412120696629501</c:v>
                </c:pt>
                <c:pt idx="21">
                  <c:v>97.899657500714568</c:v>
                </c:pt>
                <c:pt idx="22">
                  <c:v>96.297387886622147</c:v>
                </c:pt>
                <c:pt idx="23">
                  <c:v>98.549792947659824</c:v>
                </c:pt>
                <c:pt idx="24">
                  <c:v>95.639092985143847</c:v>
                </c:pt>
                <c:pt idx="25">
                  <c:v>96.10932482244533</c:v>
                </c:pt>
                <c:pt idx="26">
                  <c:v>97.010029700414492</c:v>
                </c:pt>
                <c:pt idx="27">
                  <c:v>96.823005112269158</c:v>
                </c:pt>
                <c:pt idx="28">
                  <c:v>97.053991852413759</c:v>
                </c:pt>
                <c:pt idx="29">
                  <c:v>95.606949679407606</c:v>
                </c:pt>
                <c:pt idx="30">
                  <c:v>99.026947958504465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B6-AA49-B241-49D5A090B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588320"/>
        <c:axId val="688596704"/>
      </c:lineChart>
      <c:catAx>
        <c:axId val="68858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596704"/>
        <c:crosses val="autoZero"/>
        <c:auto val="1"/>
        <c:lblAlgn val="ctr"/>
        <c:lblOffset val="100"/>
        <c:tickLblSkip val="6"/>
        <c:noMultiLvlLbl val="0"/>
      </c:catAx>
      <c:valAx>
        <c:axId val="688596704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58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>
                <a:latin typeface="Arial" panose="020B0604020202020204" pitchFamily="34" charset="0"/>
                <a:cs typeface="Arial" panose="020B0604020202020204" pitchFamily="34" charset="0"/>
              </a:rPr>
              <a:t>Kakwani</a:t>
            </a:r>
            <a:r>
              <a:rPr lang="en-US" sz="1200" b="1" i="0" baseline="0">
                <a:latin typeface="Arial" panose="020B0604020202020204" pitchFamily="34" charset="0"/>
                <a:cs typeface="Arial" panose="020B0604020202020204" pitchFamily="34" charset="0"/>
              </a:rPr>
              <a:t> Index, as per federal and provincial income taxes, Canada, 1992-2022</a:t>
            </a:r>
            <a:endParaRPr lang="en-US" sz="1200" b="1" i="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'Canada (Federal and Prov)'!$G$1</c:f>
              <c:strCache>
                <c:ptCount val="1"/>
                <c:pt idx="0">
                  <c:v>Kakwani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'Canada (Federal and Prov)'!$B$2:$B$32</c:f>
              <c:numCache>
                <c:formatCode>General</c:formatCode>
                <c:ptCount val="31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</c:numCache>
            </c:numRef>
          </c:cat>
          <c:val>
            <c:numRef>
              <c:f>'Canada (Federal and Prov)'!$G$2:$G$32</c:f>
              <c:numCache>
                <c:formatCode>General</c:formatCode>
                <c:ptCount val="31"/>
                <c:pt idx="0">
                  <c:v>100</c:v>
                </c:pt>
                <c:pt idx="1">
                  <c:v>99.260405406003059</c:v>
                </c:pt>
                <c:pt idx="2">
                  <c:v>82.906620654186781</c:v>
                </c:pt>
                <c:pt idx="3">
                  <c:v>104.32624297192434</c:v>
                </c:pt>
                <c:pt idx="4">
                  <c:v>103.76772458725556</c:v>
                </c:pt>
                <c:pt idx="5">
                  <c:v>102.09090581699425</c:v>
                </c:pt>
                <c:pt idx="6">
                  <c:v>102.4793414537526</c:v>
                </c:pt>
                <c:pt idx="7">
                  <c:v>101.27884283077842</c:v>
                </c:pt>
                <c:pt idx="8">
                  <c:v>100.37238771032102</c:v>
                </c:pt>
                <c:pt idx="9">
                  <c:v>101.97079909196536</c:v>
                </c:pt>
                <c:pt idx="10">
                  <c:v>103.54716036996159</c:v>
                </c:pt>
                <c:pt idx="11">
                  <c:v>102.88110824200021</c:v>
                </c:pt>
                <c:pt idx="12">
                  <c:v>100.79942682366678</c:v>
                </c:pt>
                <c:pt idx="13">
                  <c:v>101.23708031355375</c:v>
                </c:pt>
                <c:pt idx="14">
                  <c:v>101.08689952165808</c:v>
                </c:pt>
                <c:pt idx="15">
                  <c:v>104.33009700150183</c:v>
                </c:pt>
                <c:pt idx="16">
                  <c:v>106.56271738148386</c:v>
                </c:pt>
                <c:pt idx="17">
                  <c:v>112.03537620067239</c:v>
                </c:pt>
                <c:pt idx="18">
                  <c:v>110.83620437476584</c:v>
                </c:pt>
                <c:pt idx="19">
                  <c:v>109.35057074387193</c:v>
                </c:pt>
                <c:pt idx="20">
                  <c:v>109.3821611502446</c:v>
                </c:pt>
                <c:pt idx="21">
                  <c:v>109.36004786578376</c:v>
                </c:pt>
                <c:pt idx="22">
                  <c:v>107.68423998852637</c:v>
                </c:pt>
                <c:pt idx="23">
                  <c:v>107.60077813488978</c:v>
                </c:pt>
                <c:pt idx="24">
                  <c:v>109.41514153449768</c:v>
                </c:pt>
                <c:pt idx="25">
                  <c:v>109.01103705617849</c:v>
                </c:pt>
                <c:pt idx="26">
                  <c:v>108.88669721669567</c:v>
                </c:pt>
                <c:pt idx="27">
                  <c:v>109.6813222985938</c:v>
                </c:pt>
                <c:pt idx="28">
                  <c:v>110.99087100436643</c:v>
                </c:pt>
                <c:pt idx="29">
                  <c:v>105.64590060773624</c:v>
                </c:pt>
                <c:pt idx="30">
                  <c:v>109.33111105354638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F8-FF44-99B5-054771B24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402416"/>
        <c:axId val="688404128"/>
      </c:lineChart>
      <c:catAx>
        <c:axId val="68840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404128"/>
        <c:crosses val="autoZero"/>
        <c:auto val="1"/>
        <c:lblAlgn val="ctr"/>
        <c:lblOffset val="100"/>
        <c:tickLblSkip val="6"/>
        <c:noMultiLvlLbl val="0"/>
      </c:catAx>
      <c:valAx>
        <c:axId val="68840412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40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>
                <a:latin typeface="Arial" panose="020B0604020202020204" pitchFamily="34" charset="0"/>
                <a:cs typeface="Arial" panose="020B0604020202020204" pitchFamily="34" charset="0"/>
              </a:rPr>
              <a:t>RS Index, as per federal and provincial</a:t>
            </a:r>
            <a:r>
              <a:rPr lang="en-US" sz="1200" b="1" i="0" baseline="0">
                <a:latin typeface="Arial" panose="020B0604020202020204" pitchFamily="34" charset="0"/>
                <a:cs typeface="Arial" panose="020B0604020202020204" pitchFamily="34" charset="0"/>
              </a:rPr>
              <a:t> income taxes, Canada, 1992-2022</a:t>
            </a:r>
            <a:endParaRPr lang="en-US" sz="1200" b="1" i="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'Canada (Federal and Prov)'!$H$1</c:f>
              <c:strCache>
                <c:ptCount val="1"/>
                <c:pt idx="0">
                  <c:v>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'Canada (Federal and Prov)'!$B$2:$B$32</c:f>
              <c:numCache>
                <c:formatCode>General</c:formatCode>
                <c:ptCount val="31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</c:numCache>
            </c:numRef>
          </c:cat>
          <c:val>
            <c:numRef>
              <c:f>'Canada (Federal and Prov)'!$H$2:$H$32</c:f>
              <c:numCache>
                <c:formatCode>General</c:formatCode>
                <c:ptCount val="31"/>
                <c:pt idx="0">
                  <c:v>100</c:v>
                </c:pt>
                <c:pt idx="1">
                  <c:v>98.364431494226295</c:v>
                </c:pt>
                <c:pt idx="2">
                  <c:v>75.644021546659559</c:v>
                </c:pt>
                <c:pt idx="3">
                  <c:v>109.1209638157554</c:v>
                </c:pt>
                <c:pt idx="4">
                  <c:v>110.26285502477766</c:v>
                </c:pt>
                <c:pt idx="5">
                  <c:v>111.32591016327409</c:v>
                </c:pt>
                <c:pt idx="6">
                  <c:v>111.01468125843196</c:v>
                </c:pt>
                <c:pt idx="7">
                  <c:v>108.24858782369053</c:v>
                </c:pt>
                <c:pt idx="8">
                  <c:v>106.09081433797438</c:v>
                </c:pt>
                <c:pt idx="9">
                  <c:v>97.022594540994049</c:v>
                </c:pt>
                <c:pt idx="10">
                  <c:v>96.35623937385796</c:v>
                </c:pt>
                <c:pt idx="11">
                  <c:v>95.712392800721389</c:v>
                </c:pt>
                <c:pt idx="12">
                  <c:v>94.030295335709795</c:v>
                </c:pt>
                <c:pt idx="13">
                  <c:v>93.574776264855615</c:v>
                </c:pt>
                <c:pt idx="14">
                  <c:v>93.81719158256972</c:v>
                </c:pt>
                <c:pt idx="15">
                  <c:v>93.864840372354848</c:v>
                </c:pt>
                <c:pt idx="16">
                  <c:v>95.672134892548073</c:v>
                </c:pt>
                <c:pt idx="17">
                  <c:v>93.88491333491416</c:v>
                </c:pt>
                <c:pt idx="18">
                  <c:v>93.186754980236401</c:v>
                </c:pt>
                <c:pt idx="19">
                  <c:v>93.617245838359736</c:v>
                </c:pt>
                <c:pt idx="20">
                  <c:v>94.143734170145379</c:v>
                </c:pt>
                <c:pt idx="21">
                  <c:v>94.448244091704055</c:v>
                </c:pt>
                <c:pt idx="22">
                  <c:v>93.687711175544933</c:v>
                </c:pt>
                <c:pt idx="23">
                  <c:v>96.189048673154787</c:v>
                </c:pt>
                <c:pt idx="24">
                  <c:v>94.017697242053345</c:v>
                </c:pt>
                <c:pt idx="25">
                  <c:v>94.441441121129543</c:v>
                </c:pt>
                <c:pt idx="26">
                  <c:v>96.003548743004202</c:v>
                </c:pt>
                <c:pt idx="27">
                  <c:v>96.153494053279857</c:v>
                </c:pt>
                <c:pt idx="28">
                  <c:v>96.031040582938985</c:v>
                </c:pt>
                <c:pt idx="29">
                  <c:v>95.156004993324416</c:v>
                </c:pt>
                <c:pt idx="30">
                  <c:v>99.53258272958135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5E-4449-9016-2535731D4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832432"/>
        <c:axId val="615834144"/>
      </c:lineChart>
      <c:catAx>
        <c:axId val="61583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5834144"/>
        <c:crosses val="autoZero"/>
        <c:auto val="1"/>
        <c:lblAlgn val="ctr"/>
        <c:lblOffset val="100"/>
        <c:tickLblSkip val="6"/>
        <c:noMultiLvlLbl val="0"/>
      </c:catAx>
      <c:valAx>
        <c:axId val="615834144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583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139700</xdr:colOff>
      <xdr:row>2</xdr:row>
      <xdr:rowOff>50800</xdr:rowOff>
    </xdr:from>
    <xdr:to>
      <xdr:col>16</xdr:col>
      <xdr:colOff>114300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3E0641-2410-FABB-1031-AE051A21C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120650</xdr:colOff>
      <xdr:row>27</xdr:row>
      <xdr:rowOff>127000</xdr:rowOff>
    </xdr:from>
    <xdr:to>
      <xdr:col>15</xdr:col>
      <xdr:colOff>774700</xdr:colOff>
      <xdr:row>51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8CD01E-9DC8-6806-B17F-F2872950B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7</xdr:row>
      <xdr:rowOff>114413</xdr:rowOff>
    </xdr:from>
    <xdr:to>
      <xdr:col>14</xdr:col>
      <xdr:colOff>640721</xdr:colOff>
      <xdr:row>26</xdr:row>
      <xdr:rowOff>68647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EE582B-256F-72EC-EB98-1501756E8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778018</xdr:colOff>
      <xdr:row>28</xdr:row>
      <xdr:rowOff>57209</xdr:rowOff>
    </xdr:from>
    <xdr:to>
      <xdr:col>14</xdr:col>
      <xdr:colOff>640720</xdr:colOff>
      <xdr:row>47</xdr:row>
      <xdr:rowOff>80091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AFC88B-B981-C2A2-1277-7877872F1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774700</xdr:colOff>
      <xdr:row>4</xdr:row>
      <xdr:rowOff>101600</xdr:rowOff>
    </xdr:from>
    <xdr:to>
      <xdr:col>19</xdr:col>
      <xdr:colOff>139700</xdr:colOff>
      <xdr:row>27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8C99A1-5653-6BFC-3358-9E3231FAC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469900</xdr:colOff>
      <xdr:row>39</xdr:row>
      <xdr:rowOff>114300</xdr:rowOff>
    </xdr:from>
    <xdr:to>
      <xdr:col>19</xdr:col>
      <xdr:colOff>482600</xdr:colOff>
      <xdr:row>63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CD1641-A026-FFDE-46F4-133D5A8A72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4FC4E-BADA-BD4A-BCB5-1F1CEA636EBA}">
  <dimension ref="A1:L49"/>
  <sheetViews>
    <sheetView topLeftCell="E28" zoomScale="168" workbookViewId="0">
      <selection activeCell="G47" sqref="G47"/>
    </sheetView>
  </sheetViews>
  <sheetFormatPr baseColWidth="10" defaultRowHeight="16" x14ac:dyDescent="0.2"/>
  <cols>
    <col min="1" max="1" width="5" bestFit="1" customWidth="1"/>
    <col min="2" max="2" width="15" style="5" bestFit="1" customWidth="1"/>
    <col min="3" max="3" width="23.83203125" customWidth="1"/>
    <col min="4" max="4" width="24.6640625" customWidth="1"/>
    <col min="5" max="5" width="28.6640625" bestFit="1" customWidth="1"/>
    <col min="6" max="6" width="19.83203125" customWidth="1"/>
    <col min="7" max="7" width="15.83203125" customWidth="1"/>
    <col min="11" max="11" width="20.5" customWidth="1"/>
  </cols>
  <sheetData>
    <row r="1" spans="1:7" x14ac:dyDescent="0.2">
      <c r="A1" s="1"/>
      <c r="B1" s="3" t="s">
        <v>0</v>
      </c>
      <c r="C1" s="1" t="s">
        <v>1</v>
      </c>
      <c r="D1" s="1" t="s">
        <v>2</v>
      </c>
      <c r="F1" s="1" t="s">
        <v>3</v>
      </c>
      <c r="G1" s="1" t="s">
        <v>4</v>
      </c>
    </row>
    <row r="2" spans="1:7" x14ac:dyDescent="0.2">
      <c r="A2" s="1">
        <v>1</v>
      </c>
      <c r="B2" s="4">
        <v>1979</v>
      </c>
      <c r="C2" s="2">
        <v>0.10936364</v>
      </c>
      <c r="D2" s="2">
        <v>5.5478920000000001E-2</v>
      </c>
      <c r="F2">
        <f>C2/C$2*100</f>
        <v>100</v>
      </c>
      <c r="G2">
        <f>D2/D$2*100</f>
        <v>100</v>
      </c>
    </row>
    <row r="3" spans="1:7" x14ac:dyDescent="0.2">
      <c r="A3" s="1">
        <v>2</v>
      </c>
      <c r="B3" s="4">
        <v>1980</v>
      </c>
      <c r="C3" s="2">
        <v>0.10949025</v>
      </c>
      <c r="D3" s="2">
        <v>5.7716009999999998E-2</v>
      </c>
      <c r="F3">
        <f t="shared" ref="F3:F44" si="0">C3/C$2*100</f>
        <v>100.11576973846152</v>
      </c>
      <c r="G3">
        <f t="shared" ref="G3:G43" si="1">D3/D$2*100</f>
        <v>104.03232434950067</v>
      </c>
    </row>
    <row r="4" spans="1:7" x14ac:dyDescent="0.2">
      <c r="A4" s="1">
        <v>3</v>
      </c>
      <c r="B4" s="4">
        <v>1981</v>
      </c>
      <c r="C4" s="2">
        <v>0.10069713</v>
      </c>
      <c r="D4" s="2">
        <v>5.6625300000000003E-2</v>
      </c>
      <c r="F4">
        <f t="shared" si="0"/>
        <v>92.07551065418086</v>
      </c>
      <c r="G4">
        <f t="shared" si="1"/>
        <v>102.06633438430308</v>
      </c>
    </row>
    <row r="5" spans="1:7" x14ac:dyDescent="0.2">
      <c r="A5" s="1">
        <v>4</v>
      </c>
      <c r="B5" s="4">
        <v>1982</v>
      </c>
      <c r="C5" s="2">
        <v>9.4889829999999994E-2</v>
      </c>
      <c r="D5" s="2">
        <v>5.2451749999999998E-2</v>
      </c>
      <c r="F5">
        <f t="shared" si="0"/>
        <v>86.765427705222692</v>
      </c>
      <c r="G5">
        <f t="shared" si="1"/>
        <v>94.543567178308436</v>
      </c>
    </row>
    <row r="6" spans="1:7" x14ac:dyDescent="0.2">
      <c r="A6" s="1">
        <v>5</v>
      </c>
      <c r="B6" s="4">
        <v>1983</v>
      </c>
      <c r="C6" s="2">
        <v>8.7138750000000001E-2</v>
      </c>
      <c r="D6" s="2">
        <v>5.202814E-2</v>
      </c>
      <c r="F6">
        <f t="shared" si="0"/>
        <v>79.677989869393514</v>
      </c>
      <c r="G6">
        <f t="shared" si="1"/>
        <v>93.780015905140189</v>
      </c>
    </row>
    <row r="7" spans="1:7" x14ac:dyDescent="0.2">
      <c r="A7" s="1">
        <v>6</v>
      </c>
      <c r="B7" s="4">
        <v>1984</v>
      </c>
      <c r="C7" s="2">
        <v>8.0381789999999995E-2</v>
      </c>
      <c r="D7" s="2">
        <v>4.7122400000000002E-2</v>
      </c>
      <c r="F7">
        <f t="shared" si="0"/>
        <v>73.49955615961575</v>
      </c>
      <c r="G7">
        <f t="shared" si="1"/>
        <v>84.93748616591671</v>
      </c>
    </row>
    <row r="8" spans="1:7" x14ac:dyDescent="0.2">
      <c r="A8" s="1">
        <v>7</v>
      </c>
      <c r="B8" s="4">
        <v>1985</v>
      </c>
      <c r="C8" s="2">
        <v>7.8435320000000003E-2</v>
      </c>
      <c r="D8" s="2">
        <v>4.8096430000000003E-2</v>
      </c>
      <c r="F8">
        <f t="shared" si="0"/>
        <v>71.719741588703528</v>
      </c>
      <c r="G8">
        <f t="shared" si="1"/>
        <v>86.693162015410536</v>
      </c>
    </row>
    <row r="9" spans="1:7" x14ac:dyDescent="0.2">
      <c r="A9" s="1">
        <v>8</v>
      </c>
      <c r="B9" s="4">
        <v>1986</v>
      </c>
      <c r="C9" s="2">
        <v>7.5325900000000001E-2</v>
      </c>
      <c r="D9" s="2">
        <v>4.6991730000000002E-2</v>
      </c>
      <c r="F9">
        <f t="shared" si="0"/>
        <v>68.876548000779792</v>
      </c>
      <c r="G9">
        <f t="shared" si="1"/>
        <v>84.701955265170994</v>
      </c>
    </row>
    <row r="10" spans="1:7" x14ac:dyDescent="0.2">
      <c r="A10" s="1">
        <v>9</v>
      </c>
      <c r="B10" s="4">
        <v>1987</v>
      </c>
      <c r="C10" s="2">
        <v>9.6868679999999999E-2</v>
      </c>
      <c r="D10" s="2">
        <v>5.5110579999999999E-2</v>
      </c>
      <c r="F10">
        <f t="shared" si="0"/>
        <v>88.574849922698263</v>
      </c>
      <c r="G10">
        <f t="shared" si="1"/>
        <v>99.336072151368484</v>
      </c>
    </row>
    <row r="11" spans="1:7" x14ac:dyDescent="0.2">
      <c r="A11" s="1">
        <v>10</v>
      </c>
      <c r="B11" s="4">
        <v>1988</v>
      </c>
      <c r="C11" s="2">
        <v>9.2270420000000006E-2</v>
      </c>
      <c r="D11" s="2">
        <v>5.377784E-2</v>
      </c>
      <c r="F11">
        <f t="shared" si="0"/>
        <v>84.370289796499094</v>
      </c>
      <c r="G11">
        <f t="shared" si="1"/>
        <v>96.933826397485745</v>
      </c>
    </row>
    <row r="12" spans="1:7" x14ac:dyDescent="0.2">
      <c r="A12" s="1">
        <v>11</v>
      </c>
      <c r="B12" s="4">
        <v>1989</v>
      </c>
      <c r="C12" s="2">
        <v>9.3787570000000001E-2</v>
      </c>
      <c r="D12" s="2">
        <v>5.4753540000000003E-2</v>
      </c>
      <c r="F12">
        <f t="shared" si="0"/>
        <v>85.757542451952034</v>
      </c>
      <c r="G12">
        <f t="shared" si="1"/>
        <v>98.692512399304093</v>
      </c>
    </row>
    <row r="13" spans="1:7" x14ac:dyDescent="0.2">
      <c r="A13" s="1">
        <v>12</v>
      </c>
      <c r="B13" s="4">
        <v>1990</v>
      </c>
      <c r="C13" s="2">
        <v>9.0732989999999999E-2</v>
      </c>
      <c r="D13" s="2">
        <v>5.6459410000000002E-2</v>
      </c>
      <c r="F13">
        <f t="shared" si="0"/>
        <v>82.964493500764974</v>
      </c>
      <c r="G13">
        <f t="shared" si="1"/>
        <v>101.7673199117791</v>
      </c>
    </row>
    <row r="14" spans="1:7" x14ac:dyDescent="0.2">
      <c r="A14" s="1">
        <v>13</v>
      </c>
      <c r="B14" s="4">
        <v>1991</v>
      </c>
      <c r="C14" s="2">
        <v>9.8018900000000006E-2</v>
      </c>
      <c r="D14" s="2">
        <v>6.1805209999999999E-2</v>
      </c>
      <c r="F14">
        <f t="shared" si="0"/>
        <v>89.62658887359639</v>
      </c>
      <c r="G14">
        <f t="shared" si="1"/>
        <v>111.40305182581058</v>
      </c>
    </row>
    <row r="15" spans="1:7" x14ac:dyDescent="0.2">
      <c r="A15" s="1">
        <v>14</v>
      </c>
      <c r="B15" s="4">
        <v>1992</v>
      </c>
      <c r="C15" s="2">
        <v>0.10119196</v>
      </c>
      <c r="D15" s="2">
        <v>6.6554180000000004E-2</v>
      </c>
      <c r="F15">
        <f t="shared" si="0"/>
        <v>92.527973648280181</v>
      </c>
      <c r="G15">
        <f t="shared" si="1"/>
        <v>119.96300576867756</v>
      </c>
    </row>
    <row r="16" spans="1:7" x14ac:dyDescent="0.2">
      <c r="A16" s="1">
        <v>15</v>
      </c>
      <c r="B16" s="4">
        <v>1993</v>
      </c>
      <c r="C16" s="2">
        <v>0.10839912</v>
      </c>
      <c r="D16" s="2">
        <v>7.2248439999999997E-2</v>
      </c>
      <c r="F16">
        <f t="shared" si="0"/>
        <v>99.118061542209091</v>
      </c>
      <c r="G16">
        <f t="shared" si="1"/>
        <v>130.22683210127377</v>
      </c>
    </row>
    <row r="17" spans="1:7" x14ac:dyDescent="0.2">
      <c r="A17" s="1">
        <v>16</v>
      </c>
      <c r="B17" s="4">
        <v>1994</v>
      </c>
      <c r="C17" s="2">
        <v>0.11744009</v>
      </c>
      <c r="D17" s="2">
        <v>7.5016059999999996E-2</v>
      </c>
      <c r="F17">
        <f t="shared" si="0"/>
        <v>107.38494987913715</v>
      </c>
      <c r="G17">
        <f t="shared" si="1"/>
        <v>135.21542957216903</v>
      </c>
    </row>
    <row r="18" spans="1:7" x14ac:dyDescent="0.2">
      <c r="A18" s="1">
        <v>17</v>
      </c>
      <c r="B18" s="4">
        <v>1995</v>
      </c>
      <c r="C18" s="2">
        <v>0.12115772</v>
      </c>
      <c r="D18" s="2">
        <v>7.4647649999999996E-2</v>
      </c>
      <c r="F18">
        <f t="shared" si="0"/>
        <v>110.78427894316611</v>
      </c>
      <c r="G18">
        <f t="shared" si="1"/>
        <v>134.55137554948797</v>
      </c>
    </row>
    <row r="19" spans="1:7" x14ac:dyDescent="0.2">
      <c r="A19" s="1">
        <v>18</v>
      </c>
      <c r="B19" s="4">
        <v>1996</v>
      </c>
      <c r="C19" s="2">
        <v>0.12120311</v>
      </c>
      <c r="D19" s="2">
        <v>7.3853749999999996E-2</v>
      </c>
      <c r="F19">
        <f t="shared" si="0"/>
        <v>110.82578268243451</v>
      </c>
      <c r="G19">
        <f t="shared" si="1"/>
        <v>133.12038157916555</v>
      </c>
    </row>
    <row r="20" spans="1:7" x14ac:dyDescent="0.2">
      <c r="A20" s="1">
        <v>19</v>
      </c>
      <c r="B20" s="4">
        <v>1997</v>
      </c>
      <c r="C20" s="2">
        <v>0.11990584999999999</v>
      </c>
      <c r="D20" s="2">
        <v>7.027651E-2</v>
      </c>
      <c r="F20">
        <f t="shared" si="0"/>
        <v>109.63959319569099</v>
      </c>
      <c r="G20">
        <f t="shared" si="1"/>
        <v>126.6724550513961</v>
      </c>
    </row>
    <row r="21" spans="1:7" x14ac:dyDescent="0.2">
      <c r="A21" s="1">
        <v>20</v>
      </c>
      <c r="B21" s="4">
        <v>1998</v>
      </c>
      <c r="C21" s="2">
        <v>0.12411944</v>
      </c>
      <c r="D21" s="2">
        <v>6.9683209999999995E-2</v>
      </c>
      <c r="F21">
        <f t="shared" si="0"/>
        <v>113.49241850399274</v>
      </c>
      <c r="G21">
        <f t="shared" si="1"/>
        <v>125.60303985730074</v>
      </c>
    </row>
    <row r="22" spans="1:7" x14ac:dyDescent="0.2">
      <c r="A22" s="1">
        <v>21</v>
      </c>
      <c r="B22" s="4">
        <v>1999</v>
      </c>
      <c r="C22" s="2">
        <v>0.12268403999999999</v>
      </c>
      <c r="D22" s="2">
        <v>6.9175360000000005E-2</v>
      </c>
      <c r="F22">
        <f t="shared" si="0"/>
        <v>112.17991646949569</v>
      </c>
      <c r="G22">
        <f t="shared" si="1"/>
        <v>124.68764712795419</v>
      </c>
    </row>
    <row r="23" spans="1:7" x14ac:dyDescent="0.2">
      <c r="A23" s="1">
        <v>22</v>
      </c>
      <c r="B23" s="4">
        <v>2000</v>
      </c>
      <c r="C23" s="2">
        <v>0.12145760999999999</v>
      </c>
      <c r="D23" s="2">
        <v>6.9044030000000006E-2</v>
      </c>
      <c r="F23">
        <f t="shared" si="0"/>
        <v>111.05849256663365</v>
      </c>
      <c r="G23">
        <f t="shared" si="1"/>
        <v>124.45092658617003</v>
      </c>
    </row>
    <row r="24" spans="1:7" x14ac:dyDescent="0.2">
      <c r="A24" s="1">
        <v>23</v>
      </c>
      <c r="B24" s="4">
        <v>2001</v>
      </c>
      <c r="C24" s="2">
        <v>0.13392166999999999</v>
      </c>
      <c r="D24" s="2">
        <v>7.203147E-2</v>
      </c>
      <c r="F24">
        <f t="shared" si="0"/>
        <v>122.45538828078509</v>
      </c>
      <c r="G24">
        <f t="shared" si="1"/>
        <v>129.8357466223207</v>
      </c>
    </row>
    <row r="25" spans="1:7" x14ac:dyDescent="0.2">
      <c r="A25" s="1">
        <v>24</v>
      </c>
      <c r="B25" s="4">
        <v>2002</v>
      </c>
      <c r="C25" s="2">
        <v>0.13960096</v>
      </c>
      <c r="D25" s="2">
        <v>7.4713829999999995E-2</v>
      </c>
      <c r="F25">
        <f t="shared" si="0"/>
        <v>127.64842135832349</v>
      </c>
      <c r="G25">
        <f t="shared" si="1"/>
        <v>134.67066410088734</v>
      </c>
    </row>
    <row r="26" spans="1:7" x14ac:dyDescent="0.2">
      <c r="A26" s="1">
        <v>25</v>
      </c>
      <c r="B26" s="4">
        <v>2003</v>
      </c>
      <c r="C26" s="2">
        <v>0.1380711</v>
      </c>
      <c r="D26" s="2">
        <v>7.445562E-2</v>
      </c>
      <c r="F26">
        <f t="shared" si="0"/>
        <v>126.24954692437085</v>
      </c>
      <c r="G26">
        <f t="shared" si="1"/>
        <v>134.20524408189632</v>
      </c>
    </row>
    <row r="27" spans="1:7" x14ac:dyDescent="0.2">
      <c r="A27" s="1">
        <v>26</v>
      </c>
      <c r="B27" s="4">
        <v>2004</v>
      </c>
      <c r="C27" s="2">
        <v>0.13539419999999999</v>
      </c>
      <c r="D27" s="2">
        <v>7.4472090000000005E-2</v>
      </c>
      <c r="F27">
        <f t="shared" si="0"/>
        <v>123.8018412700967</v>
      </c>
      <c r="G27">
        <f t="shared" si="1"/>
        <v>134.23493103326453</v>
      </c>
    </row>
    <row r="28" spans="1:7" x14ac:dyDescent="0.2">
      <c r="A28" s="1">
        <v>27</v>
      </c>
      <c r="B28" s="4">
        <v>2005</v>
      </c>
      <c r="C28" s="2">
        <v>0.13246649999999999</v>
      </c>
      <c r="D28" s="2">
        <v>7.3610519999999999E-2</v>
      </c>
      <c r="F28">
        <f t="shared" si="0"/>
        <v>121.12480894015596</v>
      </c>
      <c r="G28">
        <f t="shared" si="1"/>
        <v>132.68196280677418</v>
      </c>
    </row>
    <row r="29" spans="1:7" x14ac:dyDescent="0.2">
      <c r="A29" s="1">
        <v>28</v>
      </c>
      <c r="B29" s="4">
        <v>2006</v>
      </c>
      <c r="C29" s="2">
        <v>0.1314004</v>
      </c>
      <c r="D29" s="2">
        <v>7.2433629999999999E-2</v>
      </c>
      <c r="F29">
        <f t="shared" si="0"/>
        <v>120.14998769243599</v>
      </c>
      <c r="G29">
        <f t="shared" si="1"/>
        <v>130.56063456173985</v>
      </c>
    </row>
    <row r="30" spans="1:7" x14ac:dyDescent="0.2">
      <c r="A30" s="1">
        <v>29</v>
      </c>
      <c r="B30" s="4">
        <v>2007</v>
      </c>
      <c r="C30" s="2">
        <v>0.12942661999999999</v>
      </c>
      <c r="D30" s="2">
        <v>6.841933E-2</v>
      </c>
      <c r="F30">
        <f t="shared" si="0"/>
        <v>118.34520138503071</v>
      </c>
      <c r="G30">
        <f t="shared" si="1"/>
        <v>123.32491331842796</v>
      </c>
    </row>
    <row r="31" spans="1:7" x14ac:dyDescent="0.2">
      <c r="A31" s="1">
        <v>30</v>
      </c>
      <c r="B31" s="4">
        <v>2008</v>
      </c>
      <c r="C31" s="2">
        <v>0.16825051999999999</v>
      </c>
      <c r="D31" s="2">
        <v>7.6405000000000001E-2</v>
      </c>
      <c r="F31">
        <f t="shared" si="0"/>
        <v>153.84502564106316</v>
      </c>
      <c r="G31">
        <f t="shared" si="1"/>
        <v>137.71897506296085</v>
      </c>
    </row>
    <row r="32" spans="1:7" x14ac:dyDescent="0.2">
      <c r="A32" s="1">
        <v>31</v>
      </c>
      <c r="B32" s="4">
        <v>2009</v>
      </c>
      <c r="C32" s="2">
        <v>0.17981151000000001</v>
      </c>
      <c r="D32" s="2">
        <v>8.3960969999999996E-2</v>
      </c>
      <c r="F32">
        <f t="shared" si="0"/>
        <v>164.41617159048474</v>
      </c>
      <c r="G32">
        <f t="shared" si="1"/>
        <v>151.33850839201628</v>
      </c>
    </row>
    <row r="33" spans="1:12" x14ac:dyDescent="0.2">
      <c r="A33" s="1">
        <v>32</v>
      </c>
      <c r="B33" s="4">
        <v>2010</v>
      </c>
      <c r="C33" s="2">
        <v>0.17417292000000001</v>
      </c>
      <c r="D33" s="2">
        <v>8.6339700000000005E-2</v>
      </c>
      <c r="F33">
        <f t="shared" si="0"/>
        <v>159.26035380680455</v>
      </c>
      <c r="G33">
        <f t="shared" si="1"/>
        <v>155.62613691831061</v>
      </c>
    </row>
    <row r="34" spans="1:12" x14ac:dyDescent="0.2">
      <c r="A34" s="1">
        <v>33</v>
      </c>
      <c r="B34" s="4">
        <v>2011</v>
      </c>
      <c r="C34" s="2">
        <v>0.16954694000000001</v>
      </c>
      <c r="D34" s="2">
        <v>8.5873190000000002E-2</v>
      </c>
      <c r="F34">
        <f t="shared" si="0"/>
        <v>155.0304470480317</v>
      </c>
      <c r="G34">
        <f t="shared" si="1"/>
        <v>154.78525897764413</v>
      </c>
    </row>
    <row r="35" spans="1:12" x14ac:dyDescent="0.2">
      <c r="A35" s="1">
        <v>34</v>
      </c>
      <c r="B35" s="4">
        <v>2012</v>
      </c>
      <c r="C35" s="2">
        <v>0.16279411999999999</v>
      </c>
      <c r="D35" s="2">
        <v>8.5720050000000006E-2</v>
      </c>
      <c r="F35">
        <f t="shared" si="0"/>
        <v>148.85579887428764</v>
      </c>
      <c r="G35">
        <f t="shared" si="1"/>
        <v>154.50922620699899</v>
      </c>
    </row>
    <row r="36" spans="1:12" x14ac:dyDescent="0.2">
      <c r="A36" s="1">
        <v>35</v>
      </c>
      <c r="B36" s="4">
        <v>2013</v>
      </c>
      <c r="C36" s="2">
        <v>0.15913072</v>
      </c>
      <c r="D36" s="2">
        <v>9.0675930000000002E-2</v>
      </c>
      <c r="F36">
        <f t="shared" si="0"/>
        <v>145.50605667477782</v>
      </c>
      <c r="G36">
        <f t="shared" si="1"/>
        <v>163.44213261541501</v>
      </c>
    </row>
    <row r="37" spans="1:12" x14ac:dyDescent="0.2">
      <c r="A37" s="1">
        <v>36</v>
      </c>
      <c r="B37" s="4">
        <v>2014</v>
      </c>
      <c r="C37" s="2">
        <v>0.15542405000000001</v>
      </c>
      <c r="D37" s="2">
        <v>9.331602E-2</v>
      </c>
      <c r="F37">
        <f t="shared" si="0"/>
        <v>142.11674922305073</v>
      </c>
      <c r="G37">
        <f t="shared" si="1"/>
        <v>168.2008589929292</v>
      </c>
    </row>
    <row r="38" spans="1:12" x14ac:dyDescent="0.2">
      <c r="A38" s="1">
        <v>37</v>
      </c>
      <c r="B38" s="4">
        <v>2015</v>
      </c>
      <c r="C38" s="2">
        <v>0.15729507000000001</v>
      </c>
      <c r="D38" s="2">
        <v>9.4229489999999999E-2</v>
      </c>
      <c r="F38">
        <f t="shared" si="0"/>
        <v>143.82757377131924</v>
      </c>
      <c r="G38">
        <f t="shared" si="1"/>
        <v>169.8473762647146</v>
      </c>
    </row>
    <row r="39" spans="1:12" x14ac:dyDescent="0.2">
      <c r="A39" s="1">
        <v>38</v>
      </c>
      <c r="B39" s="4">
        <v>2016</v>
      </c>
      <c r="C39" s="2">
        <v>0.15731247000000001</v>
      </c>
      <c r="D39" s="2">
        <v>9.3840859999999998E-2</v>
      </c>
      <c r="F39">
        <f t="shared" si="0"/>
        <v>143.84348399522915</v>
      </c>
      <c r="G39">
        <f t="shared" si="1"/>
        <v>169.14687596658334</v>
      </c>
    </row>
    <row r="40" spans="1:12" x14ac:dyDescent="0.2">
      <c r="A40" s="1">
        <v>39</v>
      </c>
      <c r="B40" s="4">
        <v>2017</v>
      </c>
      <c r="C40" s="2">
        <v>0.15539411</v>
      </c>
      <c r="D40" s="2">
        <v>9.1295409999999994E-2</v>
      </c>
      <c r="F40">
        <f t="shared" si="0"/>
        <v>142.08937266535753</v>
      </c>
      <c r="G40">
        <f t="shared" si="1"/>
        <v>164.55873690403487</v>
      </c>
    </row>
    <row r="41" spans="1:12" x14ac:dyDescent="0.2">
      <c r="A41" s="1">
        <v>40</v>
      </c>
      <c r="B41" s="4">
        <v>2018</v>
      </c>
      <c r="C41" s="2">
        <v>0.16231625999999999</v>
      </c>
      <c r="D41" s="2">
        <v>8.9404810000000001E-2</v>
      </c>
      <c r="F41">
        <f t="shared" si="0"/>
        <v>148.41885292040388</v>
      </c>
      <c r="G41">
        <f t="shared" si="1"/>
        <v>161.1509560748479</v>
      </c>
    </row>
    <row r="42" spans="1:12" x14ac:dyDescent="0.2">
      <c r="A42" s="1">
        <v>41</v>
      </c>
      <c r="B42" s="4">
        <v>2019</v>
      </c>
      <c r="C42" s="2">
        <v>0.15802558</v>
      </c>
      <c r="D42" s="2">
        <v>8.6741970000000002E-2</v>
      </c>
      <c r="F42">
        <f t="shared" si="0"/>
        <v>144.4955380051359</v>
      </c>
      <c r="G42">
        <f t="shared" si="1"/>
        <v>156.35122313123614</v>
      </c>
    </row>
    <row r="43" spans="1:12" x14ac:dyDescent="0.2">
      <c r="A43" s="1">
        <v>42</v>
      </c>
      <c r="B43" s="4">
        <v>2020</v>
      </c>
      <c r="C43" s="2">
        <v>0.26800442000000002</v>
      </c>
      <c r="D43" s="2">
        <v>0.11555599</v>
      </c>
      <c r="F43">
        <f t="shared" si="0"/>
        <v>245.05806500222565</v>
      </c>
      <c r="G43">
        <f t="shared" si="1"/>
        <v>208.28810294072056</v>
      </c>
    </row>
    <row r="44" spans="1:12" x14ac:dyDescent="0.2">
      <c r="A44" s="1">
        <v>43</v>
      </c>
      <c r="B44" s="4">
        <v>2021</v>
      </c>
      <c r="C44" s="2">
        <v>0.27513885999999999</v>
      </c>
      <c r="D44" s="2">
        <v>0.11613656</v>
      </c>
      <c r="F44">
        <f t="shared" si="0"/>
        <v>251.58165913277938</v>
      </c>
      <c r="G44">
        <f>D44/D$2*100</f>
        <v>209.33457248266549</v>
      </c>
    </row>
    <row r="47" spans="1:12" x14ac:dyDescent="0.2">
      <c r="E47" t="s">
        <v>7</v>
      </c>
      <c r="F47">
        <f>(F44-F2)/F2*100</f>
        <v>151.58165913277938</v>
      </c>
      <c r="G47">
        <f>(G44-G2)/G2*100</f>
        <v>109.33457248266549</v>
      </c>
      <c r="K47" t="s">
        <v>8</v>
      </c>
    </row>
    <row r="48" spans="1:12" x14ac:dyDescent="0.2">
      <c r="K48" t="s">
        <v>9</v>
      </c>
      <c r="L48">
        <f>(F9-F2)/F2*100</f>
        <v>-31.123451999220208</v>
      </c>
    </row>
    <row r="49" spans="5:7" x14ac:dyDescent="0.2">
      <c r="E49" t="s">
        <v>12</v>
      </c>
      <c r="G49">
        <f>G39-G2</f>
        <v>69.146875966583337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8C43-DE53-314E-AF4F-D01FE404ECD0}">
  <dimension ref="A1:L39"/>
  <sheetViews>
    <sheetView topLeftCell="C29" zoomScale="200" workbookViewId="0">
      <selection activeCell="F35" sqref="F35"/>
    </sheetView>
  </sheetViews>
  <sheetFormatPr baseColWidth="10" defaultRowHeight="16" x14ac:dyDescent="0.2"/>
  <cols>
    <col min="2" max="2" width="23.1640625" customWidth="1"/>
    <col min="3" max="3" width="19.83203125" customWidth="1"/>
    <col min="4" max="4" width="17.1640625" customWidth="1"/>
    <col min="5" max="5" width="29.83203125" bestFit="1" customWidth="1"/>
    <col min="6" max="6" width="15.6640625" customWidth="1"/>
    <col min="7" max="7" width="17.5" customWidth="1"/>
    <col min="8" max="8" width="10.5" customWidth="1"/>
    <col min="11" max="11" width="15" bestFit="1" customWidth="1"/>
    <col min="12" max="12" width="13.6640625" customWidth="1"/>
  </cols>
  <sheetData>
    <row r="1" spans="1:7" x14ac:dyDescent="0.2">
      <c r="A1" s="1"/>
      <c r="B1" s="1" t="s">
        <v>0</v>
      </c>
      <c r="C1" s="1" t="s">
        <v>1</v>
      </c>
      <c r="D1" s="1" t="s">
        <v>2</v>
      </c>
      <c r="F1" s="1" t="s">
        <v>5</v>
      </c>
      <c r="G1" s="1" t="s">
        <v>4</v>
      </c>
    </row>
    <row r="2" spans="1:7" x14ac:dyDescent="0.2">
      <c r="A2" s="1">
        <v>1</v>
      </c>
      <c r="B2" s="2">
        <v>1992</v>
      </c>
      <c r="C2" s="2">
        <v>0.15843090000000001</v>
      </c>
      <c r="D2" s="2">
        <v>2.0221940000000001E-2</v>
      </c>
      <c r="F2">
        <f>C2/C$2*100</f>
        <v>100</v>
      </c>
      <c r="G2">
        <f>D2/D$2*100</f>
        <v>100</v>
      </c>
    </row>
    <row r="3" spans="1:7" x14ac:dyDescent="0.2">
      <c r="A3" s="1">
        <v>2</v>
      </c>
      <c r="B3" s="2">
        <v>1993</v>
      </c>
      <c r="C3" s="2">
        <v>0.1572356</v>
      </c>
      <c r="D3" s="2">
        <v>1.9375949999999999E-2</v>
      </c>
      <c r="F3">
        <f t="shared" ref="F3:F32" si="0">C3/C$2*100</f>
        <v>99.245538591272279</v>
      </c>
      <c r="G3">
        <f t="shared" ref="G3:G32" si="1">D3/D$2*100</f>
        <v>95.816474581568329</v>
      </c>
    </row>
    <row r="4" spans="1:7" x14ac:dyDescent="0.2">
      <c r="A4" s="1">
        <v>3</v>
      </c>
      <c r="B4" s="2">
        <v>1994</v>
      </c>
      <c r="C4" s="2">
        <v>0.1293569</v>
      </c>
      <c r="D4" s="2">
        <v>1.474222E-2</v>
      </c>
      <c r="F4">
        <f t="shared" si="0"/>
        <v>81.648781897975695</v>
      </c>
      <c r="G4">
        <f t="shared" si="1"/>
        <v>72.902105337074488</v>
      </c>
    </row>
    <row r="5" spans="1:7" x14ac:dyDescent="0.2">
      <c r="A5" s="1">
        <v>4</v>
      </c>
      <c r="B5" s="2">
        <v>1995</v>
      </c>
      <c r="C5" s="2">
        <v>0.16369310000000001</v>
      </c>
      <c r="D5" s="2">
        <v>2.1151380000000001E-2</v>
      </c>
      <c r="F5">
        <f t="shared" si="0"/>
        <v>103.32144802560612</v>
      </c>
      <c r="G5">
        <f t="shared" si="1"/>
        <v>104.59619601284544</v>
      </c>
    </row>
    <row r="6" spans="1:7" x14ac:dyDescent="0.2">
      <c r="A6" s="1">
        <v>5</v>
      </c>
      <c r="B6" s="2">
        <v>1996</v>
      </c>
      <c r="C6" s="2">
        <v>0.1629845</v>
      </c>
      <c r="D6" s="2">
        <v>2.147104E-2</v>
      </c>
      <c r="F6">
        <f t="shared" si="0"/>
        <v>102.87418679058189</v>
      </c>
      <c r="G6">
        <f t="shared" si="1"/>
        <v>106.17695433771439</v>
      </c>
    </row>
    <row r="7" spans="1:7" x14ac:dyDescent="0.2">
      <c r="A7" s="1">
        <v>6</v>
      </c>
      <c r="B7" s="2">
        <v>1997</v>
      </c>
      <c r="C7" s="2">
        <v>0.16140889999999999</v>
      </c>
      <c r="D7" s="2">
        <v>2.2011820000000001E-2</v>
      </c>
      <c r="F7">
        <f t="shared" si="0"/>
        <v>101.87968382430445</v>
      </c>
      <c r="G7">
        <f t="shared" si="1"/>
        <v>108.85117847249077</v>
      </c>
    </row>
    <row r="8" spans="1:7" x14ac:dyDescent="0.2">
      <c r="A8" s="1">
        <v>7</v>
      </c>
      <c r="B8" s="2">
        <v>1998</v>
      </c>
      <c r="C8" s="2">
        <v>0.1635904</v>
      </c>
      <c r="D8" s="2">
        <v>2.2629750000000001E-2</v>
      </c>
      <c r="F8">
        <f t="shared" si="0"/>
        <v>103.25662481245766</v>
      </c>
      <c r="G8">
        <f t="shared" si="1"/>
        <v>111.90691892073659</v>
      </c>
    </row>
    <row r="9" spans="1:7" x14ac:dyDescent="0.2">
      <c r="A9" s="1">
        <v>8</v>
      </c>
      <c r="B9" s="2">
        <v>1999</v>
      </c>
      <c r="C9" s="2">
        <v>0.16338420000000001</v>
      </c>
      <c r="D9" s="2">
        <v>2.2451200000000001E-2</v>
      </c>
      <c r="F9">
        <f t="shared" si="0"/>
        <v>103.12647343415962</v>
      </c>
      <c r="G9">
        <f t="shared" si="1"/>
        <v>111.02396703778174</v>
      </c>
    </row>
    <row r="10" spans="1:7" x14ac:dyDescent="0.2">
      <c r="A10" s="1">
        <v>9</v>
      </c>
      <c r="B10" s="2">
        <v>2000</v>
      </c>
      <c r="C10" s="2">
        <v>0.1580992</v>
      </c>
      <c r="D10" s="2">
        <v>2.1655750000000001E-2</v>
      </c>
      <c r="F10">
        <f t="shared" si="0"/>
        <v>99.790634276520535</v>
      </c>
      <c r="G10">
        <f t="shared" si="1"/>
        <v>107.09036818425928</v>
      </c>
    </row>
    <row r="11" spans="1:7" x14ac:dyDescent="0.2">
      <c r="A11" s="1">
        <v>10</v>
      </c>
      <c r="B11" s="2">
        <v>2001</v>
      </c>
      <c r="C11" s="2">
        <v>0.15816379999999999</v>
      </c>
      <c r="D11" s="2">
        <v>1.9661649999999999E-2</v>
      </c>
      <c r="F11">
        <f t="shared" si="0"/>
        <v>99.831409150613908</v>
      </c>
      <c r="G11">
        <f t="shared" si="1"/>
        <v>97.229296496775277</v>
      </c>
    </row>
    <row r="12" spans="1:7" x14ac:dyDescent="0.2">
      <c r="A12" s="1">
        <v>11</v>
      </c>
      <c r="B12" s="2">
        <v>2002</v>
      </c>
      <c r="C12" s="2">
        <v>0.15976509999999999</v>
      </c>
      <c r="D12" s="2">
        <v>1.9745189999999999E-2</v>
      </c>
      <c r="F12">
        <f t="shared" si="0"/>
        <v>100.84213369992847</v>
      </c>
      <c r="G12">
        <f t="shared" si="1"/>
        <v>97.642412152345415</v>
      </c>
    </row>
    <row r="13" spans="1:7" x14ac:dyDescent="0.2">
      <c r="A13" s="1">
        <v>12</v>
      </c>
      <c r="B13" s="2">
        <v>2003</v>
      </c>
      <c r="C13" s="2">
        <v>0.15844140000000001</v>
      </c>
      <c r="D13" s="2">
        <v>1.9594779999999999E-2</v>
      </c>
      <c r="F13">
        <f t="shared" si="0"/>
        <v>100.00662749501517</v>
      </c>
      <c r="G13">
        <f t="shared" si="1"/>
        <v>96.898616057608706</v>
      </c>
    </row>
    <row r="14" spans="1:7" x14ac:dyDescent="0.2">
      <c r="A14" s="1">
        <v>13</v>
      </c>
      <c r="B14" s="2">
        <v>2004</v>
      </c>
      <c r="C14" s="2">
        <v>0.15652540000000001</v>
      </c>
      <c r="D14" s="2">
        <v>1.912807E-2</v>
      </c>
      <c r="F14">
        <f t="shared" si="0"/>
        <v>98.797267452245734</v>
      </c>
      <c r="G14">
        <f t="shared" si="1"/>
        <v>94.590677254506744</v>
      </c>
    </row>
    <row r="15" spans="1:7" x14ac:dyDescent="0.2">
      <c r="A15" s="1">
        <v>14</v>
      </c>
      <c r="B15" s="2">
        <v>2005</v>
      </c>
      <c r="C15" s="2">
        <v>0.1623435</v>
      </c>
      <c r="D15" s="2">
        <v>1.9214060000000002E-2</v>
      </c>
      <c r="F15">
        <f t="shared" si="0"/>
        <v>102.46959399965536</v>
      </c>
      <c r="G15">
        <f t="shared" si="1"/>
        <v>95.015908463777464</v>
      </c>
    </row>
    <row r="16" spans="1:7" x14ac:dyDescent="0.2">
      <c r="A16" s="1">
        <v>15</v>
      </c>
      <c r="B16" s="2">
        <v>2006</v>
      </c>
      <c r="C16" s="2">
        <v>0.1638252</v>
      </c>
      <c r="D16" s="2">
        <v>1.950329E-2</v>
      </c>
      <c r="F16">
        <f t="shared" si="0"/>
        <v>103.40482822479704</v>
      </c>
      <c r="G16">
        <f t="shared" si="1"/>
        <v>96.446186666561161</v>
      </c>
    </row>
    <row r="17" spans="1:7" x14ac:dyDescent="0.2">
      <c r="A17" s="1">
        <v>16</v>
      </c>
      <c r="B17" s="2">
        <v>2007</v>
      </c>
      <c r="C17" s="2">
        <v>0.1731403</v>
      </c>
      <c r="D17" s="2">
        <v>1.9693680000000002E-2</v>
      </c>
      <c r="F17">
        <f t="shared" si="0"/>
        <v>109.28442620726133</v>
      </c>
      <c r="G17">
        <f t="shared" si="1"/>
        <v>97.387688817195581</v>
      </c>
    </row>
    <row r="18" spans="1:7" x14ac:dyDescent="0.2">
      <c r="A18" s="1">
        <v>17</v>
      </c>
      <c r="B18" s="2">
        <v>2008</v>
      </c>
      <c r="C18" s="2">
        <v>0.1746279</v>
      </c>
      <c r="D18" s="2">
        <v>2.013651E-2</v>
      </c>
      <c r="F18">
        <f t="shared" si="0"/>
        <v>110.22338445341153</v>
      </c>
      <c r="G18">
        <f t="shared" si="1"/>
        <v>99.577538060146551</v>
      </c>
    </row>
    <row r="19" spans="1:7" x14ac:dyDescent="0.2">
      <c r="A19" s="1">
        <v>18</v>
      </c>
      <c r="B19" s="2">
        <v>2009</v>
      </c>
      <c r="C19" s="2">
        <v>0.1856527</v>
      </c>
      <c r="D19" s="2">
        <v>1.961181E-2</v>
      </c>
      <c r="F19">
        <f t="shared" si="0"/>
        <v>117.18212798134707</v>
      </c>
      <c r="G19">
        <f t="shared" si="1"/>
        <v>96.982831518637681</v>
      </c>
    </row>
    <row r="20" spans="1:7" x14ac:dyDescent="0.2">
      <c r="A20" s="1">
        <v>19</v>
      </c>
      <c r="B20" s="2">
        <v>2010</v>
      </c>
      <c r="C20" s="2">
        <v>0.18172050000000001</v>
      </c>
      <c r="D20" s="2">
        <v>1.954786E-2</v>
      </c>
      <c r="F20">
        <f t="shared" si="0"/>
        <v>114.70016265766336</v>
      </c>
      <c r="G20">
        <f t="shared" si="1"/>
        <v>96.666590841432622</v>
      </c>
    </row>
    <row r="21" spans="1:7" x14ac:dyDescent="0.2">
      <c r="A21" s="1">
        <v>20</v>
      </c>
      <c r="B21" s="2">
        <v>2011</v>
      </c>
      <c r="C21" s="2">
        <v>0.18048339999999999</v>
      </c>
      <c r="D21" s="2">
        <v>1.9747850000000001E-2</v>
      </c>
      <c r="F21">
        <f t="shared" si="0"/>
        <v>113.91931750687523</v>
      </c>
      <c r="G21">
        <f t="shared" si="1"/>
        <v>97.655566182077493</v>
      </c>
    </row>
    <row r="22" spans="1:7" x14ac:dyDescent="0.2">
      <c r="A22" s="1">
        <v>21</v>
      </c>
      <c r="B22" s="2">
        <v>2012</v>
      </c>
      <c r="C22" s="2">
        <v>0.1815457</v>
      </c>
      <c r="D22" s="2">
        <v>1.990084E-2</v>
      </c>
      <c r="F22">
        <f t="shared" si="0"/>
        <v>114.5898306454107</v>
      </c>
      <c r="G22">
        <f t="shared" si="1"/>
        <v>98.412120696629501</v>
      </c>
    </row>
    <row r="23" spans="1:7" x14ac:dyDescent="0.2">
      <c r="A23" s="1">
        <v>22</v>
      </c>
      <c r="B23" s="2">
        <v>2013</v>
      </c>
      <c r="C23" s="2">
        <v>0.18001449999999999</v>
      </c>
      <c r="D23" s="2">
        <v>1.9797209999999999E-2</v>
      </c>
      <c r="F23">
        <f t="shared" si="0"/>
        <v>113.62335251519747</v>
      </c>
      <c r="G23">
        <f t="shared" si="1"/>
        <v>97.899657500714568</v>
      </c>
    </row>
    <row r="24" spans="1:7" x14ac:dyDescent="0.2">
      <c r="A24" s="1">
        <v>23</v>
      </c>
      <c r="B24" s="2">
        <v>2014</v>
      </c>
      <c r="C24" s="2">
        <v>0.17718600000000001</v>
      </c>
      <c r="D24" s="2">
        <v>1.94732E-2</v>
      </c>
      <c r="F24">
        <f t="shared" si="0"/>
        <v>111.8380315961091</v>
      </c>
      <c r="G24">
        <f t="shared" si="1"/>
        <v>96.297387886622147</v>
      </c>
    </row>
    <row r="25" spans="1:7" x14ac:dyDescent="0.2">
      <c r="A25" s="1">
        <v>24</v>
      </c>
      <c r="B25" s="2">
        <v>2015</v>
      </c>
      <c r="C25" s="2">
        <v>0.1761276</v>
      </c>
      <c r="D25" s="2">
        <v>1.9928680000000001E-2</v>
      </c>
      <c r="F25">
        <f t="shared" si="0"/>
        <v>111.16998009857923</v>
      </c>
      <c r="G25">
        <f t="shared" si="1"/>
        <v>98.549792947659824</v>
      </c>
    </row>
    <row r="26" spans="1:7" x14ac:dyDescent="0.2">
      <c r="A26" s="1">
        <v>25</v>
      </c>
      <c r="B26" s="2">
        <v>2016</v>
      </c>
      <c r="C26" s="2">
        <v>0.17843429999999999</v>
      </c>
      <c r="D26" s="2">
        <v>1.9340079999999999E-2</v>
      </c>
      <c r="F26">
        <f t="shared" si="0"/>
        <v>112.6259460749134</v>
      </c>
      <c r="G26">
        <f t="shared" si="1"/>
        <v>95.639092985143847</v>
      </c>
    </row>
    <row r="27" spans="1:7" x14ac:dyDescent="0.2">
      <c r="A27" s="1">
        <v>26</v>
      </c>
      <c r="B27" s="2">
        <v>2017</v>
      </c>
      <c r="C27" s="2">
        <v>0.1759291</v>
      </c>
      <c r="D27" s="2">
        <v>1.9435170000000002E-2</v>
      </c>
      <c r="F27">
        <f t="shared" si="0"/>
        <v>111.04468888329234</v>
      </c>
      <c r="G27">
        <f t="shared" si="1"/>
        <v>96.10932482244533</v>
      </c>
    </row>
    <row r="28" spans="1:7" x14ac:dyDescent="0.2">
      <c r="A28" s="1">
        <v>27</v>
      </c>
      <c r="B28" s="2">
        <v>2018</v>
      </c>
      <c r="C28" s="2">
        <v>0.17493230000000001</v>
      </c>
      <c r="D28" s="2">
        <v>1.9617309999999999E-2</v>
      </c>
      <c r="F28">
        <f t="shared" si="0"/>
        <v>110.41551868985154</v>
      </c>
      <c r="G28">
        <f t="shared" si="1"/>
        <v>97.010029700414492</v>
      </c>
    </row>
    <row r="29" spans="1:7" x14ac:dyDescent="0.2">
      <c r="A29" s="1">
        <v>28</v>
      </c>
      <c r="B29" s="2">
        <v>2019</v>
      </c>
      <c r="C29" s="2">
        <v>0.1751714</v>
      </c>
      <c r="D29" s="2">
        <v>1.9579490000000001E-2</v>
      </c>
      <c r="F29">
        <f t="shared" si="0"/>
        <v>110.56643621919713</v>
      </c>
      <c r="G29">
        <f t="shared" si="1"/>
        <v>96.823005112269158</v>
      </c>
    </row>
    <row r="30" spans="1:7" x14ac:dyDescent="0.2">
      <c r="A30" s="1">
        <v>29</v>
      </c>
      <c r="B30" s="2">
        <v>2020</v>
      </c>
      <c r="C30" s="2">
        <v>0.18097759999999999</v>
      </c>
      <c r="D30" s="2">
        <v>1.96262E-2</v>
      </c>
      <c r="F30">
        <f t="shared" si="0"/>
        <v>114.23125160558956</v>
      </c>
      <c r="G30">
        <f t="shared" si="1"/>
        <v>97.053991852413759</v>
      </c>
    </row>
    <row r="31" spans="1:7" x14ac:dyDescent="0.2">
      <c r="A31" s="1">
        <v>30</v>
      </c>
      <c r="B31" s="2">
        <v>2021</v>
      </c>
      <c r="C31" s="2">
        <v>0.17189550000000001</v>
      </c>
      <c r="D31" s="2">
        <v>1.933358E-2</v>
      </c>
      <c r="F31">
        <f t="shared" si="0"/>
        <v>108.49872089346206</v>
      </c>
      <c r="G31">
        <f t="shared" si="1"/>
        <v>95.606949679407606</v>
      </c>
    </row>
    <row r="32" spans="1:7" x14ac:dyDescent="0.2">
      <c r="A32" s="1">
        <v>31</v>
      </c>
      <c r="B32" s="2">
        <v>2022</v>
      </c>
      <c r="C32" s="2">
        <v>0.17660310000000001</v>
      </c>
      <c r="D32" s="2">
        <v>2.0025169999999998E-2</v>
      </c>
      <c r="F32">
        <f t="shared" si="0"/>
        <v>111.47011094426655</v>
      </c>
      <c r="G32">
        <f t="shared" si="1"/>
        <v>99.026947958504465</v>
      </c>
    </row>
    <row r="35" spans="5:12" x14ac:dyDescent="0.2">
      <c r="E35" t="s">
        <v>6</v>
      </c>
      <c r="F35">
        <f>(F32-F2)/F2*100</f>
        <v>11.470110944266551</v>
      </c>
      <c r="G35">
        <f>(G32-G2)/G2*100</f>
        <v>-0.97305204149553504</v>
      </c>
    </row>
    <row r="38" spans="5:12" x14ac:dyDescent="0.2">
      <c r="K38" t="s">
        <v>10</v>
      </c>
    </row>
    <row r="39" spans="5:12" x14ac:dyDescent="0.2">
      <c r="K39" t="s">
        <v>11</v>
      </c>
      <c r="L39">
        <f>(F4-F2)/F2*100</f>
        <v>-18.351218102024305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B876-B7B2-EA4F-A6C6-8A25BBD3B139}">
  <dimension ref="A1:O38"/>
  <sheetViews>
    <sheetView tabSelected="1" topLeftCell="D20" zoomScale="125" workbookViewId="0">
      <selection activeCell="L37" sqref="L37"/>
    </sheetView>
  </sheetViews>
  <sheetFormatPr baseColWidth="10" defaultRowHeight="16" x14ac:dyDescent="0.2"/>
  <cols>
    <col min="2" max="2" width="23.1640625" customWidth="1"/>
    <col min="3" max="3" width="26.6640625" customWidth="1"/>
    <col min="4" max="4" width="17.1640625" customWidth="1"/>
    <col min="6" max="6" width="28.6640625" bestFit="1" customWidth="1"/>
    <col min="7" max="7" width="15" bestFit="1" customWidth="1"/>
    <col min="8" max="8" width="19.33203125" customWidth="1"/>
    <col min="14" max="14" width="15" bestFit="1" customWidth="1"/>
  </cols>
  <sheetData>
    <row r="1" spans="1:8" x14ac:dyDescent="0.2">
      <c r="A1" s="1"/>
      <c r="B1" s="1" t="s">
        <v>0</v>
      </c>
      <c r="C1" s="1" t="s">
        <v>1</v>
      </c>
      <c r="D1" s="6" t="s">
        <v>2</v>
      </c>
      <c r="G1" s="1" t="s">
        <v>5</v>
      </c>
      <c r="H1" s="1" t="s">
        <v>4</v>
      </c>
    </row>
    <row r="2" spans="1:8" x14ac:dyDescent="0.2">
      <c r="A2" s="1">
        <v>1</v>
      </c>
      <c r="B2" s="2">
        <v>1992</v>
      </c>
      <c r="C2" s="2">
        <v>0.1582759</v>
      </c>
      <c r="D2" s="2">
        <v>3.5719689999999998E-2</v>
      </c>
      <c r="G2">
        <f>C2/C$2*100</f>
        <v>100</v>
      </c>
      <c r="H2">
        <f>D2/D$2*100</f>
        <v>100</v>
      </c>
    </row>
    <row r="3" spans="1:8" x14ac:dyDescent="0.2">
      <c r="A3" s="1">
        <v>2</v>
      </c>
      <c r="B3" s="2">
        <v>1993</v>
      </c>
      <c r="C3" s="2">
        <v>0.1571053</v>
      </c>
      <c r="D3" s="2">
        <v>3.5135470000000002E-2</v>
      </c>
      <c r="G3">
        <f t="shared" ref="G3:G32" si="0">C3/C$2*100</f>
        <v>99.260405406003059</v>
      </c>
      <c r="H3">
        <f t="shared" ref="H3:H32" si="1">D3/D$2*100</f>
        <v>98.364431494226295</v>
      </c>
    </row>
    <row r="4" spans="1:8" x14ac:dyDescent="0.2">
      <c r="A4" s="1">
        <v>3</v>
      </c>
      <c r="B4" s="2">
        <v>1994</v>
      </c>
      <c r="C4" s="2">
        <v>0.13122120000000001</v>
      </c>
      <c r="D4" s="2">
        <v>2.7019809999999998E-2</v>
      </c>
      <c r="G4">
        <f t="shared" si="0"/>
        <v>82.906620654186781</v>
      </c>
      <c r="H4">
        <f t="shared" si="1"/>
        <v>75.644021546659559</v>
      </c>
    </row>
    <row r="5" spans="1:8" x14ac:dyDescent="0.2">
      <c r="A5" s="1">
        <v>4</v>
      </c>
      <c r="B5" s="2">
        <v>1995</v>
      </c>
      <c r="C5" s="2">
        <v>0.1651233</v>
      </c>
      <c r="D5" s="2">
        <v>3.8977669999999999E-2</v>
      </c>
      <c r="G5">
        <f t="shared" si="0"/>
        <v>104.32624297192434</v>
      </c>
      <c r="H5">
        <f t="shared" si="1"/>
        <v>109.1209638157554</v>
      </c>
    </row>
    <row r="6" spans="1:8" x14ac:dyDescent="0.2">
      <c r="A6" s="1">
        <v>5</v>
      </c>
      <c r="B6" s="2">
        <v>1996</v>
      </c>
      <c r="C6" s="2">
        <v>0.1642393</v>
      </c>
      <c r="D6" s="2">
        <v>3.9385549999999998E-2</v>
      </c>
      <c r="G6">
        <f t="shared" si="0"/>
        <v>103.76772458725556</v>
      </c>
      <c r="H6">
        <f t="shared" si="1"/>
        <v>110.26285502477766</v>
      </c>
    </row>
    <row r="7" spans="1:8" x14ac:dyDescent="0.2">
      <c r="A7" s="1">
        <v>6</v>
      </c>
      <c r="B7" s="2">
        <v>1997</v>
      </c>
      <c r="C7" s="2">
        <v>0.16158529999999999</v>
      </c>
      <c r="D7" s="2">
        <v>3.9765269999999998E-2</v>
      </c>
      <c r="G7">
        <f t="shared" si="0"/>
        <v>102.09090581699425</v>
      </c>
      <c r="H7">
        <f t="shared" si="1"/>
        <v>111.32591016327409</v>
      </c>
    </row>
    <row r="8" spans="1:8" x14ac:dyDescent="0.2">
      <c r="A8" s="1">
        <v>7</v>
      </c>
      <c r="B8" s="2">
        <v>1998</v>
      </c>
      <c r="C8" s="2">
        <v>0.16220010000000001</v>
      </c>
      <c r="D8" s="2">
        <v>3.9654099999999998E-2</v>
      </c>
      <c r="G8">
        <f t="shared" si="0"/>
        <v>102.4793414537526</v>
      </c>
      <c r="H8">
        <f t="shared" si="1"/>
        <v>111.01468125843196</v>
      </c>
    </row>
    <row r="9" spans="1:8" x14ac:dyDescent="0.2">
      <c r="A9" s="1">
        <v>8</v>
      </c>
      <c r="B9" s="2">
        <v>1999</v>
      </c>
      <c r="C9" s="2">
        <v>0.1603</v>
      </c>
      <c r="D9" s="2">
        <v>3.8666060000000002E-2</v>
      </c>
      <c r="G9">
        <f t="shared" si="0"/>
        <v>101.27884283077842</v>
      </c>
      <c r="H9">
        <f t="shared" si="1"/>
        <v>108.24858782369053</v>
      </c>
    </row>
    <row r="10" spans="1:8" x14ac:dyDescent="0.2">
      <c r="A10" s="1">
        <v>9</v>
      </c>
      <c r="B10" s="2">
        <v>2000</v>
      </c>
      <c r="C10" s="2">
        <v>0.15886529999999999</v>
      </c>
      <c r="D10" s="2">
        <v>3.7895310000000001E-2</v>
      </c>
      <c r="G10">
        <f t="shared" si="0"/>
        <v>100.37238771032102</v>
      </c>
      <c r="H10">
        <f t="shared" si="1"/>
        <v>106.09081433797438</v>
      </c>
    </row>
    <row r="11" spans="1:8" x14ac:dyDescent="0.2">
      <c r="A11" s="1">
        <v>10</v>
      </c>
      <c r="B11" s="2">
        <v>2001</v>
      </c>
      <c r="C11" s="2">
        <v>0.16139519999999999</v>
      </c>
      <c r="D11" s="2">
        <v>3.465617E-2</v>
      </c>
      <c r="G11">
        <f t="shared" si="0"/>
        <v>101.97079909196536</v>
      </c>
      <c r="H11">
        <f t="shared" si="1"/>
        <v>97.022594540994049</v>
      </c>
    </row>
    <row r="12" spans="1:8" x14ac:dyDescent="0.2">
      <c r="A12" s="1">
        <v>11</v>
      </c>
      <c r="B12" s="2">
        <v>2002</v>
      </c>
      <c r="C12" s="2">
        <v>0.16389020000000001</v>
      </c>
      <c r="D12" s="2">
        <v>3.4418150000000002E-2</v>
      </c>
      <c r="G12">
        <f t="shared" si="0"/>
        <v>103.54716036996159</v>
      </c>
      <c r="H12">
        <f t="shared" si="1"/>
        <v>96.35623937385796</v>
      </c>
    </row>
    <row r="13" spans="1:8" x14ac:dyDescent="0.2">
      <c r="A13" s="1">
        <v>12</v>
      </c>
      <c r="B13" s="2">
        <v>2003</v>
      </c>
      <c r="C13" s="2">
        <v>0.16283600000000001</v>
      </c>
      <c r="D13" s="2">
        <v>3.4188169999999997E-2</v>
      </c>
      <c r="G13">
        <f t="shared" si="0"/>
        <v>102.88110824200021</v>
      </c>
      <c r="H13">
        <f t="shared" si="1"/>
        <v>95.712392800721389</v>
      </c>
    </row>
    <row r="14" spans="1:8" x14ac:dyDescent="0.2">
      <c r="A14" s="1">
        <v>13</v>
      </c>
      <c r="B14" s="2">
        <v>2004</v>
      </c>
      <c r="C14" s="2">
        <v>0.15954119999999999</v>
      </c>
      <c r="D14" s="2">
        <v>3.3587329999999999E-2</v>
      </c>
      <c r="G14">
        <f t="shared" si="0"/>
        <v>100.79942682366678</v>
      </c>
      <c r="H14">
        <f t="shared" si="1"/>
        <v>94.030295335709795</v>
      </c>
    </row>
    <row r="15" spans="1:8" x14ac:dyDescent="0.2">
      <c r="A15" s="1">
        <v>14</v>
      </c>
      <c r="B15" s="2">
        <v>2005</v>
      </c>
      <c r="C15" s="2">
        <v>0.16023390000000001</v>
      </c>
      <c r="D15" s="2">
        <v>3.3424620000000002E-2</v>
      </c>
      <c r="G15">
        <f t="shared" si="0"/>
        <v>101.23708031355375</v>
      </c>
      <c r="H15">
        <f t="shared" si="1"/>
        <v>93.574776264855615</v>
      </c>
    </row>
    <row r="16" spans="1:8" x14ac:dyDescent="0.2">
      <c r="A16" s="1">
        <v>15</v>
      </c>
      <c r="B16" s="2">
        <v>2006</v>
      </c>
      <c r="C16" s="2">
        <v>0.15999620000000001</v>
      </c>
      <c r="D16" s="2">
        <v>3.351121E-2</v>
      </c>
      <c r="G16">
        <f t="shared" si="0"/>
        <v>101.08689952165808</v>
      </c>
      <c r="H16">
        <f t="shared" si="1"/>
        <v>93.81719158256972</v>
      </c>
    </row>
    <row r="17" spans="1:8" x14ac:dyDescent="0.2">
      <c r="A17" s="1">
        <v>16</v>
      </c>
      <c r="B17" s="2">
        <v>2007</v>
      </c>
      <c r="C17" s="2">
        <v>0.16512940000000001</v>
      </c>
      <c r="D17" s="2">
        <v>3.3528229999999999E-2</v>
      </c>
      <c r="G17">
        <f t="shared" si="0"/>
        <v>104.33009700150183</v>
      </c>
      <c r="H17">
        <f t="shared" si="1"/>
        <v>93.864840372354848</v>
      </c>
    </row>
    <row r="18" spans="1:8" x14ac:dyDescent="0.2">
      <c r="A18" s="1">
        <v>17</v>
      </c>
      <c r="B18" s="2">
        <v>2008</v>
      </c>
      <c r="C18" s="2">
        <v>0.16866310000000001</v>
      </c>
      <c r="D18" s="2">
        <v>3.4173790000000002E-2</v>
      </c>
      <c r="G18">
        <f t="shared" si="0"/>
        <v>106.56271738148386</v>
      </c>
      <c r="H18">
        <f t="shared" si="1"/>
        <v>95.672134892548073</v>
      </c>
    </row>
    <row r="19" spans="1:8" x14ac:dyDescent="0.2">
      <c r="A19" s="1">
        <v>18</v>
      </c>
      <c r="B19" s="2">
        <v>2009</v>
      </c>
      <c r="C19" s="2">
        <v>0.17732500000000001</v>
      </c>
      <c r="D19" s="2">
        <v>3.35354E-2</v>
      </c>
      <c r="G19">
        <f t="shared" si="0"/>
        <v>112.03537620067239</v>
      </c>
      <c r="H19">
        <f t="shared" si="1"/>
        <v>93.88491333491416</v>
      </c>
    </row>
    <row r="20" spans="1:8" x14ac:dyDescent="0.2">
      <c r="A20" s="1">
        <v>19</v>
      </c>
      <c r="B20" s="2">
        <v>2010</v>
      </c>
      <c r="C20" s="2">
        <v>0.175427</v>
      </c>
      <c r="D20" s="2">
        <v>3.3286019999999999E-2</v>
      </c>
      <c r="G20">
        <f t="shared" si="0"/>
        <v>110.83620437476584</v>
      </c>
      <c r="H20">
        <f t="shared" si="1"/>
        <v>93.186754980236401</v>
      </c>
    </row>
    <row r="21" spans="1:8" x14ac:dyDescent="0.2">
      <c r="A21" s="1">
        <v>20</v>
      </c>
      <c r="B21" s="2">
        <v>2011</v>
      </c>
      <c r="C21" s="2">
        <v>0.1730756</v>
      </c>
      <c r="D21" s="2">
        <v>3.3439789999999997E-2</v>
      </c>
      <c r="G21">
        <f t="shared" si="0"/>
        <v>109.35057074387193</v>
      </c>
      <c r="H21">
        <f t="shared" si="1"/>
        <v>93.617245838359736</v>
      </c>
    </row>
    <row r="22" spans="1:8" x14ac:dyDescent="0.2">
      <c r="A22" s="1">
        <v>21</v>
      </c>
      <c r="B22" s="2">
        <v>2012</v>
      </c>
      <c r="C22" s="2">
        <v>0.17312559999999999</v>
      </c>
      <c r="D22" s="2">
        <v>3.3627850000000001E-2</v>
      </c>
      <c r="G22">
        <f t="shared" si="0"/>
        <v>109.3821611502446</v>
      </c>
      <c r="H22">
        <f t="shared" si="1"/>
        <v>94.143734170145379</v>
      </c>
    </row>
    <row r="23" spans="1:8" x14ac:dyDescent="0.2">
      <c r="A23" s="1">
        <v>22</v>
      </c>
      <c r="B23" s="2">
        <v>2013</v>
      </c>
      <c r="C23" s="2">
        <v>0.17309060000000001</v>
      </c>
      <c r="D23" s="2">
        <v>3.3736620000000002E-2</v>
      </c>
      <c r="G23">
        <f t="shared" si="0"/>
        <v>109.36004786578376</v>
      </c>
      <c r="H23">
        <f t="shared" si="1"/>
        <v>94.448244091704055</v>
      </c>
    </row>
    <row r="24" spans="1:8" x14ac:dyDescent="0.2">
      <c r="A24" s="1">
        <v>23</v>
      </c>
      <c r="B24" s="2">
        <v>2014</v>
      </c>
      <c r="C24" s="2">
        <v>0.17043820000000001</v>
      </c>
      <c r="D24" s="2">
        <v>3.3464960000000002E-2</v>
      </c>
      <c r="G24">
        <f t="shared" si="0"/>
        <v>107.68423998852637</v>
      </c>
      <c r="H24">
        <f t="shared" si="1"/>
        <v>93.687711175544933</v>
      </c>
    </row>
    <row r="25" spans="1:8" x14ac:dyDescent="0.2">
      <c r="A25" s="1">
        <v>24</v>
      </c>
      <c r="B25" s="2">
        <v>2015</v>
      </c>
      <c r="C25" s="2">
        <v>0.17030609999999999</v>
      </c>
      <c r="D25" s="2">
        <v>3.4358430000000002E-2</v>
      </c>
      <c r="G25">
        <f t="shared" si="0"/>
        <v>107.60077813488978</v>
      </c>
      <c r="H25">
        <f t="shared" si="1"/>
        <v>96.189048673154787</v>
      </c>
    </row>
    <row r="26" spans="1:8" x14ac:dyDescent="0.2">
      <c r="A26" s="1">
        <v>25</v>
      </c>
      <c r="B26" s="2">
        <v>2016</v>
      </c>
      <c r="C26" s="2">
        <v>0.17317779999999999</v>
      </c>
      <c r="D26" s="2">
        <v>3.3582830000000001E-2</v>
      </c>
      <c r="G26">
        <f t="shared" si="0"/>
        <v>109.41514153449768</v>
      </c>
      <c r="H26">
        <f t="shared" si="1"/>
        <v>94.017697242053345</v>
      </c>
    </row>
    <row r="27" spans="1:8" x14ac:dyDescent="0.2">
      <c r="A27" s="1">
        <v>26</v>
      </c>
      <c r="B27" s="2">
        <v>2017</v>
      </c>
      <c r="C27" s="2">
        <v>0.1725382</v>
      </c>
      <c r="D27" s="2">
        <v>3.3734189999999997E-2</v>
      </c>
      <c r="G27">
        <f t="shared" si="0"/>
        <v>109.01103705617849</v>
      </c>
      <c r="H27">
        <f t="shared" si="1"/>
        <v>94.441441121129543</v>
      </c>
    </row>
    <row r="28" spans="1:8" x14ac:dyDescent="0.2">
      <c r="A28" s="1">
        <v>27</v>
      </c>
      <c r="B28" s="2">
        <v>2018</v>
      </c>
      <c r="C28" s="2">
        <v>0.17234140000000001</v>
      </c>
      <c r="D28" s="2">
        <v>3.4292169999999997E-2</v>
      </c>
      <c r="G28">
        <f t="shared" si="0"/>
        <v>108.88669721669567</v>
      </c>
      <c r="H28">
        <f t="shared" si="1"/>
        <v>96.003548743004202</v>
      </c>
    </row>
    <row r="29" spans="1:8" x14ac:dyDescent="0.2">
      <c r="A29" s="1">
        <v>28</v>
      </c>
      <c r="B29" s="2">
        <v>2019</v>
      </c>
      <c r="C29" s="2">
        <v>0.17359910000000001</v>
      </c>
      <c r="D29" s="2">
        <v>3.4345729999999998E-2</v>
      </c>
      <c r="G29">
        <f t="shared" si="0"/>
        <v>109.6813222985938</v>
      </c>
      <c r="H29">
        <f t="shared" si="1"/>
        <v>96.153494053279857</v>
      </c>
    </row>
    <row r="30" spans="1:8" x14ac:dyDescent="0.2">
      <c r="A30" s="1">
        <v>29</v>
      </c>
      <c r="B30" s="2">
        <v>2020</v>
      </c>
      <c r="C30" s="2">
        <v>0.17567179999999999</v>
      </c>
      <c r="D30" s="2">
        <v>3.4301989999999997E-2</v>
      </c>
      <c r="G30">
        <f t="shared" si="0"/>
        <v>110.99087100436643</v>
      </c>
      <c r="H30">
        <f t="shared" si="1"/>
        <v>96.031040582938985</v>
      </c>
    </row>
    <row r="31" spans="1:8" x14ac:dyDescent="0.2">
      <c r="A31" s="1">
        <v>30</v>
      </c>
      <c r="B31" s="2">
        <v>2021</v>
      </c>
      <c r="C31" s="2">
        <v>0.167212</v>
      </c>
      <c r="D31" s="2">
        <v>3.3989430000000001E-2</v>
      </c>
      <c r="G31">
        <f t="shared" si="0"/>
        <v>105.64590060773624</v>
      </c>
      <c r="H31">
        <f t="shared" si="1"/>
        <v>95.156004993324416</v>
      </c>
    </row>
    <row r="32" spans="1:8" x14ac:dyDescent="0.2">
      <c r="A32" s="1">
        <v>31</v>
      </c>
      <c r="B32" s="2">
        <v>2022</v>
      </c>
      <c r="C32" s="2">
        <v>0.1730448</v>
      </c>
      <c r="D32" s="2">
        <v>3.5552729999999998E-2</v>
      </c>
      <c r="G32">
        <f t="shared" si="0"/>
        <v>109.33111105354638</v>
      </c>
      <c r="H32">
        <f t="shared" si="1"/>
        <v>99.53258272958135</v>
      </c>
    </row>
    <row r="35" spans="6:15" x14ac:dyDescent="0.2">
      <c r="F35" t="s">
        <v>6</v>
      </c>
      <c r="G35">
        <f>(G32-G2)/G2*100</f>
        <v>9.3311110535463797</v>
      </c>
      <c r="H35">
        <f>(H32-H2)/H2*100</f>
        <v>-0.46741727041865033</v>
      </c>
    </row>
    <row r="37" spans="6:15" x14ac:dyDescent="0.2">
      <c r="N37" t="s">
        <v>10</v>
      </c>
    </row>
    <row r="38" spans="6:15" x14ac:dyDescent="0.2">
      <c r="N38" t="s">
        <v>11</v>
      </c>
      <c r="O38">
        <f>(G4-G2)/G2*100</f>
        <v>-17.093379345813219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</vt:lpstr>
      <vt:lpstr>Canada (Federal)</vt:lpstr>
      <vt:lpstr>Canada (Federal and Prov)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 Ghimire</dc:creator>
  <cp:lastModifiedBy>Nishan Ghimire</cp:lastModifiedBy>
  <dcterms:created xsi:type="dcterms:W3CDTF">2025-11-06T05:11:03Z</dcterms:created>
  <dcterms:modified xsi:type="dcterms:W3CDTF">2025-12-30T23:51:50Z</dcterms:modified>
</cp:coreProperties>
</file>