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82bb3b492b3b6/MRP OneDrive/Master Data and R Code File/"/>
    </mc:Choice>
  </mc:AlternateContent>
  <xr:revisionPtr revIDLastSave="0" documentId="8_{EC48FE6D-7FB2-364A-80B8-24CC644CE3DE}" xr6:coauthVersionLast="47" xr6:coauthVersionMax="47" xr10:uidLastSave="{00000000-0000-0000-0000-000000000000}"/>
  <bookViews>
    <workbookView xWindow="0" yWindow="780" windowWidth="34200" windowHeight="19780" activeTab="2" xr2:uid="{01229823-7D94-0340-81DE-C4DF7645E6B3}"/>
  </bookViews>
  <sheets>
    <sheet name="ATR Canada (Federal)" sheetId="4" r:id="rId1"/>
    <sheet name="ATR Canada (Fed and Prov)" sheetId="5" r:id="rId2"/>
    <sheet name="ATR U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6" l="1"/>
  <c r="P4" i="6"/>
  <c r="P5" i="6"/>
  <c r="P6" i="6"/>
  <c r="P3" i="6"/>
  <c r="L4" i="4"/>
  <c r="L5" i="4"/>
  <c r="L6" i="4"/>
  <c r="L7" i="4"/>
  <c r="L3" i="4"/>
  <c r="N4" i="5"/>
  <c r="N5" i="5"/>
  <c r="N6" i="5"/>
  <c r="N7" i="5"/>
  <c r="N3" i="5"/>
  <c r="I8" i="5"/>
  <c r="M3" i="5"/>
  <c r="L3" i="5"/>
  <c r="O4" i="6"/>
  <c r="O5" i="6"/>
  <c r="O6" i="6"/>
  <c r="O7" i="6"/>
  <c r="O3" i="6"/>
  <c r="N7" i="6"/>
  <c r="N4" i="6"/>
  <c r="N5" i="6"/>
  <c r="N6" i="6"/>
  <c r="N3" i="6"/>
  <c r="M4" i="5" l="1"/>
  <c r="M5" i="5"/>
  <c r="M6" i="5"/>
  <c r="M7" i="5"/>
  <c r="L4" i="5"/>
  <c r="L5" i="5"/>
  <c r="L6" i="5"/>
  <c r="L7" i="5"/>
  <c r="K4" i="4" l="1"/>
  <c r="K5" i="4"/>
  <c r="K6" i="4"/>
  <c r="K7" i="4"/>
  <c r="K3" i="4"/>
  <c r="J4" i="4"/>
  <c r="J5" i="4"/>
  <c r="J6" i="4"/>
  <c r="J7" i="4"/>
  <c r="J3" i="4"/>
</calcChain>
</file>

<file path=xl/sharedStrings.xml><?xml version="1.0" encoding="utf-8"?>
<sst xmlns="http://schemas.openxmlformats.org/spreadsheetml/2006/main" count="561" uniqueCount="22">
  <si>
    <t>Lowest Quintile</t>
  </si>
  <si>
    <t>Second Quintile</t>
  </si>
  <si>
    <t>Middle Quintile</t>
  </si>
  <si>
    <t>Fourth Quintile</t>
  </si>
  <si>
    <t>Highest Quintile</t>
  </si>
  <si>
    <t>Third Quintile</t>
  </si>
  <si>
    <t xml:space="preserve">Year </t>
  </si>
  <si>
    <t xml:space="preserve">Quintiles (Lowest to Highest) </t>
  </si>
  <si>
    <t>Quintile</t>
  </si>
  <si>
    <t xml:space="preserve">ATR = Average Tax Liability/ Primary Income </t>
  </si>
  <si>
    <t>Year</t>
  </si>
  <si>
    <t>Quintiles</t>
  </si>
  <si>
    <t>ATR= Tax Liability/Primary Income</t>
  </si>
  <si>
    <t>% change</t>
  </si>
  <si>
    <t xml:space="preserve">% change </t>
  </si>
  <si>
    <t>Fourth Quinitile</t>
  </si>
  <si>
    <t>Fifth Quintile</t>
  </si>
  <si>
    <t>ATR for US (1979)</t>
  </si>
  <si>
    <t>ATR for US (2021)</t>
  </si>
  <si>
    <t>ATR for Canada (1992)</t>
  </si>
  <si>
    <t>ATR for Canada (2022)</t>
  </si>
  <si>
    <t>ATR for Canada 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</si>
</sst>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'ATR Canada (Federal)'!$J$1</c:f>
              <c:strCache>
                <c:ptCount val="1"/>
                <c:pt idx="0">
                  <c:v>ATR for Canada (1992)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04-FE45-8F8C-308AD98D5557}"/>
                </c:ext>
              </c:extLst>
            </c:dLbl>
            <c:dLbl>
              <c:idx val="1"/>
              <c:layout>
                <c:manualLayout>
                  <c:x val="-3.4750411524791094E-2"/>
                  <c:y val="-3.9155898781883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04-FE45-8F8C-308AD98D5557}"/>
                </c:ext>
              </c:extLst>
            </c:dLbl>
            <c:dLbl>
              <c:idx val="2"/>
              <c:layout>
                <c:manualLayout>
                  <c:x val="-3.4750411524791143E-2"/>
                  <c:y val="-3.9155898781883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04-FE45-8F8C-308AD98D5557}"/>
                </c:ext>
              </c:extLst>
            </c:dLbl>
            <c:dLbl>
              <c:idx val="4"/>
              <c:layout>
                <c:manualLayout>
                  <c:x val="-4.8145884227853673E-2"/>
                  <c:y val="-4.129265091863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04-FE45-8F8C-308AD98D55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'ATR Canada (Federal)'!$I$2:$I$7</c:f>
              <c:strCache>
                <c:ptCount val="6"/>
                <c:pt idx="1">
                  <c:v>Lowest Quintile</c:v>
                </c:pt>
                <c:pt idx="2">
                  <c:v>Second Quintile</c:v>
                </c:pt>
                <c:pt idx="3">
                  <c:v>Third Quintile</c:v>
                </c:pt>
                <c:pt idx="4">
                  <c:v>Fourth Quintile</c:v>
                </c:pt>
                <c:pt idx="5">
                  <c:v>Fifth Quintile</c:v>
                </c:pt>
              </c:strCache>
            </c:strRef>
          </c:cat>
          <c:val>
            <c:numRef>
              <c:f>'ATR Canada (Federal)'!$J$2:$J$7</c:f>
              <c:numCache>
                <c:formatCode>0.00%</c:formatCode>
                <c:ptCount val="6"/>
                <c:pt idx="0" formatCode="General">
                  <c:v>0</c:v>
                </c:pt>
                <c:pt idx="1">
                  <c:v>1.0088008997897E-2</c:v>
                </c:pt>
                <c:pt idx="2">
                  <c:v>4.4305169514264289E-2</c:v>
                </c:pt>
                <c:pt idx="3">
                  <c:v>8.1846909001934309E-2</c:v>
                </c:pt>
                <c:pt idx="4">
                  <c:v>0.11147765718505559</c:v>
                </c:pt>
                <c:pt idx="5">
                  <c:v>0.14555252602877866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D-D44B-9605-C471C5816C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4377616"/>
        <c:axId val="324705744"/>
      </c:lineChart>
      <c:catAx>
        <c:axId val="3243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705744"/>
        <c:crosses val="autoZero"/>
        <c:auto val="1"/>
        <c:lblAlgn val="ctr"/>
        <c:lblOffset val="100"/>
        <c:tickLblSkip val="1"/>
        <c:noMultiLvlLbl val="0"/>
      </c:catAx>
      <c:valAx>
        <c:axId val="324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ATR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3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'ATR Canada (Federal)'!$K$1</c:f>
              <c:strCache>
                <c:ptCount val="1"/>
                <c:pt idx="0">
                  <c:v>ATR for Canada (2022)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EA-BA43-8A16-E430D00B43BF}"/>
                </c:ext>
              </c:extLst>
            </c:dLbl>
            <c:dLbl>
              <c:idx val="2"/>
              <c:layout>
                <c:manualLayout>
                  <c:x val="-4.0076643215869658E-2"/>
                  <c:y val="-3.7019146645130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75-D246-919F-E89F143AC780}"/>
                </c:ext>
              </c:extLst>
            </c:dLbl>
            <c:dLbl>
              <c:idx val="4"/>
              <c:layout>
                <c:manualLayout>
                  <c:x val="-5.4723780366335795E-2"/>
                  <c:y val="-3.488239450837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75-D246-919F-E89F143AC7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'ATR Canada (Federal)'!$I$2:$I$7</c:f>
              <c:strCache>
                <c:ptCount val="6"/>
                <c:pt idx="1">
                  <c:v>Lowest Quintile</c:v>
                </c:pt>
                <c:pt idx="2">
                  <c:v>Second Quintile</c:v>
                </c:pt>
                <c:pt idx="3">
                  <c:v>Third Quintile</c:v>
                </c:pt>
                <c:pt idx="4">
                  <c:v>Fourth Quintile</c:v>
                </c:pt>
                <c:pt idx="5">
                  <c:v>Fifth Quintile</c:v>
                </c:pt>
              </c:strCache>
            </c:strRef>
          </c:cat>
          <c:val>
            <c:numRef>
              <c:f>'ATR Canada (Federal)'!$K$2:$K$7</c:f>
              <c:numCache>
                <c:formatCode>0.00%</c:formatCode>
                <c:ptCount val="6"/>
                <c:pt idx="0" formatCode="General">
                  <c:v>0</c:v>
                </c:pt>
                <c:pt idx="1">
                  <c:v>3.6400060022803429E-3</c:v>
                </c:pt>
                <c:pt idx="2">
                  <c:v>3.0538561710166261E-2</c:v>
                </c:pt>
                <c:pt idx="3">
                  <c:v>6.0475568491529644E-2</c:v>
                </c:pt>
                <c:pt idx="4">
                  <c:v>8.6037764257912958E-2</c:v>
                </c:pt>
                <c:pt idx="5">
                  <c:v>0.13628317079489566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5-D246-919F-E89F143AC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4377616"/>
        <c:axId val="324705744"/>
      </c:lineChart>
      <c:catAx>
        <c:axId val="3243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705744"/>
        <c:crosses val="autoZero"/>
        <c:auto val="1"/>
        <c:lblAlgn val="ctr"/>
        <c:lblOffset val="100"/>
        <c:tickLblSkip val="1"/>
        <c:noMultiLvlLbl val="0"/>
      </c:catAx>
      <c:valAx>
        <c:axId val="324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ATR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3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'ATR Canada (Fed and Prov)'!$L$1</c:f>
              <c:strCache>
                <c:ptCount val="1"/>
                <c:pt idx="0">
                  <c:v>ATR for Canada (1992)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7304562891177062E-2"/>
                  <c:y val="-3.9155898781883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3D-6241-A352-79A91DE9CB9D}"/>
                </c:ext>
              </c:extLst>
            </c:dLbl>
            <c:dLbl>
              <c:idx val="2"/>
              <c:layout>
                <c:manualLayout>
                  <c:x val="-3.7304562891177111E-2"/>
                  <c:y val="-4.34294030553873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3D-6241-A352-79A91DE9CB9D}"/>
                </c:ext>
              </c:extLst>
            </c:dLbl>
            <c:dLbl>
              <c:idx val="3"/>
              <c:layout>
                <c:manualLayout>
                  <c:x val="-4.6145972138098214E-2"/>
                  <c:y val="-4.44976949996635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676483848307231E-2"/>
                      <c:h val="3.98504273504273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A3D-6241-A352-79A91DE9CB9D}"/>
                </c:ext>
              </c:extLst>
            </c:dLbl>
            <c:dLbl>
              <c:idx val="4"/>
              <c:layout>
                <c:manualLayout>
                  <c:x val="-4.1227639814254084E-2"/>
                  <c:y val="-4.12926509186351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3D-6241-A352-79A91DE9CB9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A3D-6241-A352-79A91DE9C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'ATR Canada (Fed and Prov)'!$K$2:$K$7</c:f>
              <c:strCache>
                <c:ptCount val="6"/>
                <c:pt idx="1">
                  <c:v>Lowest Quintile</c:v>
                </c:pt>
                <c:pt idx="2">
                  <c:v>Second Quintile</c:v>
                </c:pt>
                <c:pt idx="3">
                  <c:v>Third Quintile</c:v>
                </c:pt>
                <c:pt idx="4">
                  <c:v>Fourth Quintile</c:v>
                </c:pt>
                <c:pt idx="5">
                  <c:v>Fifth Quintile</c:v>
                </c:pt>
              </c:strCache>
            </c:strRef>
          </c:cat>
          <c:val>
            <c:numRef>
              <c:f>'ATR Canada (Fed and Prov)'!$L$2:$L$7</c:f>
              <c:numCache>
                <c:formatCode>0.00%</c:formatCode>
                <c:ptCount val="6"/>
                <c:pt idx="0" formatCode="0.00">
                  <c:v>0</c:v>
                </c:pt>
                <c:pt idx="1">
                  <c:v>1.4372844697530598E-2</c:v>
                </c:pt>
                <c:pt idx="2">
                  <c:v>7.1258412513710401E-2</c:v>
                </c:pt>
                <c:pt idx="3">
                  <c:v>0.13354926778675952</c:v>
                </c:pt>
                <c:pt idx="4">
                  <c:v>0.18336603104830165</c:v>
                </c:pt>
                <c:pt idx="5">
                  <c:v>0.23594191181565358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D-6241-A352-79A91DE9CB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4377616"/>
        <c:axId val="324705744"/>
      </c:lineChart>
      <c:catAx>
        <c:axId val="3243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705744"/>
        <c:crosses val="autoZero"/>
        <c:auto val="1"/>
        <c:lblAlgn val="ctr"/>
        <c:lblOffset val="100"/>
        <c:tickLblSkip val="1"/>
        <c:noMultiLvlLbl val="0"/>
      </c:catAx>
      <c:valAx>
        <c:axId val="324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ATR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3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916616192206747E-2"/>
          <c:y val="7.3548859277205739E-2"/>
          <c:w val="0.86596456692913382"/>
          <c:h val="0.86784002961168316"/>
        </c:manualLayout>
      </c:layout>
      <c:lineChart>
        <c:grouping val="standard"/>
        <c:varyColors val="0"/>
        <c:ser>
          <c:idx val="0"/>
          <c:order val="0"/>
          <c:tx>
            <c:strRef>
              <c:f>'ATR Canada (Fed and Prov)'!$M$1</c:f>
              <c:strCache>
                <c:ptCount val="1"/>
                <c:pt idx="0">
                  <c:v>ATR for Canada  (2022)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6A-3848-A9A5-9075090B7AC9}"/>
                </c:ext>
              </c:extLst>
            </c:dLbl>
            <c:dLbl>
              <c:idx val="1"/>
              <c:layout>
                <c:manualLayout>
                  <c:x val="-3.8586614173228367E-2"/>
                  <c:y val="-4.34294030553873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6A-3848-A9A5-9075090B7AC9}"/>
                </c:ext>
              </c:extLst>
            </c:dLbl>
            <c:dLbl>
              <c:idx val="2"/>
              <c:layout>
                <c:manualLayout>
                  <c:x val="-4.1150716737330957E-2"/>
                  <c:y val="-3.7019146645130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6A-3848-A9A5-9075090B7AC9}"/>
                </c:ext>
              </c:extLst>
            </c:dLbl>
            <c:dLbl>
              <c:idx val="3"/>
              <c:layout>
                <c:manualLayout>
                  <c:x val="-4.1227639814253987E-2"/>
                  <c:y val="-3.7019146645130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6A-3848-A9A5-9075090B7AC9}"/>
                </c:ext>
              </c:extLst>
            </c:dLbl>
            <c:dLbl>
              <c:idx val="4"/>
              <c:layout>
                <c:manualLayout>
                  <c:x val="-5.0201998788613054E-2"/>
                  <c:y val="-4.7702907328891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6A-3848-A9A5-9075090B7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'ATR Canada (Fed and Prov)'!$K$2:$K$7</c:f>
              <c:strCache>
                <c:ptCount val="6"/>
                <c:pt idx="1">
                  <c:v>Lowest Quintile</c:v>
                </c:pt>
                <c:pt idx="2">
                  <c:v>Second Quintile</c:v>
                </c:pt>
                <c:pt idx="3">
                  <c:v>Third Quintile</c:v>
                </c:pt>
                <c:pt idx="4">
                  <c:v>Fourth Quintile</c:v>
                </c:pt>
                <c:pt idx="5">
                  <c:v>Fifth Quintile</c:v>
                </c:pt>
              </c:strCache>
            </c:strRef>
          </c:cat>
          <c:val>
            <c:numRef>
              <c:f>'ATR Canada (Fed and Prov)'!$M$2:$M$7</c:f>
              <c:numCache>
                <c:formatCode>0.00%</c:formatCode>
                <c:ptCount val="6"/>
                <c:pt idx="0" formatCode="0.00">
                  <c:v>0</c:v>
                </c:pt>
                <c:pt idx="1">
                  <c:v>5.5738808872442622E-3</c:v>
                </c:pt>
                <c:pt idx="2">
                  <c:v>5.1994922952674022E-2</c:v>
                </c:pt>
                <c:pt idx="3">
                  <c:v>0.10435180600298626</c:v>
                </c:pt>
                <c:pt idx="4">
                  <c:v>0.14627107035429379</c:v>
                </c:pt>
                <c:pt idx="5">
                  <c:v>0.22618708339913079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6A-3848-A9A5-9075090B7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4377616"/>
        <c:axId val="324705744"/>
      </c:lineChart>
      <c:catAx>
        <c:axId val="3243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705744"/>
        <c:crosses val="autoZero"/>
        <c:auto val="1"/>
        <c:lblAlgn val="ctr"/>
        <c:lblOffset val="100"/>
        <c:tickLblSkip val="1"/>
        <c:noMultiLvlLbl val="0"/>
      </c:catAx>
      <c:valAx>
        <c:axId val="324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ATR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3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'ATR US'!$N$1</c:f>
              <c:strCache>
                <c:ptCount val="1"/>
                <c:pt idx="0">
                  <c:v>ATR for US (1979)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94-564C-9B15-7458DCB44AF6}"/>
                </c:ext>
              </c:extLst>
            </c:dLbl>
            <c:dLbl>
              <c:idx val="1"/>
              <c:layout>
                <c:manualLayout>
                  <c:x val="-4.3624408268306762E-2"/>
                  <c:y val="-3.9155898781883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5D-2245-8937-369E72871F9C}"/>
                </c:ext>
              </c:extLst>
            </c:dLbl>
            <c:dLbl>
              <c:idx val="2"/>
              <c:layout>
                <c:manualLayout>
                  <c:x val="-4.6712864040420736E-2"/>
                  <c:y val="-3.9155898781883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5D-2245-8937-369E72871F9C}"/>
                </c:ext>
              </c:extLst>
            </c:dLbl>
            <c:dLbl>
              <c:idx val="4"/>
              <c:layout>
                <c:manualLayout>
                  <c:x val="-5.1210615164858628E-2"/>
                  <c:y val="-3.9155898781883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5D-2245-8937-369E72871F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'ATR US'!$M$2:$M$7</c:f>
              <c:strCache>
                <c:ptCount val="6"/>
                <c:pt idx="1">
                  <c:v>Lowest Quintile</c:v>
                </c:pt>
                <c:pt idx="2">
                  <c:v>Second Quintile</c:v>
                </c:pt>
                <c:pt idx="3">
                  <c:v>Third Quintile</c:v>
                </c:pt>
                <c:pt idx="4">
                  <c:v>Fourth Quinitile</c:v>
                </c:pt>
                <c:pt idx="5">
                  <c:v>Fifth Quintile</c:v>
                </c:pt>
              </c:strCache>
            </c:strRef>
          </c:cat>
          <c:val>
            <c:numRef>
              <c:f>'ATR US'!$N$2:$N$7</c:f>
              <c:numCache>
                <c:formatCode>0.00%</c:formatCode>
                <c:ptCount val="6"/>
                <c:pt idx="0" formatCode="General">
                  <c:v>0</c:v>
                </c:pt>
                <c:pt idx="1">
                  <c:v>9.3567251461988299E-2</c:v>
                </c:pt>
                <c:pt idx="2">
                  <c:v>0.15048543689320387</c:v>
                </c:pt>
                <c:pt idx="3">
                  <c:v>0.19017432646592711</c:v>
                </c:pt>
                <c:pt idx="4">
                  <c:v>0.21703617269544925</c:v>
                </c:pt>
                <c:pt idx="5">
                  <c:v>0.27138461538461539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1-FF48-8330-368BF1713D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4377616"/>
        <c:axId val="324705744"/>
      </c:lineChart>
      <c:catAx>
        <c:axId val="3243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705744"/>
        <c:crosses val="autoZero"/>
        <c:auto val="1"/>
        <c:lblAlgn val="ctr"/>
        <c:lblOffset val="100"/>
        <c:tickLblSkip val="1"/>
        <c:noMultiLvlLbl val="0"/>
      </c:catAx>
      <c:valAx>
        <c:axId val="324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ATR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3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'ATR US'!$O$1</c:f>
              <c:strCache>
                <c:ptCount val="1"/>
                <c:pt idx="0">
                  <c:v>ATR for US (2021)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E9-8540-A0EB-493887579CBC}"/>
                </c:ext>
              </c:extLst>
            </c:dLbl>
            <c:dLbl>
              <c:idx val="2"/>
              <c:layout>
                <c:manualLayout>
                  <c:x val="-1.3385716952744924E-2"/>
                  <c:y val="3.167743455145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E9-8540-A0EB-493887579CBC}"/>
                </c:ext>
              </c:extLst>
            </c:dLbl>
            <c:dLbl>
              <c:idx val="5"/>
              <c:layout>
                <c:manualLayout>
                  <c:x val="-1.98817250354166E-2"/>
                  <c:y val="3.5950938824954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E9-8540-A0EB-493887579C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'ATR US'!$M$2:$M$7</c:f>
              <c:strCache>
                <c:ptCount val="6"/>
                <c:pt idx="1">
                  <c:v>Lowest Quintile</c:v>
                </c:pt>
                <c:pt idx="2">
                  <c:v>Second Quintile</c:v>
                </c:pt>
                <c:pt idx="3">
                  <c:v>Third Quintile</c:v>
                </c:pt>
                <c:pt idx="4">
                  <c:v>Fourth Quinitile</c:v>
                </c:pt>
                <c:pt idx="5">
                  <c:v>Fifth Quintile</c:v>
                </c:pt>
              </c:strCache>
            </c:strRef>
          </c:cat>
          <c:val>
            <c:numRef>
              <c:f>'ATR US'!$O$2:$O$7</c:f>
              <c:numCache>
                <c:formatCode>0.00%</c:formatCode>
                <c:ptCount val="6"/>
                <c:pt idx="0" formatCode="General">
                  <c:v>0</c:v>
                </c:pt>
                <c:pt idx="1">
                  <c:v>-0.2311111111111111</c:v>
                </c:pt>
                <c:pt idx="2">
                  <c:v>1.8656716417910447E-3</c:v>
                </c:pt>
                <c:pt idx="3">
                  <c:v>7.7456647398843934E-2</c:v>
                </c:pt>
                <c:pt idx="4">
                  <c:v>0.13962264150943396</c:v>
                </c:pt>
                <c:pt idx="5">
                  <c:v>0.24778761061946902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9-8540-A0EB-493887579C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4377616"/>
        <c:axId val="324705744"/>
      </c:lineChart>
      <c:catAx>
        <c:axId val="3243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705744"/>
        <c:crosses val="autoZero"/>
        <c:auto val="1"/>
        <c:lblAlgn val="ctr"/>
        <c:lblOffset val="100"/>
        <c:tickLblSkip val="1"/>
        <c:noMultiLvlLbl val="0"/>
      </c:catAx>
      <c:valAx>
        <c:axId val="324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ATR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43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901700</xdr:colOff>
      <xdr:row>9</xdr:row>
      <xdr:rowOff>152400</xdr:rowOff>
    </xdr:from>
    <xdr:to>
      <xdr:col>10</xdr:col>
      <xdr:colOff>698500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40FDC-FA28-934E-BB7B-A850BEB09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1219200</xdr:colOff>
      <xdr:row>10</xdr:row>
      <xdr:rowOff>12700</xdr:rowOff>
    </xdr:from>
    <xdr:to>
      <xdr:col>21</xdr:col>
      <xdr:colOff>63500</xdr:colOff>
      <xdr:row>39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7DE8E-3903-314C-BB59-571AD1AEC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10</xdr:row>
      <xdr:rowOff>190500</xdr:rowOff>
    </xdr:from>
    <xdr:to>
      <xdr:col>11</xdr:col>
      <xdr:colOff>203200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63D5D0-F77D-2945-8F34-B0D86A1F7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22</xdr:col>
      <xdr:colOff>762000</xdr:colOff>
      <xdr:row>41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795CD6-A2CE-2545-B8A9-A6FFD9F6A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1282700</xdr:colOff>
      <xdr:row>8</xdr:row>
      <xdr:rowOff>165100</xdr:rowOff>
    </xdr:from>
    <xdr:to>
      <xdr:col>12</xdr:col>
      <xdr:colOff>152400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E9DC3-D943-5FFF-FBCE-1C320B9EF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863600</xdr:colOff>
      <xdr:row>9</xdr:row>
      <xdr:rowOff>12700</xdr:rowOff>
    </xdr:from>
    <xdr:to>
      <xdr:col>22</xdr:col>
      <xdr:colOff>749300</xdr:colOff>
      <xdr:row>37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4CA335-CB8E-3C4F-B0E6-8197B4249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907A-5796-2443-BCA1-B3E6C064160D}">
  <dimension ref="A1:L156"/>
  <sheetViews>
    <sheetView topLeftCell="B2" workbookViewId="0">
      <selection activeCell="N8" sqref="N8"/>
    </sheetView>
  </sheetViews>
  <sheetFormatPr baseColWidth="10" defaultRowHeight="16" x14ac:dyDescent="0.2"/>
  <cols>
    <col min="1" max="1" width="19.5" customWidth="1"/>
    <col min="2" max="2" width="25" bestFit="1" customWidth="1"/>
    <col min="3" max="3" width="36.33203125" bestFit="1" customWidth="1"/>
    <col min="7" max="7" width="14.1640625" bestFit="1" customWidth="1"/>
    <col min="9" max="9" width="14.83203125" style="5" customWidth="1"/>
    <col min="10" max="11" width="19.1640625" bestFit="1" customWidth="1"/>
    <col min="12" max="12" width="15" customWidth="1"/>
    <col min="13" max="13" width="14.1640625" bestFit="1" customWidth="1"/>
    <col min="14" max="14" width="14.83203125" customWidth="1"/>
    <col min="15" max="15" width="12.1640625" bestFit="1" customWidth="1"/>
  </cols>
  <sheetData>
    <row r="1" spans="1:12" x14ac:dyDescent="0.2">
      <c r="A1" t="s">
        <v>6</v>
      </c>
      <c r="B1" t="s">
        <v>7</v>
      </c>
      <c r="C1" t="s">
        <v>9</v>
      </c>
      <c r="I1" s="5" t="s">
        <v>8</v>
      </c>
      <c r="J1" t="s">
        <v>19</v>
      </c>
      <c r="K1" t="s">
        <v>20</v>
      </c>
      <c r="L1" t="s">
        <v>14</v>
      </c>
    </row>
    <row r="2" spans="1:12" x14ac:dyDescent="0.2">
      <c r="A2">
        <v>1992</v>
      </c>
      <c r="B2" t="s">
        <v>0</v>
      </c>
      <c r="C2">
        <v>1.0088008997897E-2</v>
      </c>
      <c r="J2">
        <v>0</v>
      </c>
      <c r="K2">
        <v>0</v>
      </c>
    </row>
    <row r="3" spans="1:12" x14ac:dyDescent="0.2">
      <c r="A3">
        <v>1992</v>
      </c>
      <c r="B3" t="s">
        <v>1</v>
      </c>
      <c r="C3">
        <v>4.4305169514264289E-2</v>
      </c>
      <c r="I3" s="5" t="s">
        <v>0</v>
      </c>
      <c r="J3" s="2">
        <f>C2</f>
        <v>1.0088008997897E-2</v>
      </c>
      <c r="K3" s="2">
        <f>C152</f>
        <v>3.6400060022803429E-3</v>
      </c>
      <c r="L3" s="2">
        <f>K3-J3</f>
        <v>-6.4480029956166572E-3</v>
      </c>
    </row>
    <row r="4" spans="1:12" x14ac:dyDescent="0.2">
      <c r="A4">
        <v>1992</v>
      </c>
      <c r="B4" t="s">
        <v>5</v>
      </c>
      <c r="C4">
        <v>8.1846909001934309E-2</v>
      </c>
      <c r="I4" s="5" t="s">
        <v>1</v>
      </c>
      <c r="J4" s="2">
        <f t="shared" ref="J4:J7" si="0">C3</f>
        <v>4.4305169514264289E-2</v>
      </c>
      <c r="K4" s="2">
        <f t="shared" ref="K4:K7" si="1">C153</f>
        <v>3.0538561710166261E-2</v>
      </c>
      <c r="L4" s="2">
        <f t="shared" ref="L4:L7" si="2">K4-J4</f>
        <v>-1.3766607804098028E-2</v>
      </c>
    </row>
    <row r="5" spans="1:12" x14ac:dyDescent="0.2">
      <c r="A5">
        <v>1992</v>
      </c>
      <c r="B5" t="s">
        <v>3</v>
      </c>
      <c r="C5">
        <v>0.11147765718505559</v>
      </c>
      <c r="I5" s="5" t="s">
        <v>5</v>
      </c>
      <c r="J5" s="2">
        <f t="shared" si="0"/>
        <v>8.1846909001934309E-2</v>
      </c>
      <c r="K5" s="2">
        <f t="shared" si="1"/>
        <v>6.0475568491529644E-2</v>
      </c>
      <c r="L5" s="2">
        <f t="shared" si="2"/>
        <v>-2.1371340510404666E-2</v>
      </c>
    </row>
    <row r="6" spans="1:12" x14ac:dyDescent="0.2">
      <c r="A6">
        <v>1992</v>
      </c>
      <c r="B6" t="s">
        <v>4</v>
      </c>
      <c r="C6">
        <v>0.14555252602877866</v>
      </c>
      <c r="I6" s="5" t="s">
        <v>3</v>
      </c>
      <c r="J6" s="2">
        <f t="shared" si="0"/>
        <v>0.11147765718505559</v>
      </c>
      <c r="K6" s="2">
        <f t="shared" si="1"/>
        <v>8.6037764257912958E-2</v>
      </c>
      <c r="L6" s="2">
        <f t="shared" si="2"/>
        <v>-2.5439892927142632E-2</v>
      </c>
    </row>
    <row r="7" spans="1:12" x14ac:dyDescent="0.2">
      <c r="A7">
        <v>1993</v>
      </c>
      <c r="B7" t="s">
        <v>0</v>
      </c>
      <c r="C7">
        <v>8.5888380733877712E-3</v>
      </c>
      <c r="I7" s="5" t="s">
        <v>16</v>
      </c>
      <c r="J7" s="2">
        <f t="shared" si="0"/>
        <v>0.14555252602877866</v>
      </c>
      <c r="K7" s="2">
        <f t="shared" si="1"/>
        <v>0.13628317079489566</v>
      </c>
      <c r="L7" s="2">
        <f t="shared" si="2"/>
        <v>-9.2693552338830032E-3</v>
      </c>
    </row>
    <row r="8" spans="1:12" x14ac:dyDescent="0.2">
      <c r="A8">
        <v>1993</v>
      </c>
      <c r="B8" t="s">
        <v>1</v>
      </c>
      <c r="C8">
        <v>3.9951005823134961E-2</v>
      </c>
    </row>
    <row r="9" spans="1:12" x14ac:dyDescent="0.2">
      <c r="A9">
        <v>1993</v>
      </c>
      <c r="B9" t="s">
        <v>5</v>
      </c>
      <c r="C9">
        <v>7.8072472202948828E-2</v>
      </c>
    </row>
    <row r="10" spans="1:12" x14ac:dyDescent="0.2">
      <c r="A10">
        <v>1993</v>
      </c>
      <c r="B10" t="s">
        <v>3</v>
      </c>
      <c r="C10">
        <v>0.10807872837665528</v>
      </c>
    </row>
    <row r="11" spans="1:12" x14ac:dyDescent="0.2">
      <c r="A11">
        <v>1993</v>
      </c>
      <c r="B11" t="s">
        <v>4</v>
      </c>
      <c r="C11">
        <v>0.14040568405631113</v>
      </c>
    </row>
    <row r="12" spans="1:12" x14ac:dyDescent="0.2">
      <c r="A12">
        <v>1994</v>
      </c>
      <c r="B12" t="s">
        <v>0</v>
      </c>
      <c r="C12">
        <v>8.5912686034426387E-3</v>
      </c>
    </row>
    <row r="13" spans="1:12" x14ac:dyDescent="0.2">
      <c r="A13">
        <v>1994</v>
      </c>
      <c r="B13" t="s">
        <v>1</v>
      </c>
      <c r="C13">
        <v>4.0303686973871447E-2</v>
      </c>
    </row>
    <row r="14" spans="1:12" x14ac:dyDescent="0.2">
      <c r="A14">
        <v>1994</v>
      </c>
      <c r="B14" t="s">
        <v>5</v>
      </c>
      <c r="C14">
        <v>7.9536738826997314E-2</v>
      </c>
    </row>
    <row r="15" spans="1:12" x14ac:dyDescent="0.2">
      <c r="A15">
        <v>1994</v>
      </c>
      <c r="B15" t="s">
        <v>3</v>
      </c>
      <c r="C15">
        <v>0.1086837692014712</v>
      </c>
    </row>
    <row r="16" spans="1:12" x14ac:dyDescent="0.2">
      <c r="A16">
        <v>1994</v>
      </c>
      <c r="B16" t="s">
        <v>4</v>
      </c>
      <c r="C16">
        <v>0.12200813000673262</v>
      </c>
    </row>
    <row r="17" spans="1:3" x14ac:dyDescent="0.2">
      <c r="A17">
        <v>1995</v>
      </c>
      <c r="B17" t="s">
        <v>0</v>
      </c>
      <c r="C17">
        <v>8.9145116527785742E-3</v>
      </c>
    </row>
    <row r="18" spans="1:3" x14ac:dyDescent="0.2">
      <c r="A18">
        <v>1995</v>
      </c>
      <c r="B18" t="s">
        <v>1</v>
      </c>
      <c r="C18">
        <v>4.0000682505669058E-2</v>
      </c>
    </row>
    <row r="19" spans="1:3" x14ac:dyDescent="0.2">
      <c r="A19">
        <v>1995</v>
      </c>
      <c r="B19" t="s">
        <v>5</v>
      </c>
      <c r="C19">
        <v>7.943488031204482E-2</v>
      </c>
    </row>
    <row r="20" spans="1:3" x14ac:dyDescent="0.2">
      <c r="A20">
        <v>1995</v>
      </c>
      <c r="B20" t="s">
        <v>3</v>
      </c>
      <c r="C20">
        <v>0.11009351176018885</v>
      </c>
    </row>
    <row r="21" spans="1:3" x14ac:dyDescent="0.2">
      <c r="A21">
        <v>1995</v>
      </c>
      <c r="B21" t="s">
        <v>4</v>
      </c>
      <c r="C21">
        <v>0.14897587476601779</v>
      </c>
    </row>
    <row r="22" spans="1:3" x14ac:dyDescent="0.2">
      <c r="A22">
        <v>1996</v>
      </c>
      <c r="B22" t="s">
        <v>0</v>
      </c>
      <c r="C22">
        <v>8.9568099960714281E-3</v>
      </c>
    </row>
    <row r="23" spans="1:3" x14ac:dyDescent="0.2">
      <c r="A23">
        <v>1996</v>
      </c>
      <c r="B23" t="s">
        <v>1</v>
      </c>
      <c r="C23">
        <v>4.0282189688477681E-2</v>
      </c>
    </row>
    <row r="24" spans="1:3" x14ac:dyDescent="0.2">
      <c r="A24">
        <v>1996</v>
      </c>
      <c r="B24" t="s">
        <v>5</v>
      </c>
      <c r="C24">
        <v>7.9996063818405572E-2</v>
      </c>
    </row>
    <row r="25" spans="1:3" x14ac:dyDescent="0.2">
      <c r="A25">
        <v>1996</v>
      </c>
      <c r="B25" t="s">
        <v>3</v>
      </c>
      <c r="C25">
        <v>0.11064303217147804</v>
      </c>
    </row>
    <row r="26" spans="1:3" x14ac:dyDescent="0.2">
      <c r="A26">
        <v>1996</v>
      </c>
      <c r="B26" t="s">
        <v>4</v>
      </c>
      <c r="C26">
        <v>0.15160285871842441</v>
      </c>
    </row>
    <row r="27" spans="1:3" x14ac:dyDescent="0.2">
      <c r="A27">
        <v>1997</v>
      </c>
      <c r="B27" t="s">
        <v>0</v>
      </c>
      <c r="C27">
        <v>8.9850251418458621E-3</v>
      </c>
    </row>
    <row r="28" spans="1:3" x14ac:dyDescent="0.2">
      <c r="A28">
        <v>1997</v>
      </c>
      <c r="B28" t="s">
        <v>1</v>
      </c>
      <c r="C28">
        <v>4.1939222943535234E-2</v>
      </c>
    </row>
    <row r="29" spans="1:3" x14ac:dyDescent="0.2">
      <c r="A29">
        <v>1997</v>
      </c>
      <c r="B29" t="s">
        <v>5</v>
      </c>
      <c r="C29">
        <v>8.18815007507257E-2</v>
      </c>
    </row>
    <row r="30" spans="1:3" x14ac:dyDescent="0.2">
      <c r="A30">
        <v>1997</v>
      </c>
      <c r="B30" t="s">
        <v>3</v>
      </c>
      <c r="C30">
        <v>0.11281250823438735</v>
      </c>
    </row>
    <row r="31" spans="1:3" x14ac:dyDescent="0.2">
      <c r="A31">
        <v>1997</v>
      </c>
      <c r="B31" t="s">
        <v>4</v>
      </c>
      <c r="C31">
        <v>0.15583617637352262</v>
      </c>
    </row>
    <row r="32" spans="1:3" x14ac:dyDescent="0.2">
      <c r="A32">
        <v>1998</v>
      </c>
      <c r="B32" t="s">
        <v>0</v>
      </c>
      <c r="C32">
        <v>8.815264364480567E-3</v>
      </c>
    </row>
    <row r="33" spans="1:3" x14ac:dyDescent="0.2">
      <c r="A33">
        <v>1998</v>
      </c>
      <c r="B33" t="s">
        <v>1</v>
      </c>
      <c r="C33">
        <v>4.2193619718052217E-2</v>
      </c>
    </row>
    <row r="34" spans="1:3" x14ac:dyDescent="0.2">
      <c r="A34">
        <v>1998</v>
      </c>
      <c r="B34" t="s">
        <v>5</v>
      </c>
      <c r="C34">
        <v>8.235573637876055E-2</v>
      </c>
    </row>
    <row r="35" spans="1:3" x14ac:dyDescent="0.2">
      <c r="A35">
        <v>1998</v>
      </c>
      <c r="B35" t="s">
        <v>3</v>
      </c>
      <c r="C35">
        <v>0.11333266180494737</v>
      </c>
    </row>
    <row r="36" spans="1:3" x14ac:dyDescent="0.2">
      <c r="A36">
        <v>1998</v>
      </c>
      <c r="B36" t="s">
        <v>4</v>
      </c>
      <c r="C36">
        <v>0.15826576015946101</v>
      </c>
    </row>
    <row r="37" spans="1:3" x14ac:dyDescent="0.2">
      <c r="A37">
        <v>1999</v>
      </c>
      <c r="B37" t="s">
        <v>0</v>
      </c>
      <c r="C37">
        <v>8.5662666527068377E-3</v>
      </c>
    </row>
    <row r="38" spans="1:3" x14ac:dyDescent="0.2">
      <c r="A38">
        <v>1999</v>
      </c>
      <c r="B38" t="s">
        <v>1</v>
      </c>
      <c r="C38">
        <v>4.1891708801652688E-2</v>
      </c>
    </row>
    <row r="39" spans="1:3" x14ac:dyDescent="0.2">
      <c r="A39">
        <v>1999</v>
      </c>
      <c r="B39" t="s">
        <v>5</v>
      </c>
      <c r="C39">
        <v>8.1663700913719592E-2</v>
      </c>
    </row>
    <row r="40" spans="1:3" x14ac:dyDescent="0.2">
      <c r="A40">
        <v>1999</v>
      </c>
      <c r="B40" t="s">
        <v>3</v>
      </c>
      <c r="C40">
        <v>0.11178386621108588</v>
      </c>
    </row>
    <row r="41" spans="1:3" x14ac:dyDescent="0.2">
      <c r="A41">
        <v>1999</v>
      </c>
      <c r="B41" t="s">
        <v>4</v>
      </c>
      <c r="C41">
        <v>0.15742123492393767</v>
      </c>
    </row>
    <row r="42" spans="1:3" x14ac:dyDescent="0.2">
      <c r="A42">
        <v>2000</v>
      </c>
      <c r="B42" t="s">
        <v>0</v>
      </c>
      <c r="C42">
        <v>8.7179130658339779E-3</v>
      </c>
    </row>
    <row r="43" spans="1:3" x14ac:dyDescent="0.2">
      <c r="A43">
        <v>2000</v>
      </c>
      <c r="B43" t="s">
        <v>1</v>
      </c>
      <c r="C43">
        <v>4.2326365240364733E-2</v>
      </c>
    </row>
    <row r="44" spans="1:3" x14ac:dyDescent="0.2">
      <c r="A44">
        <v>2000</v>
      </c>
      <c r="B44" t="s">
        <v>5</v>
      </c>
      <c r="C44">
        <v>8.1767272352170836E-2</v>
      </c>
    </row>
    <row r="45" spans="1:3" x14ac:dyDescent="0.2">
      <c r="A45">
        <v>2000</v>
      </c>
      <c r="B45" t="s">
        <v>3</v>
      </c>
      <c r="C45">
        <v>0.11076639922020314</v>
      </c>
    </row>
    <row r="46" spans="1:3" x14ac:dyDescent="0.2">
      <c r="A46">
        <v>2000</v>
      </c>
      <c r="B46" t="s">
        <v>4</v>
      </c>
      <c r="C46">
        <v>0.15525820074037772</v>
      </c>
    </row>
    <row r="47" spans="1:3" x14ac:dyDescent="0.2">
      <c r="A47">
        <v>2001</v>
      </c>
      <c r="B47" t="s">
        <v>0</v>
      </c>
      <c r="C47">
        <v>9.5930787516377933E-3</v>
      </c>
    </row>
    <row r="48" spans="1:3" x14ac:dyDescent="0.2">
      <c r="A48">
        <v>2001</v>
      </c>
      <c r="B48" t="s">
        <v>1</v>
      </c>
      <c r="C48">
        <v>4.2317016657788101E-2</v>
      </c>
    </row>
    <row r="49" spans="1:3" x14ac:dyDescent="0.2">
      <c r="A49">
        <v>2001</v>
      </c>
      <c r="B49" t="s">
        <v>5</v>
      </c>
      <c r="C49">
        <v>7.7328366060638559E-2</v>
      </c>
    </row>
    <row r="50" spans="1:3" x14ac:dyDescent="0.2">
      <c r="A50">
        <v>2001</v>
      </c>
      <c r="B50" t="s">
        <v>3</v>
      </c>
      <c r="C50">
        <v>0.10149727452752513</v>
      </c>
    </row>
    <row r="51" spans="1:3" x14ac:dyDescent="0.2">
      <c r="A51">
        <v>2001</v>
      </c>
      <c r="B51" t="s">
        <v>4</v>
      </c>
      <c r="C51">
        <v>0.14291389073056035</v>
      </c>
    </row>
    <row r="52" spans="1:3" x14ac:dyDescent="0.2">
      <c r="A52">
        <v>2002</v>
      </c>
      <c r="B52" t="s">
        <v>0</v>
      </c>
      <c r="C52">
        <v>8.5981157125171546E-3</v>
      </c>
    </row>
    <row r="53" spans="1:3" x14ac:dyDescent="0.2">
      <c r="A53">
        <v>2002</v>
      </c>
      <c r="B53" t="s">
        <v>1</v>
      </c>
      <c r="C53">
        <v>4.0905914173984578E-2</v>
      </c>
    </row>
    <row r="54" spans="1:3" x14ac:dyDescent="0.2">
      <c r="A54">
        <v>2002</v>
      </c>
      <c r="B54" t="s">
        <v>5</v>
      </c>
      <c r="C54">
        <v>7.6337844308549382E-2</v>
      </c>
    </row>
    <row r="55" spans="1:3" x14ac:dyDescent="0.2">
      <c r="A55">
        <v>2002</v>
      </c>
      <c r="B55" t="s">
        <v>3</v>
      </c>
      <c r="C55">
        <v>0.10124361859311055</v>
      </c>
    </row>
    <row r="56" spans="1:3" x14ac:dyDescent="0.2">
      <c r="A56">
        <v>2002</v>
      </c>
      <c r="B56" t="s">
        <v>4</v>
      </c>
      <c r="C56">
        <v>0.14260618937596323</v>
      </c>
    </row>
    <row r="57" spans="1:3" x14ac:dyDescent="0.2">
      <c r="A57">
        <v>2003</v>
      </c>
      <c r="B57" t="s">
        <v>0</v>
      </c>
      <c r="C57">
        <v>8.5804963799897618E-3</v>
      </c>
    </row>
    <row r="58" spans="1:3" x14ac:dyDescent="0.2">
      <c r="A58">
        <v>2003</v>
      </c>
      <c r="B58" t="s">
        <v>1</v>
      </c>
      <c r="C58">
        <v>4.0803191624610831E-2</v>
      </c>
    </row>
    <row r="59" spans="1:3" x14ac:dyDescent="0.2">
      <c r="A59">
        <v>2003</v>
      </c>
      <c r="B59" t="s">
        <v>5</v>
      </c>
      <c r="C59">
        <v>7.6303853404254135E-2</v>
      </c>
    </row>
    <row r="60" spans="1:3" x14ac:dyDescent="0.2">
      <c r="A60">
        <v>2003</v>
      </c>
      <c r="B60" t="s">
        <v>3</v>
      </c>
      <c r="C60">
        <v>0.10142498278107658</v>
      </c>
    </row>
    <row r="61" spans="1:3" x14ac:dyDescent="0.2">
      <c r="A61">
        <v>2003</v>
      </c>
      <c r="B61" t="s">
        <v>4</v>
      </c>
      <c r="C61">
        <v>0.14234953529719688</v>
      </c>
    </row>
    <row r="62" spans="1:3" x14ac:dyDescent="0.2">
      <c r="A62">
        <v>2004</v>
      </c>
      <c r="B62" t="s">
        <v>0</v>
      </c>
      <c r="C62">
        <v>8.658738537577931E-3</v>
      </c>
    </row>
    <row r="63" spans="1:3" x14ac:dyDescent="0.2">
      <c r="A63">
        <v>2004</v>
      </c>
      <c r="B63" t="s">
        <v>1</v>
      </c>
      <c r="C63">
        <v>4.0831223348468962E-2</v>
      </c>
    </row>
    <row r="64" spans="1:3" x14ac:dyDescent="0.2">
      <c r="A64">
        <v>2004</v>
      </c>
      <c r="B64" t="s">
        <v>5</v>
      </c>
      <c r="C64">
        <v>7.5041826316319254E-2</v>
      </c>
    </row>
    <row r="65" spans="1:3" x14ac:dyDescent="0.2">
      <c r="A65">
        <v>2004</v>
      </c>
      <c r="B65" t="s">
        <v>3</v>
      </c>
      <c r="C65">
        <v>9.9862606978215876E-2</v>
      </c>
    </row>
    <row r="66" spans="1:3" x14ac:dyDescent="0.2">
      <c r="A66">
        <v>2004</v>
      </c>
      <c r="B66" t="s">
        <v>4</v>
      </c>
      <c r="C66">
        <v>0.14033779379278194</v>
      </c>
    </row>
    <row r="67" spans="1:3" x14ac:dyDescent="0.2">
      <c r="A67">
        <v>2005</v>
      </c>
      <c r="B67" t="s">
        <v>0</v>
      </c>
      <c r="C67">
        <v>7.5216251772710959E-3</v>
      </c>
    </row>
    <row r="68" spans="1:3" x14ac:dyDescent="0.2">
      <c r="A68">
        <v>2005</v>
      </c>
      <c r="B68" t="s">
        <v>1</v>
      </c>
      <c r="C68">
        <v>3.6647044618867371E-2</v>
      </c>
    </row>
    <row r="69" spans="1:3" x14ac:dyDescent="0.2">
      <c r="A69">
        <v>2005</v>
      </c>
      <c r="B69" t="s">
        <v>5</v>
      </c>
      <c r="C69">
        <v>6.9402406465034941E-2</v>
      </c>
    </row>
    <row r="70" spans="1:3" x14ac:dyDescent="0.2">
      <c r="A70">
        <v>2005</v>
      </c>
      <c r="B70" t="s">
        <v>3</v>
      </c>
      <c r="C70">
        <v>9.4779956704907672E-2</v>
      </c>
    </row>
    <row r="71" spans="1:3" x14ac:dyDescent="0.2">
      <c r="A71">
        <v>2005</v>
      </c>
      <c r="B71" t="s">
        <v>4</v>
      </c>
      <c r="C71">
        <v>0.13789369840784116</v>
      </c>
    </row>
    <row r="72" spans="1:3" x14ac:dyDescent="0.2">
      <c r="A72">
        <v>2006</v>
      </c>
      <c r="B72" t="s">
        <v>0</v>
      </c>
      <c r="C72">
        <v>7.4370554466031379E-3</v>
      </c>
    </row>
    <row r="73" spans="1:3" x14ac:dyDescent="0.2">
      <c r="A73">
        <v>2006</v>
      </c>
      <c r="B73" t="s">
        <v>1</v>
      </c>
      <c r="C73">
        <v>3.5421280186311535E-2</v>
      </c>
    </row>
    <row r="74" spans="1:3" x14ac:dyDescent="0.2">
      <c r="A74">
        <v>2006</v>
      </c>
      <c r="B74" t="s">
        <v>5</v>
      </c>
      <c r="C74">
        <v>6.8831726674901353E-2</v>
      </c>
    </row>
    <row r="75" spans="1:3" x14ac:dyDescent="0.2">
      <c r="A75">
        <v>2006</v>
      </c>
      <c r="B75" t="s">
        <v>3</v>
      </c>
      <c r="C75">
        <v>9.4856597080554092E-2</v>
      </c>
    </row>
    <row r="76" spans="1:3" x14ac:dyDescent="0.2">
      <c r="A76">
        <v>2006</v>
      </c>
      <c r="B76" t="s">
        <v>4</v>
      </c>
      <c r="C76">
        <v>0.13865392400386661</v>
      </c>
    </row>
    <row r="77" spans="1:3" x14ac:dyDescent="0.2">
      <c r="A77">
        <v>2007</v>
      </c>
      <c r="B77" t="s">
        <v>0</v>
      </c>
      <c r="C77">
        <v>5.9929840831482182E-3</v>
      </c>
    </row>
    <row r="78" spans="1:3" x14ac:dyDescent="0.2">
      <c r="A78">
        <v>2007</v>
      </c>
      <c r="B78" t="s">
        <v>1</v>
      </c>
      <c r="C78">
        <v>3.1337968146506273E-2</v>
      </c>
    </row>
    <row r="79" spans="1:3" x14ac:dyDescent="0.2">
      <c r="A79">
        <v>2007</v>
      </c>
      <c r="B79" t="s">
        <v>5</v>
      </c>
      <c r="C79">
        <v>6.2291554123979798E-2</v>
      </c>
    </row>
    <row r="80" spans="1:3" x14ac:dyDescent="0.2">
      <c r="A80">
        <v>2007</v>
      </c>
      <c r="B80" t="s">
        <v>3</v>
      </c>
      <c r="C80">
        <v>8.855271716333285E-2</v>
      </c>
    </row>
    <row r="81" spans="1:3" x14ac:dyDescent="0.2">
      <c r="A81">
        <v>2007</v>
      </c>
      <c r="B81" t="s">
        <v>4</v>
      </c>
      <c r="C81">
        <v>0.13549902592339072</v>
      </c>
    </row>
    <row r="82" spans="1:3" x14ac:dyDescent="0.2">
      <c r="A82">
        <v>2008</v>
      </c>
      <c r="B82" t="s">
        <v>0</v>
      </c>
      <c r="C82">
        <v>6.1715844901541264E-3</v>
      </c>
    </row>
    <row r="83" spans="1:3" x14ac:dyDescent="0.2">
      <c r="A83">
        <v>2008</v>
      </c>
      <c r="B83" t="s">
        <v>1</v>
      </c>
      <c r="C83">
        <v>3.2171728680475839E-2</v>
      </c>
    </row>
    <row r="84" spans="1:3" x14ac:dyDescent="0.2">
      <c r="A84">
        <v>2008</v>
      </c>
      <c r="B84" t="s">
        <v>5</v>
      </c>
      <c r="C84">
        <v>6.328809388156631E-2</v>
      </c>
    </row>
    <row r="85" spans="1:3" x14ac:dyDescent="0.2">
      <c r="A85">
        <v>2008</v>
      </c>
      <c r="B85" t="s">
        <v>3</v>
      </c>
      <c r="C85">
        <v>9.0100171434128865E-2</v>
      </c>
    </row>
    <row r="86" spans="1:3" x14ac:dyDescent="0.2">
      <c r="A86">
        <v>2008</v>
      </c>
      <c r="B86" t="s">
        <v>4</v>
      </c>
      <c r="C86">
        <v>0.13783702678230819</v>
      </c>
    </row>
    <row r="87" spans="1:3" x14ac:dyDescent="0.2">
      <c r="A87">
        <v>2009</v>
      </c>
      <c r="B87" t="s">
        <v>0</v>
      </c>
      <c r="C87">
        <v>4.8918035863736121E-3</v>
      </c>
    </row>
    <row r="88" spans="1:3" x14ac:dyDescent="0.2">
      <c r="A88">
        <v>2009</v>
      </c>
      <c r="B88" t="s">
        <v>1</v>
      </c>
      <c r="C88">
        <v>2.7228844315471623E-2</v>
      </c>
    </row>
    <row r="89" spans="1:3" x14ac:dyDescent="0.2">
      <c r="A89">
        <v>2009</v>
      </c>
      <c r="B89" t="s">
        <v>5</v>
      </c>
      <c r="C89">
        <v>5.4973899450945524E-2</v>
      </c>
    </row>
    <row r="90" spans="1:3" x14ac:dyDescent="0.2">
      <c r="A90">
        <v>2009</v>
      </c>
      <c r="B90" t="s">
        <v>3</v>
      </c>
      <c r="C90">
        <v>8.1966610493034317E-2</v>
      </c>
    </row>
    <row r="91" spans="1:3" x14ac:dyDescent="0.2">
      <c r="A91">
        <v>2009</v>
      </c>
      <c r="B91" t="s">
        <v>4</v>
      </c>
      <c r="C91">
        <v>0.13020248475080134</v>
      </c>
    </row>
    <row r="92" spans="1:3" x14ac:dyDescent="0.2">
      <c r="A92">
        <v>2010</v>
      </c>
      <c r="B92" t="s">
        <v>0</v>
      </c>
      <c r="C92">
        <v>4.5549149565691236E-3</v>
      </c>
    </row>
    <row r="93" spans="1:3" x14ac:dyDescent="0.2">
      <c r="A93">
        <v>2010</v>
      </c>
      <c r="B93" t="s">
        <v>1</v>
      </c>
      <c r="C93">
        <v>2.7529527110251018E-2</v>
      </c>
    </row>
    <row r="94" spans="1:3" x14ac:dyDescent="0.2">
      <c r="A94">
        <v>2010</v>
      </c>
      <c r="B94" t="s">
        <v>5</v>
      </c>
      <c r="C94">
        <v>5.6670859700059251E-2</v>
      </c>
    </row>
    <row r="95" spans="1:3" x14ac:dyDescent="0.2">
      <c r="A95">
        <v>2010</v>
      </c>
      <c r="B95" t="s">
        <v>3</v>
      </c>
      <c r="C95">
        <v>8.4736577852235193E-2</v>
      </c>
    </row>
    <row r="96" spans="1:3" x14ac:dyDescent="0.2">
      <c r="A96">
        <v>2010</v>
      </c>
      <c r="B96" t="s">
        <v>4</v>
      </c>
      <c r="C96">
        <v>0.13098993667939832</v>
      </c>
    </row>
    <row r="97" spans="1:3" x14ac:dyDescent="0.2">
      <c r="A97">
        <v>2011</v>
      </c>
      <c r="B97" t="s">
        <v>0</v>
      </c>
      <c r="C97">
        <v>4.6173890963706384E-3</v>
      </c>
    </row>
    <row r="98" spans="1:3" x14ac:dyDescent="0.2">
      <c r="A98">
        <v>2011</v>
      </c>
      <c r="B98" t="s">
        <v>1</v>
      </c>
      <c r="C98">
        <v>2.7948359932214444E-2</v>
      </c>
    </row>
    <row r="99" spans="1:3" x14ac:dyDescent="0.2">
      <c r="A99">
        <v>2011</v>
      </c>
      <c r="B99" t="s">
        <v>5</v>
      </c>
      <c r="C99">
        <v>5.7999990771415343E-2</v>
      </c>
    </row>
    <row r="100" spans="1:3" x14ac:dyDescent="0.2">
      <c r="A100">
        <v>2011</v>
      </c>
      <c r="B100" t="s">
        <v>3</v>
      </c>
      <c r="C100">
        <v>8.6416886359939341E-2</v>
      </c>
    </row>
    <row r="101" spans="1:3" x14ac:dyDescent="0.2">
      <c r="A101">
        <v>2011</v>
      </c>
      <c r="B101" t="s">
        <v>4</v>
      </c>
      <c r="C101">
        <v>0.1325649263939418</v>
      </c>
    </row>
    <row r="102" spans="1:3" x14ac:dyDescent="0.2">
      <c r="A102">
        <v>2012</v>
      </c>
      <c r="B102" t="s">
        <v>0</v>
      </c>
      <c r="C102">
        <v>4.5870085525212849E-3</v>
      </c>
    </row>
    <row r="103" spans="1:3" x14ac:dyDescent="0.2">
      <c r="A103">
        <v>2012</v>
      </c>
      <c r="B103" t="s">
        <v>1</v>
      </c>
      <c r="C103">
        <v>2.7971801843114628E-2</v>
      </c>
    </row>
    <row r="104" spans="1:3" x14ac:dyDescent="0.2">
      <c r="A104">
        <v>2012</v>
      </c>
      <c r="B104" t="s">
        <v>5</v>
      </c>
      <c r="C104">
        <v>5.8130385751925702E-2</v>
      </c>
    </row>
    <row r="105" spans="1:3" x14ac:dyDescent="0.2">
      <c r="A105">
        <v>2012</v>
      </c>
      <c r="B105" t="s">
        <v>3</v>
      </c>
      <c r="C105">
        <v>8.6607218086862531E-2</v>
      </c>
    </row>
    <row r="106" spans="1:3" x14ac:dyDescent="0.2">
      <c r="A106">
        <v>2012</v>
      </c>
      <c r="B106" t="s">
        <v>4</v>
      </c>
      <c r="C106">
        <v>0.13305847069717477</v>
      </c>
    </row>
    <row r="107" spans="1:3" x14ac:dyDescent="0.2">
      <c r="A107">
        <v>2013</v>
      </c>
      <c r="B107" t="s">
        <v>0</v>
      </c>
      <c r="C107">
        <v>4.4676625015030577E-3</v>
      </c>
    </row>
    <row r="108" spans="1:3" x14ac:dyDescent="0.2">
      <c r="A108">
        <v>2013</v>
      </c>
      <c r="B108" t="s">
        <v>1</v>
      </c>
      <c r="C108">
        <v>2.79268051033148E-2</v>
      </c>
    </row>
    <row r="109" spans="1:3" x14ac:dyDescent="0.2">
      <c r="A109">
        <v>2013</v>
      </c>
      <c r="B109" t="s">
        <v>5</v>
      </c>
      <c r="C109">
        <v>5.8372028628336257E-2</v>
      </c>
    </row>
    <row r="110" spans="1:3" x14ac:dyDescent="0.2">
      <c r="A110">
        <v>2013</v>
      </c>
      <c r="B110" t="s">
        <v>3</v>
      </c>
      <c r="C110">
        <v>8.694579507677111E-2</v>
      </c>
    </row>
    <row r="111" spans="1:3" x14ac:dyDescent="0.2">
      <c r="A111">
        <v>2013</v>
      </c>
      <c r="B111" t="s">
        <v>4</v>
      </c>
      <c r="C111">
        <v>0.13304846078356083</v>
      </c>
    </row>
    <row r="112" spans="1:3" x14ac:dyDescent="0.2">
      <c r="A112">
        <v>2014</v>
      </c>
      <c r="B112" t="s">
        <v>0</v>
      </c>
      <c r="C112">
        <v>4.4866107932235765E-3</v>
      </c>
    </row>
    <row r="113" spans="1:3" x14ac:dyDescent="0.2">
      <c r="A113">
        <v>2014</v>
      </c>
      <c r="B113" t="s">
        <v>1</v>
      </c>
      <c r="C113">
        <v>2.8993896319095699E-2</v>
      </c>
    </row>
    <row r="114" spans="1:3" x14ac:dyDescent="0.2">
      <c r="A114">
        <v>2014</v>
      </c>
      <c r="B114" t="s">
        <v>5</v>
      </c>
      <c r="C114">
        <v>5.9493349680114355E-2</v>
      </c>
    </row>
    <row r="115" spans="1:3" x14ac:dyDescent="0.2">
      <c r="A115">
        <v>2014</v>
      </c>
      <c r="B115" t="s">
        <v>3</v>
      </c>
      <c r="C115">
        <v>8.6187368887417654E-2</v>
      </c>
    </row>
    <row r="116" spans="1:3" x14ac:dyDescent="0.2">
      <c r="A116">
        <v>2014</v>
      </c>
      <c r="B116" t="s">
        <v>4</v>
      </c>
      <c r="C116">
        <v>0.13249383341440438</v>
      </c>
    </row>
    <row r="117" spans="1:3" x14ac:dyDescent="0.2">
      <c r="A117">
        <v>2015</v>
      </c>
      <c r="B117" t="s">
        <v>0</v>
      </c>
      <c r="C117">
        <v>4.7802752567406345E-3</v>
      </c>
    </row>
    <row r="118" spans="1:3" x14ac:dyDescent="0.2">
      <c r="A118">
        <v>2015</v>
      </c>
      <c r="B118" t="s">
        <v>1</v>
      </c>
      <c r="C118">
        <v>3.0115048737208452E-2</v>
      </c>
    </row>
    <row r="119" spans="1:3" x14ac:dyDescent="0.2">
      <c r="A119">
        <v>2015</v>
      </c>
      <c r="B119" t="s">
        <v>5</v>
      </c>
      <c r="C119">
        <v>6.1356056266669394E-2</v>
      </c>
    </row>
    <row r="120" spans="1:3" x14ac:dyDescent="0.2">
      <c r="A120">
        <v>2015</v>
      </c>
      <c r="B120" t="s">
        <v>3</v>
      </c>
      <c r="C120">
        <v>8.7773913463957118E-2</v>
      </c>
    </row>
    <row r="121" spans="1:3" x14ac:dyDescent="0.2">
      <c r="A121">
        <v>2015</v>
      </c>
      <c r="B121" t="s">
        <v>4</v>
      </c>
      <c r="C121">
        <v>0.13564692343949686</v>
      </c>
    </row>
    <row r="122" spans="1:3" x14ac:dyDescent="0.2">
      <c r="A122">
        <v>2016</v>
      </c>
      <c r="B122" t="s">
        <v>0</v>
      </c>
      <c r="C122">
        <v>4.7062499808242708E-3</v>
      </c>
    </row>
    <row r="123" spans="1:3" x14ac:dyDescent="0.2">
      <c r="A123">
        <v>2016</v>
      </c>
      <c r="B123" t="s">
        <v>1</v>
      </c>
      <c r="C123">
        <v>2.9846615503511097E-2</v>
      </c>
    </row>
    <row r="124" spans="1:3" x14ac:dyDescent="0.2">
      <c r="A124">
        <v>2016</v>
      </c>
      <c r="B124" t="s">
        <v>5</v>
      </c>
      <c r="C124">
        <v>5.9468959880253268E-2</v>
      </c>
    </row>
    <row r="125" spans="1:3" x14ac:dyDescent="0.2">
      <c r="A125">
        <v>2016</v>
      </c>
      <c r="B125" t="s">
        <v>3</v>
      </c>
      <c r="C125">
        <v>8.5641284768550166E-2</v>
      </c>
    </row>
    <row r="126" spans="1:3" x14ac:dyDescent="0.2">
      <c r="A126">
        <v>2016</v>
      </c>
      <c r="B126" t="s">
        <v>4</v>
      </c>
      <c r="C126">
        <v>0.13130477121669071</v>
      </c>
    </row>
    <row r="127" spans="1:3" x14ac:dyDescent="0.2">
      <c r="A127">
        <v>2017</v>
      </c>
      <c r="B127" t="s">
        <v>0</v>
      </c>
      <c r="C127">
        <v>5.0166359331160256E-3</v>
      </c>
    </row>
    <row r="128" spans="1:3" x14ac:dyDescent="0.2">
      <c r="A128">
        <v>2017</v>
      </c>
      <c r="B128" t="s">
        <v>1</v>
      </c>
      <c r="C128">
        <v>3.058427189481297E-2</v>
      </c>
    </row>
    <row r="129" spans="1:3" x14ac:dyDescent="0.2">
      <c r="A129">
        <v>2017</v>
      </c>
      <c r="B129" t="s">
        <v>5</v>
      </c>
      <c r="C129">
        <v>6.0087373129467658E-2</v>
      </c>
    </row>
    <row r="130" spans="1:3" x14ac:dyDescent="0.2">
      <c r="A130">
        <v>2017</v>
      </c>
      <c r="B130" t="s">
        <v>3</v>
      </c>
      <c r="C130">
        <v>8.6157163711094872E-2</v>
      </c>
    </row>
    <row r="131" spans="1:3" x14ac:dyDescent="0.2">
      <c r="A131">
        <v>2017</v>
      </c>
      <c r="B131" t="s">
        <v>4</v>
      </c>
      <c r="C131">
        <v>0.13294122510041145</v>
      </c>
    </row>
    <row r="132" spans="1:3" x14ac:dyDescent="0.2">
      <c r="A132">
        <v>2018</v>
      </c>
      <c r="B132" t="s">
        <v>0</v>
      </c>
      <c r="C132">
        <v>5.1129093685799622E-3</v>
      </c>
    </row>
    <row r="133" spans="1:3" x14ac:dyDescent="0.2">
      <c r="A133">
        <v>2018</v>
      </c>
      <c r="B133" t="s">
        <v>1</v>
      </c>
      <c r="C133">
        <v>3.2312851919736103E-2</v>
      </c>
    </row>
    <row r="134" spans="1:3" x14ac:dyDescent="0.2">
      <c r="A134">
        <v>2018</v>
      </c>
      <c r="B134" t="s">
        <v>5</v>
      </c>
      <c r="C134">
        <v>6.1669817521335296E-2</v>
      </c>
    </row>
    <row r="135" spans="1:3" x14ac:dyDescent="0.2">
      <c r="A135">
        <v>2018</v>
      </c>
      <c r="B135" t="s">
        <v>3</v>
      </c>
      <c r="C135">
        <v>8.7274350929943068E-2</v>
      </c>
    </row>
    <row r="136" spans="1:3" x14ac:dyDescent="0.2">
      <c r="A136">
        <v>2018</v>
      </c>
      <c r="B136" t="s">
        <v>4</v>
      </c>
      <c r="C136">
        <v>0.13464014566932106</v>
      </c>
    </row>
    <row r="137" spans="1:3" x14ac:dyDescent="0.2">
      <c r="A137">
        <v>2019</v>
      </c>
      <c r="B137" t="s">
        <v>0</v>
      </c>
      <c r="C137">
        <v>4.9124380444329398E-3</v>
      </c>
    </row>
    <row r="138" spans="1:3" x14ac:dyDescent="0.2">
      <c r="A138">
        <v>2019</v>
      </c>
      <c r="B138" t="s">
        <v>1</v>
      </c>
      <c r="C138">
        <v>3.2020177968636654E-2</v>
      </c>
    </row>
    <row r="139" spans="1:3" x14ac:dyDescent="0.2">
      <c r="A139">
        <v>2019</v>
      </c>
      <c r="B139" t="s">
        <v>5</v>
      </c>
      <c r="C139">
        <v>6.1177258005856265E-2</v>
      </c>
    </row>
    <row r="140" spans="1:3" x14ac:dyDescent="0.2">
      <c r="A140">
        <v>2019</v>
      </c>
      <c r="B140" t="s">
        <v>3</v>
      </c>
      <c r="C140">
        <v>8.6827486233743062E-2</v>
      </c>
    </row>
    <row r="141" spans="1:3" x14ac:dyDescent="0.2">
      <c r="A141">
        <v>2019</v>
      </c>
      <c r="B141" t="s">
        <v>4</v>
      </c>
      <c r="C141">
        <v>0.13428482707046699</v>
      </c>
    </row>
    <row r="142" spans="1:3" x14ac:dyDescent="0.2">
      <c r="A142">
        <v>2020</v>
      </c>
      <c r="B142" t="s">
        <v>0</v>
      </c>
      <c r="C142">
        <v>8.9300788203316803E-3</v>
      </c>
    </row>
    <row r="143" spans="1:3" x14ac:dyDescent="0.2">
      <c r="A143">
        <v>2020</v>
      </c>
      <c r="B143" t="s">
        <v>1</v>
      </c>
      <c r="C143">
        <v>3.5329446739921416E-2</v>
      </c>
    </row>
    <row r="144" spans="1:3" x14ac:dyDescent="0.2">
      <c r="A144">
        <v>2020</v>
      </c>
      <c r="B144" t="s">
        <v>5</v>
      </c>
      <c r="C144">
        <v>6.0451505026372865E-2</v>
      </c>
    </row>
    <row r="145" spans="1:3" x14ac:dyDescent="0.2">
      <c r="A145">
        <v>2020</v>
      </c>
      <c r="B145" t="s">
        <v>3</v>
      </c>
      <c r="C145">
        <v>8.4186711096225303E-2</v>
      </c>
    </row>
    <row r="146" spans="1:3" x14ac:dyDescent="0.2">
      <c r="A146">
        <v>2020</v>
      </c>
      <c r="B146" t="s">
        <v>4</v>
      </c>
      <c r="C146">
        <v>0.13206871367533077</v>
      </c>
    </row>
    <row r="147" spans="1:3" x14ac:dyDescent="0.2">
      <c r="A147">
        <v>2021</v>
      </c>
      <c r="B147" t="s">
        <v>0</v>
      </c>
      <c r="C147">
        <v>7.4098243492917888E-3</v>
      </c>
    </row>
    <row r="148" spans="1:3" x14ac:dyDescent="0.2">
      <c r="A148">
        <v>2021</v>
      </c>
      <c r="B148" t="s">
        <v>1</v>
      </c>
      <c r="C148">
        <v>3.4803259665645125E-2</v>
      </c>
    </row>
    <row r="149" spans="1:3" x14ac:dyDescent="0.2">
      <c r="A149">
        <v>2021</v>
      </c>
      <c r="B149" t="s">
        <v>5</v>
      </c>
      <c r="C149">
        <v>6.1659449892180494E-2</v>
      </c>
    </row>
    <row r="150" spans="1:3" x14ac:dyDescent="0.2">
      <c r="A150">
        <v>2021</v>
      </c>
      <c r="B150" t="s">
        <v>3</v>
      </c>
      <c r="C150">
        <v>8.588875263184273E-2</v>
      </c>
    </row>
    <row r="151" spans="1:3" x14ac:dyDescent="0.2">
      <c r="A151">
        <v>2021</v>
      </c>
      <c r="B151" t="s">
        <v>4</v>
      </c>
      <c r="C151">
        <v>0.13403522503269533</v>
      </c>
    </row>
    <row r="152" spans="1:3" x14ac:dyDescent="0.2">
      <c r="A152">
        <v>2022</v>
      </c>
      <c r="B152" t="s">
        <v>0</v>
      </c>
      <c r="C152">
        <v>3.6400060022803429E-3</v>
      </c>
    </row>
    <row r="153" spans="1:3" x14ac:dyDescent="0.2">
      <c r="A153">
        <v>2022</v>
      </c>
      <c r="B153" t="s">
        <v>1</v>
      </c>
      <c r="C153">
        <v>3.0538561710166261E-2</v>
      </c>
    </row>
    <row r="154" spans="1:3" x14ac:dyDescent="0.2">
      <c r="A154">
        <v>2022</v>
      </c>
      <c r="B154" t="s">
        <v>5</v>
      </c>
      <c r="C154">
        <v>6.0475568491529644E-2</v>
      </c>
    </row>
    <row r="155" spans="1:3" x14ac:dyDescent="0.2">
      <c r="A155">
        <v>2022</v>
      </c>
      <c r="B155" t="s">
        <v>3</v>
      </c>
      <c r="C155">
        <v>8.6037764257912958E-2</v>
      </c>
    </row>
    <row r="156" spans="1:3" x14ac:dyDescent="0.2">
      <c r="A156">
        <v>2022</v>
      </c>
      <c r="B156" t="s">
        <v>4</v>
      </c>
      <c r="C156">
        <v>0.13628317079489566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2C2C-88BA-AB49-84E8-E1E4CB3CDEA0}">
  <dimension ref="A1:N156"/>
  <sheetViews>
    <sheetView topLeftCell="B1" workbookViewId="0">
      <selection activeCell="M11" sqref="M11"/>
    </sheetView>
  </sheetViews>
  <sheetFormatPr baseColWidth="10" defaultRowHeight="16" x14ac:dyDescent="0.2"/>
  <cols>
    <col min="1" max="1" width="5.1640625" bestFit="1" customWidth="1"/>
    <col min="2" max="2" width="25" bestFit="1" customWidth="1"/>
    <col min="3" max="3" width="36.33203125" bestFit="1" customWidth="1"/>
    <col min="11" max="11" width="15.6640625" bestFit="1" customWidth="1"/>
    <col min="12" max="12" width="13.6640625" customWidth="1"/>
    <col min="13" max="13" width="19.5" bestFit="1" customWidth="1"/>
    <col min="14" max="14" width="17.83203125" customWidth="1"/>
  </cols>
  <sheetData>
    <row r="1" spans="1:14" x14ac:dyDescent="0.2">
      <c r="A1" t="s">
        <v>6</v>
      </c>
      <c r="B1" t="s">
        <v>7</v>
      </c>
      <c r="C1" t="s">
        <v>9</v>
      </c>
      <c r="K1" s="1" t="s">
        <v>8</v>
      </c>
      <c r="L1" s="1" t="s">
        <v>19</v>
      </c>
      <c r="M1" s="1" t="s">
        <v>21</v>
      </c>
      <c r="N1" s="1" t="s">
        <v>13</v>
      </c>
    </row>
    <row r="2" spans="1:14" x14ac:dyDescent="0.2">
      <c r="A2">
        <v>1992</v>
      </c>
      <c r="B2" t="s">
        <v>0</v>
      </c>
      <c r="C2">
        <v>1.4372844697530598E-2</v>
      </c>
      <c r="K2" s="1"/>
      <c r="L2" s="4">
        <v>0</v>
      </c>
      <c r="M2" s="4">
        <v>0</v>
      </c>
    </row>
    <row r="3" spans="1:14" x14ac:dyDescent="0.2">
      <c r="A3">
        <v>1992</v>
      </c>
      <c r="B3" t="s">
        <v>1</v>
      </c>
      <c r="C3">
        <v>7.1258412513710401E-2</v>
      </c>
      <c r="K3" s="5" t="s">
        <v>0</v>
      </c>
      <c r="L3" s="2">
        <f>C2</f>
        <v>1.4372844697530598E-2</v>
      </c>
      <c r="M3" s="2">
        <f>C152</f>
        <v>5.5738808872442622E-3</v>
      </c>
      <c r="N3" s="2">
        <f>M3-L3</f>
        <v>-8.7989638102863362E-3</v>
      </c>
    </row>
    <row r="4" spans="1:14" x14ac:dyDescent="0.2">
      <c r="A4">
        <v>1992</v>
      </c>
      <c r="B4" t="s">
        <v>5</v>
      </c>
      <c r="C4">
        <v>0.13354926778675952</v>
      </c>
      <c r="K4" s="5" t="s">
        <v>1</v>
      </c>
      <c r="L4" s="2">
        <f t="shared" ref="L4:L7" si="0">C3</f>
        <v>7.1258412513710401E-2</v>
      </c>
      <c r="M4" s="2">
        <f t="shared" ref="M4:M7" si="1">C153</f>
        <v>5.1994922952674022E-2</v>
      </c>
      <c r="N4" s="2">
        <f t="shared" ref="N4:N7" si="2">M4-L4</f>
        <v>-1.9263489561036379E-2</v>
      </c>
    </row>
    <row r="5" spans="1:14" x14ac:dyDescent="0.2">
      <c r="A5">
        <v>1992</v>
      </c>
      <c r="B5" t="s">
        <v>3</v>
      </c>
      <c r="C5">
        <v>0.18336603104830165</v>
      </c>
      <c r="K5" s="5" t="s">
        <v>5</v>
      </c>
      <c r="L5" s="2">
        <f t="shared" si="0"/>
        <v>0.13354926778675952</v>
      </c>
      <c r="M5" s="2">
        <f t="shared" si="1"/>
        <v>0.10435180600298626</v>
      </c>
      <c r="N5" s="2">
        <f t="shared" si="2"/>
        <v>-2.9197461783773263E-2</v>
      </c>
    </row>
    <row r="6" spans="1:14" x14ac:dyDescent="0.2">
      <c r="A6">
        <v>1992</v>
      </c>
      <c r="B6" t="s">
        <v>4</v>
      </c>
      <c r="C6">
        <v>0.23594191181565358</v>
      </c>
      <c r="K6" s="5" t="s">
        <v>3</v>
      </c>
      <c r="L6" s="2">
        <f t="shared" si="0"/>
        <v>0.18336603104830165</v>
      </c>
      <c r="M6" s="2">
        <f t="shared" si="1"/>
        <v>0.14627107035429379</v>
      </c>
      <c r="N6" s="2">
        <f t="shared" si="2"/>
        <v>-3.7094960694007861E-2</v>
      </c>
    </row>
    <row r="7" spans="1:14" x14ac:dyDescent="0.2">
      <c r="A7">
        <v>1993</v>
      </c>
      <c r="B7" t="s">
        <v>0</v>
      </c>
      <c r="C7">
        <v>1.3162905010368828E-2</v>
      </c>
      <c r="K7" s="5" t="s">
        <v>16</v>
      </c>
      <c r="L7" s="2">
        <f t="shared" si="0"/>
        <v>0.23594191181565358</v>
      </c>
      <c r="M7" s="2">
        <f t="shared" si="1"/>
        <v>0.22618708339913079</v>
      </c>
      <c r="N7" s="2">
        <f t="shared" si="2"/>
        <v>-9.7548284165227817E-3</v>
      </c>
    </row>
    <row r="8" spans="1:14" x14ac:dyDescent="0.2">
      <c r="A8">
        <v>1993</v>
      </c>
      <c r="B8" t="s">
        <v>1</v>
      </c>
      <c r="C8">
        <v>6.6215352491776722E-2</v>
      </c>
      <c r="I8">
        <f>C152</f>
        <v>5.5738808872442622E-3</v>
      </c>
    </row>
    <row r="9" spans="1:14" x14ac:dyDescent="0.2">
      <c r="A9">
        <v>1993</v>
      </c>
      <c r="B9" t="s">
        <v>5</v>
      </c>
      <c r="C9">
        <v>0.13005234896816756</v>
      </c>
    </row>
    <row r="10" spans="1:14" x14ac:dyDescent="0.2">
      <c r="A10">
        <v>1993</v>
      </c>
      <c r="B10" t="s">
        <v>3</v>
      </c>
      <c r="C10">
        <v>0.18140489228706078</v>
      </c>
    </row>
    <row r="11" spans="1:14" x14ac:dyDescent="0.2">
      <c r="A11">
        <v>1993</v>
      </c>
      <c r="B11" t="s">
        <v>4</v>
      </c>
      <c r="C11">
        <v>0.23339781209735314</v>
      </c>
    </row>
    <row r="12" spans="1:14" x14ac:dyDescent="0.2">
      <c r="A12">
        <v>1994</v>
      </c>
      <c r="B12" t="s">
        <v>0</v>
      </c>
      <c r="C12">
        <v>1.2174662842705578E-2</v>
      </c>
    </row>
    <row r="13" spans="1:14" x14ac:dyDescent="0.2">
      <c r="A13">
        <v>1994</v>
      </c>
      <c r="B13" t="s">
        <v>1</v>
      </c>
      <c r="C13">
        <v>6.576673064252446E-2</v>
      </c>
    </row>
    <row r="14" spans="1:14" x14ac:dyDescent="0.2">
      <c r="A14">
        <v>1994</v>
      </c>
      <c r="B14" t="s">
        <v>5</v>
      </c>
      <c r="C14">
        <v>0.13175598317170795</v>
      </c>
    </row>
    <row r="15" spans="1:14" x14ac:dyDescent="0.2">
      <c r="A15">
        <v>1994</v>
      </c>
      <c r="B15" t="s">
        <v>3</v>
      </c>
      <c r="C15">
        <v>0.1820579265798567</v>
      </c>
    </row>
    <row r="16" spans="1:14" x14ac:dyDescent="0.2">
      <c r="A16">
        <v>1994</v>
      </c>
      <c r="B16" t="s">
        <v>4</v>
      </c>
      <c r="C16">
        <v>0.20399841640459934</v>
      </c>
    </row>
    <row r="17" spans="1:3" x14ac:dyDescent="0.2">
      <c r="A17">
        <v>1995</v>
      </c>
      <c r="B17" t="s">
        <v>0</v>
      </c>
      <c r="C17">
        <v>1.2694125933503001E-2</v>
      </c>
    </row>
    <row r="18" spans="1:3" x14ac:dyDescent="0.2">
      <c r="A18">
        <v>1995</v>
      </c>
      <c r="B18" t="s">
        <v>1</v>
      </c>
      <c r="C18">
        <v>6.5362995594889201E-2</v>
      </c>
    </row>
    <row r="19" spans="1:3" x14ac:dyDescent="0.2">
      <c r="A19">
        <v>1995</v>
      </c>
      <c r="B19" t="s">
        <v>5</v>
      </c>
      <c r="C19">
        <v>0.13202308279384586</v>
      </c>
    </row>
    <row r="20" spans="1:3" x14ac:dyDescent="0.2">
      <c r="A20">
        <v>1995</v>
      </c>
      <c r="B20" t="s">
        <v>3</v>
      </c>
      <c r="C20">
        <v>0.18446447370200392</v>
      </c>
    </row>
    <row r="21" spans="1:3" x14ac:dyDescent="0.2">
      <c r="A21">
        <v>1995</v>
      </c>
      <c r="B21" t="s">
        <v>4</v>
      </c>
      <c r="C21">
        <v>0.24886225003107498</v>
      </c>
    </row>
    <row r="22" spans="1:3" x14ac:dyDescent="0.2">
      <c r="A22">
        <v>1996</v>
      </c>
      <c r="B22" t="s">
        <v>0</v>
      </c>
      <c r="C22">
        <v>1.2718772196655124E-2</v>
      </c>
    </row>
    <row r="23" spans="1:3" x14ac:dyDescent="0.2">
      <c r="A23">
        <v>1996</v>
      </c>
      <c r="B23" t="s">
        <v>1</v>
      </c>
      <c r="C23">
        <v>6.5488000179710154E-2</v>
      </c>
    </row>
    <row r="24" spans="1:3" x14ac:dyDescent="0.2">
      <c r="A24">
        <v>1996</v>
      </c>
      <c r="B24" t="s">
        <v>5</v>
      </c>
      <c r="C24">
        <v>0.1326183400917009</v>
      </c>
    </row>
    <row r="25" spans="1:3" x14ac:dyDescent="0.2">
      <c r="A25">
        <v>1996</v>
      </c>
      <c r="B25" t="s">
        <v>3</v>
      </c>
      <c r="C25">
        <v>0.18457339894445551</v>
      </c>
    </row>
    <row r="26" spans="1:3" x14ac:dyDescent="0.2">
      <c r="A26">
        <v>1996</v>
      </c>
      <c r="B26" t="s">
        <v>4</v>
      </c>
      <c r="C26">
        <v>0.25207152947428257</v>
      </c>
    </row>
    <row r="27" spans="1:3" x14ac:dyDescent="0.2">
      <c r="A27">
        <v>1997</v>
      </c>
      <c r="B27" t="s">
        <v>0</v>
      </c>
      <c r="C27">
        <v>1.26210789422837E-2</v>
      </c>
    </row>
    <row r="28" spans="1:3" x14ac:dyDescent="0.2">
      <c r="A28">
        <v>1997</v>
      </c>
      <c r="B28" t="s">
        <v>1</v>
      </c>
      <c r="C28">
        <v>6.7731579023027608E-2</v>
      </c>
    </row>
    <row r="29" spans="1:3" x14ac:dyDescent="0.2">
      <c r="A29">
        <v>1997</v>
      </c>
      <c r="B29" t="s">
        <v>5</v>
      </c>
      <c r="C29">
        <v>0.13528313979287329</v>
      </c>
    </row>
    <row r="30" spans="1:3" x14ac:dyDescent="0.2">
      <c r="A30">
        <v>1997</v>
      </c>
      <c r="B30" t="s">
        <v>3</v>
      </c>
      <c r="C30">
        <v>0.18730320996484251</v>
      </c>
    </row>
    <row r="31" spans="1:3" x14ac:dyDescent="0.2">
      <c r="A31">
        <v>1997</v>
      </c>
      <c r="B31" t="s">
        <v>4</v>
      </c>
      <c r="C31">
        <v>0.25589006173957191</v>
      </c>
    </row>
    <row r="32" spans="1:3" x14ac:dyDescent="0.2">
      <c r="A32">
        <v>1998</v>
      </c>
      <c r="B32" t="s">
        <v>0</v>
      </c>
      <c r="C32">
        <v>1.2975922249069039E-2</v>
      </c>
    </row>
    <row r="33" spans="1:3" x14ac:dyDescent="0.2">
      <c r="A33">
        <v>1998</v>
      </c>
      <c r="B33" t="s">
        <v>1</v>
      </c>
      <c r="C33">
        <v>6.9114240517737111E-2</v>
      </c>
    </row>
    <row r="34" spans="1:3" x14ac:dyDescent="0.2">
      <c r="A34">
        <v>1998</v>
      </c>
      <c r="B34" t="s">
        <v>5</v>
      </c>
      <c r="C34">
        <v>0.13451138118525166</v>
      </c>
    </row>
    <row r="35" spans="1:3" x14ac:dyDescent="0.2">
      <c r="A35">
        <v>1998</v>
      </c>
      <c r="B35" t="s">
        <v>3</v>
      </c>
      <c r="C35">
        <v>0.18421318119728466</v>
      </c>
    </row>
    <row r="36" spans="1:3" x14ac:dyDescent="0.2">
      <c r="A36">
        <v>1998</v>
      </c>
      <c r="B36" t="s">
        <v>4</v>
      </c>
      <c r="C36">
        <v>0.25492020809407862</v>
      </c>
    </row>
    <row r="37" spans="1:3" x14ac:dyDescent="0.2">
      <c r="A37">
        <v>1999</v>
      </c>
      <c r="B37" t="s">
        <v>0</v>
      </c>
      <c r="C37">
        <v>1.2849424679568946E-2</v>
      </c>
    </row>
    <row r="38" spans="1:3" x14ac:dyDescent="0.2">
      <c r="A38">
        <v>1999</v>
      </c>
      <c r="B38" t="s">
        <v>1</v>
      </c>
      <c r="C38">
        <v>6.9575386327220684E-2</v>
      </c>
    </row>
    <row r="39" spans="1:3" x14ac:dyDescent="0.2">
      <c r="A39">
        <v>1999</v>
      </c>
      <c r="B39" t="s">
        <v>5</v>
      </c>
      <c r="C39">
        <v>0.13386659901549436</v>
      </c>
    </row>
    <row r="40" spans="1:3" x14ac:dyDescent="0.2">
      <c r="A40">
        <v>1999</v>
      </c>
      <c r="B40" t="s">
        <v>3</v>
      </c>
      <c r="C40">
        <v>0.18130434009093196</v>
      </c>
    </row>
    <row r="41" spans="1:3" x14ac:dyDescent="0.2">
      <c r="A41">
        <v>1999</v>
      </c>
      <c r="B41" t="s">
        <v>4</v>
      </c>
      <c r="C41">
        <v>0.25150953218542987</v>
      </c>
    </row>
    <row r="42" spans="1:3" x14ac:dyDescent="0.2">
      <c r="A42">
        <v>2000</v>
      </c>
      <c r="B42" t="s">
        <v>0</v>
      </c>
      <c r="C42">
        <v>1.1531222868222245E-2</v>
      </c>
    </row>
    <row r="43" spans="1:3" x14ac:dyDescent="0.2">
      <c r="A43">
        <v>2000</v>
      </c>
      <c r="B43" t="s">
        <v>1</v>
      </c>
      <c r="C43">
        <v>6.6014730601288346E-2</v>
      </c>
    </row>
    <row r="44" spans="1:3" x14ac:dyDescent="0.2">
      <c r="A44">
        <v>2000</v>
      </c>
      <c r="B44" t="s">
        <v>5</v>
      </c>
      <c r="C44">
        <v>0.13090931138902842</v>
      </c>
    </row>
    <row r="45" spans="1:3" x14ac:dyDescent="0.2">
      <c r="A45">
        <v>2000</v>
      </c>
      <c r="B45" t="s">
        <v>3</v>
      </c>
      <c r="C45">
        <v>0.17844086876522122</v>
      </c>
    </row>
    <row r="46" spans="1:3" x14ac:dyDescent="0.2">
      <c r="A46">
        <v>2000</v>
      </c>
      <c r="B46" t="s">
        <v>4</v>
      </c>
      <c r="C46">
        <v>0.24797160191753037</v>
      </c>
    </row>
    <row r="47" spans="1:3" x14ac:dyDescent="0.2">
      <c r="A47">
        <v>2001</v>
      </c>
      <c r="B47" t="s">
        <v>0</v>
      </c>
      <c r="C47">
        <v>1.2512600675684167E-2</v>
      </c>
    </row>
    <row r="48" spans="1:3" x14ac:dyDescent="0.2">
      <c r="A48">
        <v>2001</v>
      </c>
      <c r="B48" t="s">
        <v>1</v>
      </c>
      <c r="C48">
        <v>6.4559529485678127E-2</v>
      </c>
    </row>
    <row r="49" spans="1:3" x14ac:dyDescent="0.2">
      <c r="A49">
        <v>2001</v>
      </c>
      <c r="B49" t="s">
        <v>5</v>
      </c>
      <c r="C49">
        <v>0.12226315161824838</v>
      </c>
    </row>
    <row r="50" spans="1:3" x14ac:dyDescent="0.2">
      <c r="A50">
        <v>2001</v>
      </c>
      <c r="B50" t="s">
        <v>3</v>
      </c>
      <c r="C50">
        <v>0.16300026043817067</v>
      </c>
    </row>
    <row r="51" spans="1:3" x14ac:dyDescent="0.2">
      <c r="A51">
        <v>2001</v>
      </c>
      <c r="B51" t="s">
        <v>4</v>
      </c>
      <c r="C51">
        <v>0.22927111171070672</v>
      </c>
    </row>
    <row r="52" spans="1:3" x14ac:dyDescent="0.2">
      <c r="A52">
        <v>2002</v>
      </c>
      <c r="B52" t="s">
        <v>0</v>
      </c>
      <c r="C52">
        <v>1.0928246048742374E-2</v>
      </c>
    </row>
    <row r="53" spans="1:3" x14ac:dyDescent="0.2">
      <c r="A53">
        <v>2002</v>
      </c>
      <c r="B53" t="s">
        <v>1</v>
      </c>
      <c r="C53">
        <v>6.1151770031022984E-2</v>
      </c>
    </row>
    <row r="54" spans="1:3" x14ac:dyDescent="0.2">
      <c r="A54">
        <v>2002</v>
      </c>
      <c r="B54" t="s">
        <v>5</v>
      </c>
      <c r="C54">
        <v>0.11853025903049973</v>
      </c>
    </row>
    <row r="55" spans="1:3" x14ac:dyDescent="0.2">
      <c r="A55">
        <v>2002</v>
      </c>
      <c r="B55" t="s">
        <v>3</v>
      </c>
      <c r="C55">
        <v>0.15980221624230143</v>
      </c>
    </row>
    <row r="56" spans="1:3" x14ac:dyDescent="0.2">
      <c r="A56">
        <v>2002</v>
      </c>
      <c r="B56" t="s">
        <v>4</v>
      </c>
      <c r="C56">
        <v>0.22630798611919356</v>
      </c>
    </row>
    <row r="57" spans="1:3" x14ac:dyDescent="0.2">
      <c r="A57">
        <v>2003</v>
      </c>
      <c r="B57" t="s">
        <v>0</v>
      </c>
      <c r="C57">
        <v>1.0831272629758297E-2</v>
      </c>
    </row>
    <row r="58" spans="1:3" x14ac:dyDescent="0.2">
      <c r="A58">
        <v>2003</v>
      </c>
      <c r="B58" t="s">
        <v>1</v>
      </c>
      <c r="C58">
        <v>6.0723030853330896E-2</v>
      </c>
    </row>
    <row r="59" spans="1:3" x14ac:dyDescent="0.2">
      <c r="A59">
        <v>2003</v>
      </c>
      <c r="B59" t="s">
        <v>5</v>
      </c>
      <c r="C59">
        <v>0.11809562390054833</v>
      </c>
    </row>
    <row r="60" spans="1:3" x14ac:dyDescent="0.2">
      <c r="A60">
        <v>2003</v>
      </c>
      <c r="B60" t="s">
        <v>3</v>
      </c>
      <c r="C60">
        <v>0.16002198625182015</v>
      </c>
    </row>
    <row r="61" spans="1:3" x14ac:dyDescent="0.2">
      <c r="A61">
        <v>2003</v>
      </c>
      <c r="B61" t="s">
        <v>4</v>
      </c>
      <c r="C61">
        <v>0.22580213805259128</v>
      </c>
    </row>
    <row r="62" spans="1:3" x14ac:dyDescent="0.2">
      <c r="A62">
        <v>2004</v>
      </c>
      <c r="B62" t="s">
        <v>0</v>
      </c>
      <c r="C62">
        <v>1.1053332794887259E-2</v>
      </c>
    </row>
    <row r="63" spans="1:3" x14ac:dyDescent="0.2">
      <c r="A63">
        <v>2004</v>
      </c>
      <c r="B63" t="s">
        <v>1</v>
      </c>
      <c r="C63">
        <v>6.165733332939051E-2</v>
      </c>
    </row>
    <row r="64" spans="1:3" x14ac:dyDescent="0.2">
      <c r="A64">
        <v>2004</v>
      </c>
      <c r="B64" t="s">
        <v>5</v>
      </c>
      <c r="C64">
        <v>0.11888800721086372</v>
      </c>
    </row>
    <row r="65" spans="1:3" x14ac:dyDescent="0.2">
      <c r="A65">
        <v>2004</v>
      </c>
      <c r="B65" t="s">
        <v>3</v>
      </c>
      <c r="C65">
        <v>0.16050610542672636</v>
      </c>
    </row>
    <row r="66" spans="1:3" x14ac:dyDescent="0.2">
      <c r="A66">
        <v>2004</v>
      </c>
      <c r="B66" t="s">
        <v>4</v>
      </c>
      <c r="C66">
        <v>0.22470273733134782</v>
      </c>
    </row>
    <row r="67" spans="1:3" x14ac:dyDescent="0.2">
      <c r="A67">
        <v>2005</v>
      </c>
      <c r="B67" t="s">
        <v>0</v>
      </c>
      <c r="C67">
        <v>9.682780184453843E-3</v>
      </c>
    </row>
    <row r="68" spans="1:3" x14ac:dyDescent="0.2">
      <c r="A68">
        <v>2005</v>
      </c>
      <c r="B68" t="s">
        <v>1</v>
      </c>
      <c r="C68">
        <v>5.8845387933838797E-2</v>
      </c>
    </row>
    <row r="69" spans="1:3" x14ac:dyDescent="0.2">
      <c r="A69">
        <v>2005</v>
      </c>
      <c r="B69" t="s">
        <v>5</v>
      </c>
      <c r="C69">
        <v>0.11609824387279337</v>
      </c>
    </row>
    <row r="70" spans="1:3" x14ac:dyDescent="0.2">
      <c r="A70">
        <v>2005</v>
      </c>
      <c r="B70" t="s">
        <v>3</v>
      </c>
      <c r="C70">
        <v>0.15750543587508678</v>
      </c>
    </row>
    <row r="71" spans="1:3" x14ac:dyDescent="0.2">
      <c r="A71">
        <v>2005</v>
      </c>
      <c r="B71" t="s">
        <v>4</v>
      </c>
      <c r="C71">
        <v>0.22312979352038667</v>
      </c>
    </row>
    <row r="72" spans="1:3" x14ac:dyDescent="0.2">
      <c r="A72">
        <v>2006</v>
      </c>
      <c r="B72" t="s">
        <v>0</v>
      </c>
      <c r="C72">
        <v>9.8314202434846461E-3</v>
      </c>
    </row>
    <row r="73" spans="1:3" x14ac:dyDescent="0.2">
      <c r="A73">
        <v>2006</v>
      </c>
      <c r="B73" t="s">
        <v>1</v>
      </c>
      <c r="C73">
        <v>5.835703511976522E-2</v>
      </c>
    </row>
    <row r="74" spans="1:3" x14ac:dyDescent="0.2">
      <c r="A74">
        <v>2006</v>
      </c>
      <c r="B74" t="s">
        <v>5</v>
      </c>
      <c r="C74">
        <v>0.11592197789232526</v>
      </c>
    </row>
    <row r="75" spans="1:3" x14ac:dyDescent="0.2">
      <c r="A75">
        <v>2006</v>
      </c>
      <c r="B75" t="s">
        <v>3</v>
      </c>
      <c r="C75">
        <v>0.15761748813086854</v>
      </c>
    </row>
    <row r="76" spans="1:3" x14ac:dyDescent="0.2">
      <c r="A76">
        <v>2006</v>
      </c>
      <c r="B76" t="s">
        <v>4</v>
      </c>
      <c r="C76">
        <v>0.22334618720601282</v>
      </c>
    </row>
    <row r="77" spans="1:3" x14ac:dyDescent="0.2">
      <c r="A77">
        <v>2007</v>
      </c>
      <c r="B77" t="s">
        <v>0</v>
      </c>
      <c r="C77">
        <v>8.7011626865325896E-3</v>
      </c>
    </row>
    <row r="78" spans="1:3" x14ac:dyDescent="0.2">
      <c r="A78">
        <v>2007</v>
      </c>
      <c r="B78" t="s">
        <v>1</v>
      </c>
      <c r="C78">
        <v>5.480897522027587E-2</v>
      </c>
    </row>
    <row r="79" spans="1:3" x14ac:dyDescent="0.2">
      <c r="A79">
        <v>2007</v>
      </c>
      <c r="B79" t="s">
        <v>5</v>
      </c>
      <c r="C79">
        <v>0.10926127766359174</v>
      </c>
    </row>
    <row r="80" spans="1:3" x14ac:dyDescent="0.2">
      <c r="A80">
        <v>2007</v>
      </c>
      <c r="B80" t="s">
        <v>3</v>
      </c>
      <c r="C80">
        <v>0.15109686512743795</v>
      </c>
    </row>
    <row r="81" spans="1:3" x14ac:dyDescent="0.2">
      <c r="A81">
        <v>2007</v>
      </c>
      <c r="B81" t="s">
        <v>4</v>
      </c>
      <c r="C81">
        <v>0.21985021055420342</v>
      </c>
    </row>
    <row r="82" spans="1:3" x14ac:dyDescent="0.2">
      <c r="A82">
        <v>2008</v>
      </c>
      <c r="B82" t="s">
        <v>0</v>
      </c>
      <c r="C82">
        <v>8.6142097572505325E-3</v>
      </c>
    </row>
    <row r="83" spans="1:3" x14ac:dyDescent="0.2">
      <c r="A83">
        <v>2008</v>
      </c>
      <c r="B83" t="s">
        <v>1</v>
      </c>
      <c r="C83">
        <v>5.4492558469128198E-2</v>
      </c>
    </row>
    <row r="84" spans="1:3" x14ac:dyDescent="0.2">
      <c r="A84">
        <v>2008</v>
      </c>
      <c r="B84" t="s">
        <v>5</v>
      </c>
      <c r="C84">
        <v>0.10789647611974613</v>
      </c>
    </row>
    <row r="85" spans="1:3" x14ac:dyDescent="0.2">
      <c r="A85">
        <v>2008</v>
      </c>
      <c r="B85" t="s">
        <v>3</v>
      </c>
      <c r="C85">
        <v>0.15063266071124135</v>
      </c>
    </row>
    <row r="86" spans="1:3" x14ac:dyDescent="0.2">
      <c r="A86">
        <v>2008</v>
      </c>
      <c r="B86" t="s">
        <v>4</v>
      </c>
      <c r="C86">
        <v>0.22142367168405414</v>
      </c>
    </row>
    <row r="87" spans="1:3" x14ac:dyDescent="0.2">
      <c r="A87">
        <v>2009</v>
      </c>
      <c r="B87" t="s">
        <v>0</v>
      </c>
      <c r="C87">
        <v>7.0367783251107643E-3</v>
      </c>
    </row>
    <row r="88" spans="1:3" x14ac:dyDescent="0.2">
      <c r="A88">
        <v>2009</v>
      </c>
      <c r="B88" t="s">
        <v>1</v>
      </c>
      <c r="C88">
        <v>4.8019211601517557E-2</v>
      </c>
    </row>
    <row r="89" spans="1:3" x14ac:dyDescent="0.2">
      <c r="A89">
        <v>2009</v>
      </c>
      <c r="B89" t="s">
        <v>5</v>
      </c>
      <c r="C89">
        <v>9.7595358165701765E-2</v>
      </c>
    </row>
    <row r="90" spans="1:3" x14ac:dyDescent="0.2">
      <c r="A90">
        <v>2009</v>
      </c>
      <c r="B90" t="s">
        <v>3</v>
      </c>
      <c r="C90">
        <v>0.14107536110233615</v>
      </c>
    </row>
    <row r="91" spans="1:3" x14ac:dyDescent="0.2">
      <c r="A91">
        <v>2009</v>
      </c>
      <c r="B91" t="s">
        <v>4</v>
      </c>
      <c r="C91">
        <v>0.21260568460496015</v>
      </c>
    </row>
    <row r="92" spans="1:3" x14ac:dyDescent="0.2">
      <c r="A92">
        <v>2010</v>
      </c>
      <c r="B92" t="s">
        <v>0</v>
      </c>
      <c r="C92">
        <v>6.4594526246310987E-3</v>
      </c>
    </row>
    <row r="93" spans="1:3" x14ac:dyDescent="0.2">
      <c r="A93">
        <v>2010</v>
      </c>
      <c r="B93" t="s">
        <v>1</v>
      </c>
      <c r="C93">
        <v>4.71914546052234E-2</v>
      </c>
    </row>
    <row r="94" spans="1:3" x14ac:dyDescent="0.2">
      <c r="A94">
        <v>2010</v>
      </c>
      <c r="B94" t="s">
        <v>5</v>
      </c>
      <c r="C94">
        <v>9.7858475322227384E-2</v>
      </c>
    </row>
    <row r="95" spans="1:3" x14ac:dyDescent="0.2">
      <c r="A95">
        <v>2010</v>
      </c>
      <c r="B95" t="s">
        <v>3</v>
      </c>
      <c r="C95">
        <v>0.14267518284161737</v>
      </c>
    </row>
    <row r="96" spans="1:3" x14ac:dyDescent="0.2">
      <c r="A96">
        <v>2010</v>
      </c>
      <c r="B96" t="s">
        <v>4</v>
      </c>
      <c r="C96">
        <v>0.21196490195467962</v>
      </c>
    </row>
    <row r="97" spans="1:3" x14ac:dyDescent="0.2">
      <c r="A97">
        <v>2011</v>
      </c>
      <c r="B97" t="s">
        <v>0</v>
      </c>
      <c r="C97">
        <v>7.2054741579416519E-3</v>
      </c>
    </row>
    <row r="98" spans="1:3" x14ac:dyDescent="0.2">
      <c r="A98">
        <v>2011</v>
      </c>
      <c r="B98" t="s">
        <v>1</v>
      </c>
      <c r="C98">
        <v>4.8771665721652084E-2</v>
      </c>
    </row>
    <row r="99" spans="1:3" x14ac:dyDescent="0.2">
      <c r="A99">
        <v>2011</v>
      </c>
      <c r="B99" t="s">
        <v>5</v>
      </c>
      <c r="C99">
        <v>0.10055656440146767</v>
      </c>
    </row>
    <row r="100" spans="1:3" x14ac:dyDescent="0.2">
      <c r="A100">
        <v>2011</v>
      </c>
      <c r="B100" t="s">
        <v>3</v>
      </c>
      <c r="C100">
        <v>0.14558761598637701</v>
      </c>
    </row>
    <row r="101" spans="1:3" x14ac:dyDescent="0.2">
      <c r="A101">
        <v>2011</v>
      </c>
      <c r="B101" t="s">
        <v>4</v>
      </c>
      <c r="C101">
        <v>0.21412736693406742</v>
      </c>
    </row>
    <row r="102" spans="1:3" x14ac:dyDescent="0.2">
      <c r="A102">
        <v>2012</v>
      </c>
      <c r="B102" t="s">
        <v>0</v>
      </c>
      <c r="C102">
        <v>7.8768060618066901E-3</v>
      </c>
    </row>
    <row r="103" spans="1:3" x14ac:dyDescent="0.2">
      <c r="A103">
        <v>2012</v>
      </c>
      <c r="B103" t="s">
        <v>1</v>
      </c>
      <c r="C103">
        <v>4.9608636348708407E-2</v>
      </c>
    </row>
    <row r="104" spans="1:3" x14ac:dyDescent="0.2">
      <c r="A104">
        <v>2012</v>
      </c>
      <c r="B104" t="s">
        <v>5</v>
      </c>
      <c r="C104">
        <v>0.10152397594294535</v>
      </c>
    </row>
    <row r="105" spans="1:3" x14ac:dyDescent="0.2">
      <c r="A105">
        <v>2012</v>
      </c>
      <c r="B105" t="s">
        <v>3</v>
      </c>
      <c r="C105">
        <v>0.14636327349364514</v>
      </c>
    </row>
    <row r="106" spans="1:3" x14ac:dyDescent="0.2">
      <c r="A106">
        <v>2012</v>
      </c>
      <c r="B106" t="s">
        <v>4</v>
      </c>
      <c r="C106">
        <v>0.21520725576914085</v>
      </c>
    </row>
    <row r="107" spans="1:3" x14ac:dyDescent="0.2">
      <c r="A107">
        <v>2013</v>
      </c>
      <c r="B107" t="s">
        <v>0</v>
      </c>
      <c r="C107">
        <v>6.3189577929951904E-3</v>
      </c>
    </row>
    <row r="108" spans="1:3" x14ac:dyDescent="0.2">
      <c r="A108">
        <v>2013</v>
      </c>
      <c r="B108" t="s">
        <v>1</v>
      </c>
      <c r="C108">
        <v>4.8506748333367954E-2</v>
      </c>
    </row>
    <row r="109" spans="1:3" x14ac:dyDescent="0.2">
      <c r="A109">
        <v>2013</v>
      </c>
      <c r="B109" t="s">
        <v>5</v>
      </c>
      <c r="C109">
        <v>0.10153589043495277</v>
      </c>
    </row>
    <row r="110" spans="1:3" x14ac:dyDescent="0.2">
      <c r="A110">
        <v>2013</v>
      </c>
      <c r="B110" t="s">
        <v>3</v>
      </c>
      <c r="C110">
        <v>0.14673691916934467</v>
      </c>
    </row>
    <row r="111" spans="1:3" x14ac:dyDescent="0.2">
      <c r="A111">
        <v>2013</v>
      </c>
      <c r="B111" t="s">
        <v>4</v>
      </c>
      <c r="C111">
        <v>0.21564062165343739</v>
      </c>
    </row>
    <row r="112" spans="1:3" x14ac:dyDescent="0.2">
      <c r="A112">
        <v>2014</v>
      </c>
      <c r="B112" t="s">
        <v>0</v>
      </c>
      <c r="C112">
        <v>6.4229486985951318E-3</v>
      </c>
    </row>
    <row r="113" spans="1:3" x14ac:dyDescent="0.2">
      <c r="A113">
        <v>2014</v>
      </c>
      <c r="B113" t="s">
        <v>1</v>
      </c>
      <c r="C113">
        <v>5.0550520619786835E-2</v>
      </c>
    </row>
    <row r="114" spans="1:3" x14ac:dyDescent="0.2">
      <c r="A114">
        <v>2014</v>
      </c>
      <c r="B114" t="s">
        <v>5</v>
      </c>
      <c r="C114">
        <v>0.10362166206969808</v>
      </c>
    </row>
    <row r="115" spans="1:3" x14ac:dyDescent="0.2">
      <c r="A115">
        <v>2014</v>
      </c>
      <c r="B115" t="s">
        <v>3</v>
      </c>
      <c r="C115">
        <v>0.14679766156743346</v>
      </c>
    </row>
    <row r="116" spans="1:3" x14ac:dyDescent="0.2">
      <c r="A116">
        <v>2014</v>
      </c>
      <c r="B116" t="s">
        <v>4</v>
      </c>
      <c r="C116">
        <v>0.21619494552599322</v>
      </c>
    </row>
    <row r="117" spans="1:3" x14ac:dyDescent="0.2">
      <c r="A117">
        <v>2015</v>
      </c>
      <c r="B117" t="s">
        <v>0</v>
      </c>
      <c r="C117">
        <v>6.960655631183278E-3</v>
      </c>
    </row>
    <row r="118" spans="1:3" x14ac:dyDescent="0.2">
      <c r="A118">
        <v>2015</v>
      </c>
      <c r="B118" t="s">
        <v>1</v>
      </c>
      <c r="C118">
        <v>5.2344742363719485E-2</v>
      </c>
    </row>
    <row r="119" spans="1:3" x14ac:dyDescent="0.2">
      <c r="A119">
        <v>2015</v>
      </c>
      <c r="B119" t="s">
        <v>5</v>
      </c>
      <c r="C119">
        <v>0.1056679133392967</v>
      </c>
    </row>
    <row r="120" spans="1:3" x14ac:dyDescent="0.2">
      <c r="A120">
        <v>2015</v>
      </c>
      <c r="B120" t="s">
        <v>3</v>
      </c>
      <c r="C120">
        <v>0.14823589623212549</v>
      </c>
    </row>
    <row r="121" spans="1:3" x14ac:dyDescent="0.2">
      <c r="A121">
        <v>2015</v>
      </c>
      <c r="B121" t="s">
        <v>4</v>
      </c>
      <c r="C121">
        <v>0.22113019611174489</v>
      </c>
    </row>
    <row r="122" spans="1:3" x14ac:dyDescent="0.2">
      <c r="A122">
        <v>2016</v>
      </c>
      <c r="B122" t="s">
        <v>0</v>
      </c>
      <c r="C122">
        <v>6.7900184245267047E-3</v>
      </c>
    </row>
    <row r="123" spans="1:3" x14ac:dyDescent="0.2">
      <c r="A123">
        <v>2016</v>
      </c>
      <c r="B123" t="s">
        <v>1</v>
      </c>
      <c r="C123">
        <v>5.1663601089838904E-2</v>
      </c>
    </row>
    <row r="124" spans="1:3" x14ac:dyDescent="0.2">
      <c r="A124">
        <v>2016</v>
      </c>
      <c r="B124" t="s">
        <v>5</v>
      </c>
      <c r="C124">
        <v>0.10271699469744103</v>
      </c>
    </row>
    <row r="125" spans="1:3" x14ac:dyDescent="0.2">
      <c r="A125">
        <v>2016</v>
      </c>
      <c r="B125" t="s">
        <v>3</v>
      </c>
      <c r="C125">
        <v>0.14503260887882322</v>
      </c>
    </row>
    <row r="126" spans="1:3" x14ac:dyDescent="0.2">
      <c r="A126">
        <v>2016</v>
      </c>
      <c r="B126" t="s">
        <v>4</v>
      </c>
      <c r="C126">
        <v>0.21547971425645618</v>
      </c>
    </row>
    <row r="127" spans="1:3" x14ac:dyDescent="0.2">
      <c r="A127">
        <v>2017</v>
      </c>
      <c r="B127" t="s">
        <v>0</v>
      </c>
      <c r="C127">
        <v>6.9386552037868574E-3</v>
      </c>
    </row>
    <row r="128" spans="1:3" x14ac:dyDescent="0.2">
      <c r="A128">
        <v>2017</v>
      </c>
      <c r="B128" t="s">
        <v>1</v>
      </c>
      <c r="C128">
        <v>5.1434604282651633E-2</v>
      </c>
    </row>
    <row r="129" spans="1:3" x14ac:dyDescent="0.2">
      <c r="A129">
        <v>2017</v>
      </c>
      <c r="B129" t="s">
        <v>5</v>
      </c>
      <c r="C129">
        <v>0.10163877611148707</v>
      </c>
    </row>
    <row r="130" spans="1:3" x14ac:dyDescent="0.2">
      <c r="A130">
        <v>2017</v>
      </c>
      <c r="B130" t="s">
        <v>3</v>
      </c>
      <c r="C130">
        <v>0.14377357344560709</v>
      </c>
    </row>
    <row r="131" spans="1:3" x14ac:dyDescent="0.2">
      <c r="A131">
        <v>2017</v>
      </c>
      <c r="B131" t="s">
        <v>4</v>
      </c>
      <c r="C131">
        <v>0.21675042571733291</v>
      </c>
    </row>
    <row r="132" spans="1:3" x14ac:dyDescent="0.2">
      <c r="A132">
        <v>2018</v>
      </c>
      <c r="B132" t="s">
        <v>0</v>
      </c>
      <c r="C132">
        <v>7.1472768119416113E-3</v>
      </c>
    </row>
    <row r="133" spans="1:3" x14ac:dyDescent="0.2">
      <c r="A133">
        <v>2018</v>
      </c>
      <c r="B133" t="s">
        <v>1</v>
      </c>
      <c r="C133">
        <v>5.3998764933901156E-2</v>
      </c>
    </row>
    <row r="134" spans="1:3" x14ac:dyDescent="0.2">
      <c r="A134">
        <v>2018</v>
      </c>
      <c r="B134" t="s">
        <v>5</v>
      </c>
      <c r="C134">
        <v>0.10381568266114972</v>
      </c>
    </row>
    <row r="135" spans="1:3" x14ac:dyDescent="0.2">
      <c r="A135">
        <v>2018</v>
      </c>
      <c r="B135" t="s">
        <v>3</v>
      </c>
      <c r="C135">
        <v>0.14539977866227308</v>
      </c>
    </row>
    <row r="136" spans="1:3" x14ac:dyDescent="0.2">
      <c r="A136">
        <v>2018</v>
      </c>
      <c r="B136" t="s">
        <v>4</v>
      </c>
      <c r="C136">
        <v>0.22015004089517848</v>
      </c>
    </row>
    <row r="137" spans="1:3" x14ac:dyDescent="0.2">
      <c r="A137">
        <v>2019</v>
      </c>
      <c r="B137" t="s">
        <v>0</v>
      </c>
      <c r="C137">
        <v>6.3953179434207358E-3</v>
      </c>
    </row>
    <row r="138" spans="1:3" x14ac:dyDescent="0.2">
      <c r="A138">
        <v>2019</v>
      </c>
      <c r="B138" t="s">
        <v>1</v>
      </c>
      <c r="C138">
        <v>5.241013081710294E-2</v>
      </c>
    </row>
    <row r="139" spans="1:3" x14ac:dyDescent="0.2">
      <c r="A139">
        <v>2019</v>
      </c>
      <c r="B139" t="s">
        <v>5</v>
      </c>
      <c r="C139">
        <v>0.10243848607220522</v>
      </c>
    </row>
    <row r="140" spans="1:3" x14ac:dyDescent="0.2">
      <c r="A140">
        <v>2019</v>
      </c>
      <c r="B140" t="s">
        <v>3</v>
      </c>
      <c r="C140">
        <v>0.14435625825392448</v>
      </c>
    </row>
    <row r="141" spans="1:3" x14ac:dyDescent="0.2">
      <c r="A141">
        <v>2019</v>
      </c>
      <c r="B141" t="s">
        <v>4</v>
      </c>
      <c r="C141">
        <v>0.21948595837506849</v>
      </c>
    </row>
    <row r="142" spans="1:3" x14ac:dyDescent="0.2">
      <c r="A142">
        <v>2020</v>
      </c>
      <c r="B142" t="s">
        <v>0</v>
      </c>
      <c r="C142">
        <v>1.4556831950182904E-2</v>
      </c>
    </row>
    <row r="143" spans="1:3" x14ac:dyDescent="0.2">
      <c r="A143">
        <v>2020</v>
      </c>
      <c r="B143" t="s">
        <v>1</v>
      </c>
      <c r="C143">
        <v>6.2006699059938331E-2</v>
      </c>
    </row>
    <row r="144" spans="1:3" x14ac:dyDescent="0.2">
      <c r="A144">
        <v>2020</v>
      </c>
      <c r="B144" t="s">
        <v>5</v>
      </c>
      <c r="C144">
        <v>0.10444540691392232</v>
      </c>
    </row>
    <row r="145" spans="1:3" x14ac:dyDescent="0.2">
      <c r="A145">
        <v>2020</v>
      </c>
      <c r="B145" t="s">
        <v>3</v>
      </c>
      <c r="C145">
        <v>0.14256380779678779</v>
      </c>
    </row>
    <row r="146" spans="1:3" x14ac:dyDescent="0.2">
      <c r="A146">
        <v>2020</v>
      </c>
      <c r="B146" t="s">
        <v>4</v>
      </c>
      <c r="C146">
        <v>0.21817836645731811</v>
      </c>
    </row>
    <row r="147" spans="1:3" x14ac:dyDescent="0.2">
      <c r="A147">
        <v>2021</v>
      </c>
      <c r="B147" t="s">
        <v>0</v>
      </c>
      <c r="C147">
        <v>1.1659913908286457E-2</v>
      </c>
    </row>
    <row r="148" spans="1:3" x14ac:dyDescent="0.2">
      <c r="A148">
        <v>2021</v>
      </c>
      <c r="B148" t="s">
        <v>1</v>
      </c>
      <c r="C148">
        <v>6.0705545200025066E-2</v>
      </c>
    </row>
    <row r="149" spans="1:3" x14ac:dyDescent="0.2">
      <c r="A149">
        <v>2021</v>
      </c>
      <c r="B149" t="s">
        <v>5</v>
      </c>
      <c r="C149">
        <v>0.10669828701066009</v>
      </c>
    </row>
    <row r="150" spans="1:3" x14ac:dyDescent="0.2">
      <c r="A150">
        <v>2021</v>
      </c>
      <c r="B150" t="s">
        <v>3</v>
      </c>
      <c r="C150">
        <v>0.14559901587437135</v>
      </c>
    </row>
    <row r="151" spans="1:3" x14ac:dyDescent="0.2">
      <c r="A151">
        <v>2021</v>
      </c>
      <c r="B151" t="s">
        <v>4</v>
      </c>
      <c r="C151">
        <v>0.22180457847016369</v>
      </c>
    </row>
    <row r="152" spans="1:3" x14ac:dyDescent="0.2">
      <c r="A152">
        <v>2022</v>
      </c>
      <c r="B152" t="s">
        <v>0</v>
      </c>
      <c r="C152">
        <v>5.5738808872442622E-3</v>
      </c>
    </row>
    <row r="153" spans="1:3" x14ac:dyDescent="0.2">
      <c r="A153">
        <v>2022</v>
      </c>
      <c r="B153" t="s">
        <v>1</v>
      </c>
      <c r="C153">
        <v>5.1994922952674022E-2</v>
      </c>
    </row>
    <row r="154" spans="1:3" x14ac:dyDescent="0.2">
      <c r="A154">
        <v>2022</v>
      </c>
      <c r="B154" t="s">
        <v>5</v>
      </c>
      <c r="C154">
        <v>0.10435180600298626</v>
      </c>
    </row>
    <row r="155" spans="1:3" x14ac:dyDescent="0.2">
      <c r="A155">
        <v>2022</v>
      </c>
      <c r="B155" t="s">
        <v>3</v>
      </c>
      <c r="C155">
        <v>0.14627107035429379</v>
      </c>
    </row>
    <row r="156" spans="1:3" x14ac:dyDescent="0.2">
      <c r="A156">
        <v>2022</v>
      </c>
      <c r="B156" t="s">
        <v>4</v>
      </c>
      <c r="C156">
        <v>0.22618708339913079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AC65-E2FB-1F4F-B7A9-2D7DC724D3FE}">
  <dimension ref="A1:P216"/>
  <sheetViews>
    <sheetView tabSelected="1" zoomScaleNormal="100" workbookViewId="0">
      <selection activeCell="V4" sqref="V4"/>
    </sheetView>
  </sheetViews>
  <sheetFormatPr baseColWidth="10" defaultRowHeight="16" x14ac:dyDescent="0.2"/>
  <cols>
    <col min="1" max="1" width="5.1640625" bestFit="1" customWidth="1"/>
    <col min="2" max="2" width="14.1640625" bestFit="1" customWidth="1"/>
    <col min="3" max="3" width="28.5" bestFit="1" customWidth="1"/>
    <col min="13" max="13" width="14" bestFit="1" customWidth="1"/>
    <col min="14" max="14" width="14.83203125" bestFit="1" customWidth="1"/>
    <col min="15" max="15" width="15.1640625" bestFit="1" customWidth="1"/>
    <col min="16" max="16" width="12" customWidth="1"/>
  </cols>
  <sheetData>
    <row r="1" spans="1:16" x14ac:dyDescent="0.2">
      <c r="A1" t="s">
        <v>10</v>
      </c>
      <c r="B1" t="s">
        <v>11</v>
      </c>
      <c r="C1" t="s">
        <v>12</v>
      </c>
      <c r="M1" s="1" t="s">
        <v>8</v>
      </c>
      <c r="N1" s="3" t="s">
        <v>17</v>
      </c>
      <c r="O1" s="3" t="s">
        <v>18</v>
      </c>
      <c r="P1" t="s">
        <v>13</v>
      </c>
    </row>
    <row r="2" spans="1:16" x14ac:dyDescent="0.2">
      <c r="A2">
        <v>1979</v>
      </c>
      <c r="B2" t="s">
        <v>0</v>
      </c>
      <c r="C2">
        <v>9.3567251461988299E-2</v>
      </c>
      <c r="N2">
        <v>0</v>
      </c>
      <c r="O2">
        <v>0</v>
      </c>
    </row>
    <row r="3" spans="1:16" x14ac:dyDescent="0.2">
      <c r="A3">
        <v>1979</v>
      </c>
      <c r="B3" t="s">
        <v>1</v>
      </c>
      <c r="C3">
        <v>0.15048543689320387</v>
      </c>
      <c r="M3" t="s">
        <v>0</v>
      </c>
      <c r="N3" s="2">
        <f>C2</f>
        <v>9.3567251461988299E-2</v>
      </c>
      <c r="O3" s="2">
        <f>C212</f>
        <v>-0.2311111111111111</v>
      </c>
      <c r="P3" s="2">
        <f>O3-N3</f>
        <v>-0.3246783625730994</v>
      </c>
    </row>
    <row r="4" spans="1:16" x14ac:dyDescent="0.2">
      <c r="A4">
        <v>1979</v>
      </c>
      <c r="B4" t="s">
        <v>2</v>
      </c>
      <c r="C4">
        <v>0.19017432646592711</v>
      </c>
      <c r="M4" t="s">
        <v>1</v>
      </c>
      <c r="N4" s="2">
        <f t="shared" ref="N4:N6" si="0">C3</f>
        <v>0.15048543689320387</v>
      </c>
      <c r="O4" s="2">
        <f t="shared" ref="O4:O7" si="1">C213</f>
        <v>1.8656716417910447E-3</v>
      </c>
      <c r="P4" s="2">
        <f t="shared" ref="P4:P7" si="2">O4-N4</f>
        <v>-0.14861976525141282</v>
      </c>
    </row>
    <row r="5" spans="1:16" x14ac:dyDescent="0.2">
      <c r="A5">
        <v>1979</v>
      </c>
      <c r="B5" t="s">
        <v>3</v>
      </c>
      <c r="C5">
        <v>0.21703617269544925</v>
      </c>
      <c r="M5" t="s">
        <v>5</v>
      </c>
      <c r="N5" s="2">
        <f t="shared" si="0"/>
        <v>0.19017432646592711</v>
      </c>
      <c r="O5" s="2">
        <f t="shared" si="1"/>
        <v>7.7456647398843934E-2</v>
      </c>
      <c r="P5" s="2">
        <f t="shared" si="2"/>
        <v>-0.11271767906708317</v>
      </c>
    </row>
    <row r="6" spans="1:16" x14ac:dyDescent="0.2">
      <c r="A6">
        <v>1979</v>
      </c>
      <c r="B6" t="s">
        <v>4</v>
      </c>
      <c r="C6">
        <v>0.27138461538461539</v>
      </c>
      <c r="M6" t="s">
        <v>15</v>
      </c>
      <c r="N6" s="2">
        <f t="shared" si="0"/>
        <v>0.21703617269544925</v>
      </c>
      <c r="O6" s="2">
        <f t="shared" si="1"/>
        <v>0.13962264150943396</v>
      </c>
      <c r="P6" s="2">
        <f t="shared" si="2"/>
        <v>-7.7413531186015294E-2</v>
      </c>
    </row>
    <row r="7" spans="1:16" x14ac:dyDescent="0.2">
      <c r="A7">
        <v>1980</v>
      </c>
      <c r="B7" t="s">
        <v>0</v>
      </c>
      <c r="C7">
        <v>9.0909090909090912E-2</v>
      </c>
      <c r="M7" t="s">
        <v>16</v>
      </c>
      <c r="N7" s="2">
        <f>C6</f>
        <v>0.27138461538461539</v>
      </c>
      <c r="O7" s="2">
        <f t="shared" si="1"/>
        <v>0.24778761061946902</v>
      </c>
      <c r="P7" s="2">
        <f t="shared" si="2"/>
        <v>-2.3597004765146368E-2</v>
      </c>
    </row>
    <row r="8" spans="1:16" x14ac:dyDescent="0.2">
      <c r="A8">
        <v>1980</v>
      </c>
      <c r="B8" t="s">
        <v>1</v>
      </c>
      <c r="C8">
        <v>0.14720812182741116</v>
      </c>
    </row>
    <row r="9" spans="1:16" x14ac:dyDescent="0.2">
      <c r="A9">
        <v>1980</v>
      </c>
      <c r="B9" t="s">
        <v>2</v>
      </c>
      <c r="C9">
        <v>0.1901639344262295</v>
      </c>
    </row>
    <row r="10" spans="1:16" x14ac:dyDescent="0.2">
      <c r="A10">
        <v>1980</v>
      </c>
      <c r="B10" t="s">
        <v>3</v>
      </c>
      <c r="C10">
        <v>0.21848739495798319</v>
      </c>
    </row>
    <row r="11" spans="1:16" x14ac:dyDescent="0.2">
      <c r="A11">
        <v>1980</v>
      </c>
      <c r="B11" t="s">
        <v>4</v>
      </c>
      <c r="C11">
        <v>0.26927939317319849</v>
      </c>
    </row>
    <row r="12" spans="1:16" x14ac:dyDescent="0.2">
      <c r="A12">
        <v>1981</v>
      </c>
      <c r="B12" t="s">
        <v>0</v>
      </c>
      <c r="C12">
        <v>9.815950920245399E-2</v>
      </c>
    </row>
    <row r="13" spans="1:16" x14ac:dyDescent="0.2">
      <c r="A13">
        <v>1981</v>
      </c>
      <c r="B13" t="s">
        <v>1</v>
      </c>
      <c r="C13">
        <v>0.15306122448979592</v>
      </c>
    </row>
    <row r="14" spans="1:16" x14ac:dyDescent="0.2">
      <c r="A14">
        <v>1981</v>
      </c>
      <c r="B14" t="s">
        <v>2</v>
      </c>
      <c r="C14">
        <v>0.19471947194719472</v>
      </c>
    </row>
    <row r="15" spans="1:16" x14ac:dyDescent="0.2">
      <c r="A15">
        <v>1981</v>
      </c>
      <c r="B15" t="s">
        <v>3</v>
      </c>
      <c r="C15">
        <v>0.22327790973871733</v>
      </c>
    </row>
    <row r="16" spans="1:16" x14ac:dyDescent="0.2">
      <c r="A16">
        <v>1981</v>
      </c>
      <c r="B16" t="s">
        <v>4</v>
      </c>
      <c r="C16">
        <v>0.26649746192893403</v>
      </c>
    </row>
    <row r="17" spans="1:3" x14ac:dyDescent="0.2">
      <c r="A17">
        <v>1982</v>
      </c>
      <c r="B17" t="s">
        <v>0</v>
      </c>
      <c r="C17">
        <v>9.5541401273885357E-2</v>
      </c>
    </row>
    <row r="18" spans="1:3" x14ac:dyDescent="0.2">
      <c r="A18">
        <v>1982</v>
      </c>
      <c r="B18" t="s">
        <v>1</v>
      </c>
      <c r="C18">
        <v>0.14099216710182769</v>
      </c>
    </row>
    <row r="19" spans="1:3" x14ac:dyDescent="0.2">
      <c r="A19">
        <v>1982</v>
      </c>
      <c r="B19" t="s">
        <v>2</v>
      </c>
      <c r="C19">
        <v>0.18090452261306533</v>
      </c>
    </row>
    <row r="20" spans="1:3" x14ac:dyDescent="0.2">
      <c r="A20">
        <v>1982</v>
      </c>
      <c r="B20" t="s">
        <v>3</v>
      </c>
      <c r="C20">
        <v>0.20623501199040767</v>
      </c>
    </row>
    <row r="21" spans="1:3" x14ac:dyDescent="0.2">
      <c r="A21">
        <v>1982</v>
      </c>
      <c r="B21" t="s">
        <v>4</v>
      </c>
      <c r="C21">
        <v>0.24196597353497165</v>
      </c>
    </row>
    <row r="22" spans="1:3" x14ac:dyDescent="0.2">
      <c r="A22">
        <v>1983</v>
      </c>
      <c r="B22" t="s">
        <v>0</v>
      </c>
      <c r="C22">
        <v>0.11333333333333333</v>
      </c>
    </row>
    <row r="23" spans="1:3" x14ac:dyDescent="0.2">
      <c r="A23">
        <v>1983</v>
      </c>
      <c r="B23" t="s">
        <v>1</v>
      </c>
      <c r="C23">
        <v>0.13941018766756033</v>
      </c>
    </row>
    <row r="24" spans="1:3" x14ac:dyDescent="0.2">
      <c r="A24">
        <v>1983</v>
      </c>
      <c r="B24" t="s">
        <v>2</v>
      </c>
      <c r="C24">
        <v>0.17487266553480477</v>
      </c>
    </row>
    <row r="25" spans="1:3" x14ac:dyDescent="0.2">
      <c r="A25">
        <v>1983</v>
      </c>
      <c r="B25" t="s">
        <v>3</v>
      </c>
      <c r="C25">
        <v>0.20120481927710843</v>
      </c>
    </row>
    <row r="26" spans="1:3" x14ac:dyDescent="0.2">
      <c r="A26">
        <v>1983</v>
      </c>
      <c r="B26" t="s">
        <v>4</v>
      </c>
      <c r="C26">
        <v>0.23586626139817629</v>
      </c>
    </row>
    <row r="27" spans="1:3" x14ac:dyDescent="0.2">
      <c r="A27">
        <v>1984</v>
      </c>
      <c r="B27" t="s">
        <v>0</v>
      </c>
      <c r="C27">
        <v>0.12345679012345678</v>
      </c>
    </row>
    <row r="28" spans="1:3" x14ac:dyDescent="0.2">
      <c r="A28">
        <v>1984</v>
      </c>
      <c r="B28" t="s">
        <v>1</v>
      </c>
      <c r="C28">
        <v>0.14824120603015076</v>
      </c>
    </row>
    <row r="29" spans="1:3" x14ac:dyDescent="0.2">
      <c r="A29">
        <v>1984</v>
      </c>
      <c r="B29" t="s">
        <v>2</v>
      </c>
      <c r="C29">
        <v>0.17948717948717949</v>
      </c>
    </row>
    <row r="30" spans="1:3" x14ac:dyDescent="0.2">
      <c r="A30">
        <v>1984</v>
      </c>
      <c r="B30" t="s">
        <v>3</v>
      </c>
      <c r="C30">
        <v>0.20274914089347079</v>
      </c>
    </row>
    <row r="31" spans="1:3" x14ac:dyDescent="0.2">
      <c r="A31">
        <v>1984</v>
      </c>
      <c r="B31" t="s">
        <v>4</v>
      </c>
      <c r="C31">
        <v>0.23766816143497757</v>
      </c>
    </row>
    <row r="32" spans="1:3" x14ac:dyDescent="0.2">
      <c r="A32">
        <v>1985</v>
      </c>
      <c r="B32" t="s">
        <v>0</v>
      </c>
      <c r="C32">
        <v>0.11801242236024845</v>
      </c>
    </row>
    <row r="33" spans="1:3" x14ac:dyDescent="0.2">
      <c r="A33">
        <v>1985</v>
      </c>
      <c r="B33" t="s">
        <v>1</v>
      </c>
      <c r="C33">
        <v>0.15113350125944586</v>
      </c>
    </row>
    <row r="34" spans="1:3" x14ac:dyDescent="0.2">
      <c r="A34">
        <v>1985</v>
      </c>
      <c r="B34" t="s">
        <v>2</v>
      </c>
      <c r="C34">
        <v>0.18240000000000001</v>
      </c>
    </row>
    <row r="35" spans="1:3" x14ac:dyDescent="0.2">
      <c r="A35">
        <v>1985</v>
      </c>
      <c r="B35" t="s">
        <v>3</v>
      </c>
      <c r="C35">
        <v>0.204337899543379</v>
      </c>
    </row>
    <row r="36" spans="1:3" x14ac:dyDescent="0.2">
      <c r="A36">
        <v>1985</v>
      </c>
      <c r="B36" t="s">
        <v>4</v>
      </c>
      <c r="C36">
        <v>0.23698781838316721</v>
      </c>
    </row>
    <row r="37" spans="1:3" x14ac:dyDescent="0.2">
      <c r="A37">
        <v>1986</v>
      </c>
      <c r="B37" t="s">
        <v>0</v>
      </c>
      <c r="C37">
        <v>0.11949685534591195</v>
      </c>
    </row>
    <row r="38" spans="1:3" x14ac:dyDescent="0.2">
      <c r="A38">
        <v>1986</v>
      </c>
      <c r="B38" t="s">
        <v>1</v>
      </c>
      <c r="C38">
        <v>0.14925373134328357</v>
      </c>
    </row>
    <row r="39" spans="1:3" x14ac:dyDescent="0.2">
      <c r="A39">
        <v>1986</v>
      </c>
      <c r="B39" t="s">
        <v>2</v>
      </c>
      <c r="C39">
        <v>0.18181818181818182</v>
      </c>
    </row>
    <row r="40" spans="1:3" x14ac:dyDescent="0.2">
      <c r="A40">
        <v>1986</v>
      </c>
      <c r="B40" t="s">
        <v>3</v>
      </c>
      <c r="C40">
        <v>0.20529801324503311</v>
      </c>
    </row>
    <row r="41" spans="1:3" x14ac:dyDescent="0.2">
      <c r="A41">
        <v>1986</v>
      </c>
      <c r="B41" t="s">
        <v>4</v>
      </c>
      <c r="C41">
        <v>0.23532313764183521</v>
      </c>
    </row>
    <row r="42" spans="1:3" x14ac:dyDescent="0.2">
      <c r="A42">
        <v>1987</v>
      </c>
      <c r="B42" t="s">
        <v>0</v>
      </c>
      <c r="C42">
        <v>0.10457516339869281</v>
      </c>
    </row>
    <row r="43" spans="1:3" x14ac:dyDescent="0.2">
      <c r="A43">
        <v>1987</v>
      </c>
      <c r="B43" t="s">
        <v>1</v>
      </c>
      <c r="C43">
        <v>0.14285714285714285</v>
      </c>
    </row>
    <row r="44" spans="1:3" x14ac:dyDescent="0.2">
      <c r="A44">
        <v>1987</v>
      </c>
      <c r="B44" t="s">
        <v>2</v>
      </c>
      <c r="C44">
        <v>0.17851500789889416</v>
      </c>
    </row>
    <row r="45" spans="1:3" x14ac:dyDescent="0.2">
      <c r="A45">
        <v>1987</v>
      </c>
      <c r="B45" t="s">
        <v>3</v>
      </c>
      <c r="C45">
        <v>0.20417124039517015</v>
      </c>
    </row>
    <row r="46" spans="1:3" x14ac:dyDescent="0.2">
      <c r="A46">
        <v>1987</v>
      </c>
      <c r="B46" t="s">
        <v>4</v>
      </c>
      <c r="C46">
        <v>0.25586242834809797</v>
      </c>
    </row>
    <row r="47" spans="1:3" x14ac:dyDescent="0.2">
      <c r="A47">
        <v>1988</v>
      </c>
      <c r="B47" t="s">
        <v>0</v>
      </c>
      <c r="C47">
        <v>0.10062893081761007</v>
      </c>
    </row>
    <row r="48" spans="1:3" x14ac:dyDescent="0.2">
      <c r="A48">
        <v>1988</v>
      </c>
      <c r="B48" t="s">
        <v>1</v>
      </c>
      <c r="C48">
        <v>0.14786967418546365</v>
      </c>
    </row>
    <row r="49" spans="1:3" x14ac:dyDescent="0.2">
      <c r="A49">
        <v>1988</v>
      </c>
      <c r="B49" t="s">
        <v>2</v>
      </c>
      <c r="C49">
        <v>0.18195956454121306</v>
      </c>
    </row>
    <row r="50" spans="1:3" x14ac:dyDescent="0.2">
      <c r="A50">
        <v>1988</v>
      </c>
      <c r="B50" t="s">
        <v>3</v>
      </c>
      <c r="C50">
        <v>0.20828789531079608</v>
      </c>
    </row>
    <row r="51" spans="1:3" x14ac:dyDescent="0.2">
      <c r="A51">
        <v>1988</v>
      </c>
      <c r="B51" t="s">
        <v>4</v>
      </c>
      <c r="C51">
        <v>0.25365141187925999</v>
      </c>
    </row>
    <row r="52" spans="1:3" x14ac:dyDescent="0.2">
      <c r="A52">
        <v>1989</v>
      </c>
      <c r="B52" t="s">
        <v>0</v>
      </c>
      <c r="C52">
        <v>9.6385542168674704E-2</v>
      </c>
    </row>
    <row r="53" spans="1:3" x14ac:dyDescent="0.2">
      <c r="A53">
        <v>1989</v>
      </c>
      <c r="B53" t="s">
        <v>1</v>
      </c>
      <c r="C53">
        <v>0.14392059553349876</v>
      </c>
    </row>
    <row r="54" spans="1:3" x14ac:dyDescent="0.2">
      <c r="A54">
        <v>1989</v>
      </c>
      <c r="B54" t="s">
        <v>2</v>
      </c>
      <c r="C54">
        <v>0.18153846153846154</v>
      </c>
    </row>
    <row r="55" spans="1:3" x14ac:dyDescent="0.2">
      <c r="A55">
        <v>1989</v>
      </c>
      <c r="B55" t="s">
        <v>3</v>
      </c>
      <c r="C55">
        <v>0.20797413793103448</v>
      </c>
    </row>
    <row r="56" spans="1:3" x14ac:dyDescent="0.2">
      <c r="A56">
        <v>1989</v>
      </c>
      <c r="B56" t="s">
        <v>4</v>
      </c>
      <c r="C56">
        <v>0.25024437927663734</v>
      </c>
    </row>
    <row r="57" spans="1:3" x14ac:dyDescent="0.2">
      <c r="A57">
        <v>1990</v>
      </c>
      <c r="B57" t="s">
        <v>0</v>
      </c>
      <c r="C57">
        <v>0.10526315789473684</v>
      </c>
    </row>
    <row r="58" spans="1:3" x14ac:dyDescent="0.2">
      <c r="A58">
        <v>1990</v>
      </c>
      <c r="B58" t="s">
        <v>1</v>
      </c>
      <c r="C58">
        <v>0.14903846153846154</v>
      </c>
    </row>
    <row r="59" spans="1:3" x14ac:dyDescent="0.2">
      <c r="A59">
        <v>1990</v>
      </c>
      <c r="B59" t="s">
        <v>2</v>
      </c>
      <c r="C59">
        <v>0.18195718654434251</v>
      </c>
    </row>
    <row r="60" spans="1:3" x14ac:dyDescent="0.2">
      <c r="A60">
        <v>1990</v>
      </c>
      <c r="B60" t="s">
        <v>3</v>
      </c>
      <c r="C60">
        <v>0.20783460282916214</v>
      </c>
    </row>
    <row r="61" spans="1:3" x14ac:dyDescent="0.2">
      <c r="A61">
        <v>1990</v>
      </c>
      <c r="B61" t="s">
        <v>4</v>
      </c>
      <c r="C61">
        <v>0.24937406109163746</v>
      </c>
    </row>
    <row r="62" spans="1:3" x14ac:dyDescent="0.2">
      <c r="A62">
        <v>1991</v>
      </c>
      <c r="B62" t="s">
        <v>0</v>
      </c>
      <c r="C62">
        <v>9.8837209302325577E-2</v>
      </c>
    </row>
    <row r="63" spans="1:3" x14ac:dyDescent="0.2">
      <c r="A63">
        <v>1991</v>
      </c>
      <c r="B63" t="s">
        <v>1</v>
      </c>
      <c r="C63">
        <v>0.14532019704433496</v>
      </c>
    </row>
    <row r="64" spans="1:3" x14ac:dyDescent="0.2">
      <c r="A64">
        <v>1991</v>
      </c>
      <c r="B64" t="s">
        <v>2</v>
      </c>
      <c r="C64">
        <v>0.17757009345794392</v>
      </c>
    </row>
    <row r="65" spans="1:3" x14ac:dyDescent="0.2">
      <c r="A65">
        <v>1991</v>
      </c>
      <c r="B65" t="s">
        <v>3</v>
      </c>
      <c r="C65">
        <v>0.20591456736035049</v>
      </c>
    </row>
    <row r="66" spans="1:3" x14ac:dyDescent="0.2">
      <c r="A66">
        <v>1991</v>
      </c>
      <c r="B66" t="s">
        <v>4</v>
      </c>
      <c r="C66">
        <v>0.25194401244167963</v>
      </c>
    </row>
    <row r="67" spans="1:3" x14ac:dyDescent="0.2">
      <c r="A67">
        <v>1992</v>
      </c>
      <c r="B67" t="s">
        <v>0</v>
      </c>
      <c r="C67">
        <v>9.8265895953757232E-2</v>
      </c>
    </row>
    <row r="68" spans="1:3" x14ac:dyDescent="0.2">
      <c r="A68">
        <v>1992</v>
      </c>
      <c r="B68" t="s">
        <v>1</v>
      </c>
      <c r="C68">
        <v>0.13930348258706468</v>
      </c>
    </row>
    <row r="69" spans="1:3" x14ac:dyDescent="0.2">
      <c r="A69">
        <v>1992</v>
      </c>
      <c r="B69" t="s">
        <v>2</v>
      </c>
      <c r="C69">
        <v>0.17674418604651163</v>
      </c>
    </row>
    <row r="70" spans="1:3" x14ac:dyDescent="0.2">
      <c r="A70">
        <v>1992</v>
      </c>
      <c r="B70" t="s">
        <v>3</v>
      </c>
      <c r="C70">
        <v>0.20304017372421282</v>
      </c>
    </row>
    <row r="71" spans="1:3" x14ac:dyDescent="0.2">
      <c r="A71">
        <v>1992</v>
      </c>
      <c r="B71" t="s">
        <v>4</v>
      </c>
      <c r="C71">
        <v>0.25347912524850896</v>
      </c>
    </row>
    <row r="72" spans="1:3" x14ac:dyDescent="0.2">
      <c r="A72">
        <v>1993</v>
      </c>
      <c r="B72" t="s">
        <v>0</v>
      </c>
      <c r="C72">
        <v>9.8265895953757232E-2</v>
      </c>
    </row>
    <row r="73" spans="1:3" x14ac:dyDescent="0.2">
      <c r="A73">
        <v>1993</v>
      </c>
      <c r="B73" t="s">
        <v>1</v>
      </c>
      <c r="C73">
        <v>0.13895781637717122</v>
      </c>
    </row>
    <row r="74" spans="1:3" x14ac:dyDescent="0.2">
      <c r="A74">
        <v>1993</v>
      </c>
      <c r="B74" t="s">
        <v>2</v>
      </c>
      <c r="C74">
        <v>0.17592592592592593</v>
      </c>
    </row>
    <row r="75" spans="1:3" x14ac:dyDescent="0.2">
      <c r="A75">
        <v>1993</v>
      </c>
      <c r="B75" t="s">
        <v>3</v>
      </c>
      <c r="C75">
        <v>0.20344456404736275</v>
      </c>
    </row>
    <row r="76" spans="1:3" x14ac:dyDescent="0.2">
      <c r="A76">
        <v>1993</v>
      </c>
      <c r="B76" t="s">
        <v>4</v>
      </c>
      <c r="C76">
        <v>0.26415094339622641</v>
      </c>
    </row>
    <row r="77" spans="1:3" x14ac:dyDescent="0.2">
      <c r="A77">
        <v>1994</v>
      </c>
      <c r="B77" t="s">
        <v>0</v>
      </c>
      <c r="C77">
        <v>8.0924855491329481E-2</v>
      </c>
    </row>
    <row r="78" spans="1:3" x14ac:dyDescent="0.2">
      <c r="A78">
        <v>1994</v>
      </c>
      <c r="B78" t="s">
        <v>1</v>
      </c>
      <c r="C78">
        <v>0.13480392156862744</v>
      </c>
    </row>
    <row r="79" spans="1:3" x14ac:dyDescent="0.2">
      <c r="A79">
        <v>1994</v>
      </c>
      <c r="B79" t="s">
        <v>2</v>
      </c>
      <c r="C79">
        <v>0.17692307692307693</v>
      </c>
    </row>
    <row r="80" spans="1:3" x14ac:dyDescent="0.2">
      <c r="A80">
        <v>1994</v>
      </c>
      <c r="B80" t="s">
        <v>3</v>
      </c>
      <c r="C80">
        <v>0.20616365568544101</v>
      </c>
    </row>
    <row r="81" spans="1:3" x14ac:dyDescent="0.2">
      <c r="A81">
        <v>1994</v>
      </c>
      <c r="B81" t="s">
        <v>4</v>
      </c>
      <c r="C81">
        <v>0.2710462287104623</v>
      </c>
    </row>
    <row r="82" spans="1:3" x14ac:dyDescent="0.2">
      <c r="A82">
        <v>1995</v>
      </c>
      <c r="B82" t="s">
        <v>0</v>
      </c>
      <c r="C82">
        <v>7.5268817204301078E-2</v>
      </c>
    </row>
    <row r="83" spans="1:3" x14ac:dyDescent="0.2">
      <c r="A83">
        <v>1995</v>
      </c>
      <c r="B83" t="s">
        <v>1</v>
      </c>
      <c r="C83">
        <v>0.13752913752913754</v>
      </c>
    </row>
    <row r="84" spans="1:3" x14ac:dyDescent="0.2">
      <c r="A84">
        <v>1995</v>
      </c>
      <c r="B84" t="s">
        <v>2</v>
      </c>
      <c r="C84">
        <v>0.17708333333333334</v>
      </c>
    </row>
    <row r="85" spans="1:3" x14ac:dyDescent="0.2">
      <c r="A85">
        <v>1995</v>
      </c>
      <c r="B85" t="s">
        <v>3</v>
      </c>
      <c r="C85">
        <v>0.20811654526534859</v>
      </c>
    </row>
    <row r="86" spans="1:3" x14ac:dyDescent="0.2">
      <c r="A86">
        <v>1995</v>
      </c>
      <c r="B86" t="s">
        <v>4</v>
      </c>
      <c r="C86">
        <v>0.27479147358665429</v>
      </c>
    </row>
    <row r="87" spans="1:3" x14ac:dyDescent="0.2">
      <c r="A87">
        <v>1996</v>
      </c>
      <c r="B87" t="s">
        <v>0</v>
      </c>
      <c r="C87">
        <v>7.0270270270270274E-2</v>
      </c>
    </row>
    <row r="88" spans="1:3" x14ac:dyDescent="0.2">
      <c r="A88">
        <v>1996</v>
      </c>
      <c r="B88" t="s">
        <v>1</v>
      </c>
      <c r="C88">
        <v>0.13752913752913754</v>
      </c>
    </row>
    <row r="89" spans="1:3" x14ac:dyDescent="0.2">
      <c r="A89">
        <v>1996</v>
      </c>
      <c r="B89" t="s">
        <v>2</v>
      </c>
      <c r="C89">
        <v>0.17741935483870969</v>
      </c>
    </row>
    <row r="90" spans="1:3" x14ac:dyDescent="0.2">
      <c r="A90">
        <v>1996</v>
      </c>
      <c r="B90" t="s">
        <v>3</v>
      </c>
      <c r="C90">
        <v>0.20773930753564154</v>
      </c>
    </row>
    <row r="91" spans="1:3" x14ac:dyDescent="0.2">
      <c r="A91">
        <v>1996</v>
      </c>
      <c r="B91" t="s">
        <v>4</v>
      </c>
      <c r="C91">
        <v>0.2768758227292672</v>
      </c>
    </row>
    <row r="92" spans="1:3" x14ac:dyDescent="0.2">
      <c r="A92">
        <v>1997</v>
      </c>
      <c r="B92" t="s">
        <v>0</v>
      </c>
      <c r="C92">
        <v>7.1428571428571425E-2</v>
      </c>
    </row>
    <row r="93" spans="1:3" x14ac:dyDescent="0.2">
      <c r="A93">
        <v>1997</v>
      </c>
      <c r="B93" t="s">
        <v>1</v>
      </c>
      <c r="C93">
        <v>0.13963963963963963</v>
      </c>
    </row>
    <row r="94" spans="1:3" x14ac:dyDescent="0.2">
      <c r="A94">
        <v>1997</v>
      </c>
      <c r="B94" t="s">
        <v>2</v>
      </c>
      <c r="C94">
        <v>0.17841726618705037</v>
      </c>
    </row>
    <row r="95" spans="1:3" x14ac:dyDescent="0.2">
      <c r="A95">
        <v>1997</v>
      </c>
      <c r="B95" t="s">
        <v>3</v>
      </c>
      <c r="C95">
        <v>0.20854021847070506</v>
      </c>
    </row>
    <row r="96" spans="1:3" x14ac:dyDescent="0.2">
      <c r="A96">
        <v>1997</v>
      </c>
      <c r="B96" t="s">
        <v>4</v>
      </c>
      <c r="C96">
        <v>0.27704376548307186</v>
      </c>
    </row>
    <row r="97" spans="1:3" x14ac:dyDescent="0.2">
      <c r="A97">
        <v>1998</v>
      </c>
      <c r="B97" t="s">
        <v>0</v>
      </c>
      <c r="C97">
        <v>6.6666666666666666E-2</v>
      </c>
    </row>
    <row r="98" spans="1:3" x14ac:dyDescent="0.2">
      <c r="A98">
        <v>1998</v>
      </c>
      <c r="B98" t="s">
        <v>1</v>
      </c>
      <c r="C98">
        <v>0.13333333333333333</v>
      </c>
    </row>
    <row r="99" spans="1:3" x14ac:dyDescent="0.2">
      <c r="A99">
        <v>1998</v>
      </c>
      <c r="B99" t="s">
        <v>2</v>
      </c>
      <c r="C99">
        <v>0.17154811715481172</v>
      </c>
    </row>
    <row r="100" spans="1:3" x14ac:dyDescent="0.2">
      <c r="A100">
        <v>1998</v>
      </c>
      <c r="B100" t="s">
        <v>3</v>
      </c>
      <c r="C100">
        <v>0.20837297811607994</v>
      </c>
    </row>
    <row r="101" spans="1:3" x14ac:dyDescent="0.2">
      <c r="A101">
        <v>1998</v>
      </c>
      <c r="B101" t="s">
        <v>4</v>
      </c>
      <c r="C101">
        <v>0.27350096711798838</v>
      </c>
    </row>
    <row r="102" spans="1:3" x14ac:dyDescent="0.2">
      <c r="A102">
        <v>1999</v>
      </c>
      <c r="B102" t="s">
        <v>0</v>
      </c>
      <c r="C102">
        <v>7.3059360730593603E-2</v>
      </c>
    </row>
    <row r="103" spans="1:3" x14ac:dyDescent="0.2">
      <c r="A103">
        <v>1999</v>
      </c>
      <c r="B103" t="s">
        <v>1</v>
      </c>
      <c r="C103">
        <v>0.13664596273291926</v>
      </c>
    </row>
    <row r="104" spans="1:3" x14ac:dyDescent="0.2">
      <c r="A104">
        <v>1999</v>
      </c>
      <c r="B104" t="s">
        <v>2</v>
      </c>
      <c r="C104">
        <v>0.17232021709633649</v>
      </c>
    </row>
    <row r="105" spans="1:3" x14ac:dyDescent="0.2">
      <c r="A105">
        <v>1999</v>
      </c>
      <c r="B105" t="s">
        <v>3</v>
      </c>
      <c r="C105">
        <v>0.20921658986175115</v>
      </c>
    </row>
    <row r="106" spans="1:3" x14ac:dyDescent="0.2">
      <c r="A106">
        <v>1999</v>
      </c>
      <c r="B106" t="s">
        <v>4</v>
      </c>
      <c r="C106">
        <v>0.27771719374772807</v>
      </c>
    </row>
    <row r="107" spans="1:3" x14ac:dyDescent="0.2">
      <c r="A107">
        <v>2000</v>
      </c>
      <c r="B107" t="s">
        <v>0</v>
      </c>
      <c r="C107">
        <v>7.1090047393364927E-2</v>
      </c>
    </row>
    <row r="108" spans="1:3" x14ac:dyDescent="0.2">
      <c r="A108">
        <v>2000</v>
      </c>
      <c r="B108" t="s">
        <v>1</v>
      </c>
      <c r="C108">
        <v>0.13235294117647059</v>
      </c>
    </row>
    <row r="109" spans="1:3" x14ac:dyDescent="0.2">
      <c r="A109">
        <v>2000</v>
      </c>
      <c r="B109" t="s">
        <v>2</v>
      </c>
      <c r="C109">
        <v>0.17119565217391305</v>
      </c>
    </row>
    <row r="110" spans="1:3" x14ac:dyDescent="0.2">
      <c r="A110">
        <v>2000</v>
      </c>
      <c r="B110" t="s">
        <v>3</v>
      </c>
      <c r="C110">
        <v>0.2098092643051771</v>
      </c>
    </row>
    <row r="111" spans="1:3" x14ac:dyDescent="0.2">
      <c r="A111">
        <v>2000</v>
      </c>
      <c r="B111" t="s">
        <v>4</v>
      </c>
      <c r="C111">
        <v>0.27779702112919985</v>
      </c>
    </row>
    <row r="112" spans="1:3" x14ac:dyDescent="0.2">
      <c r="A112">
        <v>2001</v>
      </c>
      <c r="B112" t="s">
        <v>0</v>
      </c>
      <c r="C112">
        <v>5.8252427184466021E-2</v>
      </c>
    </row>
    <row r="113" spans="1:3" x14ac:dyDescent="0.2">
      <c r="A113">
        <v>2001</v>
      </c>
      <c r="B113" t="s">
        <v>1</v>
      </c>
      <c r="C113">
        <v>0.1192468619246862</v>
      </c>
    </row>
    <row r="114" spans="1:3" x14ac:dyDescent="0.2">
      <c r="A114">
        <v>2001</v>
      </c>
      <c r="B114" t="s">
        <v>2</v>
      </c>
      <c r="C114">
        <v>0.15683646112600536</v>
      </c>
    </row>
    <row r="115" spans="1:3" x14ac:dyDescent="0.2">
      <c r="A115">
        <v>2001</v>
      </c>
      <c r="B115" t="s">
        <v>3</v>
      </c>
      <c r="C115">
        <v>0.19280442804428044</v>
      </c>
    </row>
    <row r="116" spans="1:3" x14ac:dyDescent="0.2">
      <c r="A116">
        <v>2001</v>
      </c>
      <c r="B116" t="s">
        <v>4</v>
      </c>
      <c r="C116">
        <v>0.26595744680851063</v>
      </c>
    </row>
    <row r="117" spans="1:3" x14ac:dyDescent="0.2">
      <c r="A117">
        <v>2002</v>
      </c>
      <c r="B117" t="s">
        <v>0</v>
      </c>
      <c r="C117">
        <v>5.3921568627450983E-2</v>
      </c>
    </row>
    <row r="118" spans="1:3" x14ac:dyDescent="0.2">
      <c r="A118">
        <v>2002</v>
      </c>
      <c r="B118" t="s">
        <v>1</v>
      </c>
      <c r="C118">
        <v>0.10991379310344827</v>
      </c>
    </row>
    <row r="119" spans="1:3" x14ac:dyDescent="0.2">
      <c r="A119">
        <v>2002</v>
      </c>
      <c r="B119" t="s">
        <v>2</v>
      </c>
      <c r="C119">
        <v>0.15027322404371585</v>
      </c>
    </row>
    <row r="120" spans="1:3" x14ac:dyDescent="0.2">
      <c r="A120">
        <v>2002</v>
      </c>
      <c r="B120" t="s">
        <v>3</v>
      </c>
      <c r="C120">
        <v>0.18574108818011256</v>
      </c>
    </row>
    <row r="121" spans="1:3" x14ac:dyDescent="0.2">
      <c r="A121">
        <v>2002</v>
      </c>
      <c r="B121" t="s">
        <v>4</v>
      </c>
      <c r="C121">
        <v>0.25868263473053893</v>
      </c>
    </row>
    <row r="122" spans="1:3" x14ac:dyDescent="0.2">
      <c r="A122">
        <v>2003</v>
      </c>
      <c r="B122" t="s">
        <v>0</v>
      </c>
      <c r="C122">
        <v>5.4726368159203981E-2</v>
      </c>
    </row>
    <row r="123" spans="1:3" x14ac:dyDescent="0.2">
      <c r="A123">
        <v>2003</v>
      </c>
      <c r="B123" t="s">
        <v>1</v>
      </c>
      <c r="C123">
        <v>0.10239651416122005</v>
      </c>
    </row>
    <row r="124" spans="1:3" x14ac:dyDescent="0.2">
      <c r="A124">
        <v>2003</v>
      </c>
      <c r="B124" t="s">
        <v>2</v>
      </c>
      <c r="C124">
        <v>0.14246575342465753</v>
      </c>
    </row>
    <row r="125" spans="1:3" x14ac:dyDescent="0.2">
      <c r="A125">
        <v>2003</v>
      </c>
      <c r="B125" t="s">
        <v>3</v>
      </c>
      <c r="C125">
        <v>0.1790352504638219</v>
      </c>
    </row>
    <row r="126" spans="1:3" x14ac:dyDescent="0.2">
      <c r="A126">
        <v>2003</v>
      </c>
      <c r="B126" t="s">
        <v>4</v>
      </c>
      <c r="C126">
        <v>0.24777734827986084</v>
      </c>
    </row>
    <row r="127" spans="1:3" x14ac:dyDescent="0.2">
      <c r="A127">
        <v>2004</v>
      </c>
      <c r="B127" t="s">
        <v>0</v>
      </c>
      <c r="C127">
        <v>4.9261083743842367E-2</v>
      </c>
    </row>
    <row r="128" spans="1:3" x14ac:dyDescent="0.2">
      <c r="A128">
        <v>2004</v>
      </c>
      <c r="B128" t="s">
        <v>1</v>
      </c>
      <c r="C128">
        <v>0.1032258064516129</v>
      </c>
    </row>
    <row r="129" spans="1:3" x14ac:dyDescent="0.2">
      <c r="A129">
        <v>2004</v>
      </c>
      <c r="B129" t="s">
        <v>2</v>
      </c>
      <c r="C129">
        <v>0.14721485411140584</v>
      </c>
    </row>
    <row r="130" spans="1:3" x14ac:dyDescent="0.2">
      <c r="A130">
        <v>2004</v>
      </c>
      <c r="B130" t="s">
        <v>3</v>
      </c>
      <c r="C130">
        <v>0.18018018018018017</v>
      </c>
    </row>
    <row r="131" spans="1:3" x14ac:dyDescent="0.2">
      <c r="A131">
        <v>2004</v>
      </c>
      <c r="B131" t="s">
        <v>4</v>
      </c>
      <c r="C131">
        <v>0.25071022727272729</v>
      </c>
    </row>
    <row r="132" spans="1:3" x14ac:dyDescent="0.2">
      <c r="A132">
        <v>2005</v>
      </c>
      <c r="B132" t="s">
        <v>0</v>
      </c>
      <c r="C132">
        <v>5.2631578947368418E-2</v>
      </c>
    </row>
    <row r="133" spans="1:3" x14ac:dyDescent="0.2">
      <c r="A133">
        <v>2005</v>
      </c>
      <c r="B133" t="s">
        <v>1</v>
      </c>
      <c r="C133">
        <v>0.10714285714285714</v>
      </c>
    </row>
    <row r="134" spans="1:3" x14ac:dyDescent="0.2">
      <c r="A134">
        <v>2005</v>
      </c>
      <c r="B134" t="s">
        <v>2</v>
      </c>
      <c r="C134">
        <v>0.14790575916230367</v>
      </c>
    </row>
    <row r="135" spans="1:3" x14ac:dyDescent="0.2">
      <c r="A135">
        <v>2005</v>
      </c>
      <c r="B135" t="s">
        <v>3</v>
      </c>
      <c r="C135">
        <v>0.1830238726790451</v>
      </c>
    </row>
    <row r="136" spans="1:3" x14ac:dyDescent="0.2">
      <c r="A136">
        <v>2005</v>
      </c>
      <c r="B136" t="s">
        <v>4</v>
      </c>
      <c r="C136">
        <v>0.25507531106745251</v>
      </c>
    </row>
    <row r="137" spans="1:3" x14ac:dyDescent="0.2">
      <c r="A137">
        <v>2006</v>
      </c>
      <c r="B137" t="s">
        <v>0</v>
      </c>
      <c r="C137">
        <v>5.5045871559633031E-2</v>
      </c>
    </row>
    <row r="138" spans="1:3" x14ac:dyDescent="0.2">
      <c r="A138">
        <v>2006</v>
      </c>
      <c r="B138" t="s">
        <v>1</v>
      </c>
      <c r="C138">
        <v>0.10699588477366255</v>
      </c>
    </row>
    <row r="139" spans="1:3" x14ac:dyDescent="0.2">
      <c r="A139">
        <v>2006</v>
      </c>
      <c r="B139" t="s">
        <v>2</v>
      </c>
      <c r="C139">
        <v>0.14896373056994819</v>
      </c>
    </row>
    <row r="140" spans="1:3" x14ac:dyDescent="0.2">
      <c r="A140">
        <v>2006</v>
      </c>
      <c r="B140" t="s">
        <v>3</v>
      </c>
      <c r="C140">
        <v>0.18284228769497402</v>
      </c>
    </row>
    <row r="141" spans="1:3" x14ac:dyDescent="0.2">
      <c r="A141">
        <v>2006</v>
      </c>
      <c r="B141" t="s">
        <v>4</v>
      </c>
      <c r="C141">
        <v>0.25511167033658383</v>
      </c>
    </row>
    <row r="142" spans="1:3" x14ac:dyDescent="0.2">
      <c r="A142">
        <v>2007</v>
      </c>
      <c r="B142" t="s">
        <v>0</v>
      </c>
      <c r="C142">
        <v>4.7826086956521741E-2</v>
      </c>
    </row>
    <row r="143" spans="1:3" x14ac:dyDescent="0.2">
      <c r="A143">
        <v>2007</v>
      </c>
      <c r="B143" t="s">
        <v>1</v>
      </c>
      <c r="C143">
        <v>0.1111111111111111</v>
      </c>
    </row>
    <row r="144" spans="1:3" x14ac:dyDescent="0.2">
      <c r="A144">
        <v>2007</v>
      </c>
      <c r="B144" t="s">
        <v>2</v>
      </c>
      <c r="C144">
        <v>0.1476846057571965</v>
      </c>
    </row>
    <row r="145" spans="1:3" x14ac:dyDescent="0.2">
      <c r="A145">
        <v>2007</v>
      </c>
      <c r="B145" t="s">
        <v>3</v>
      </c>
      <c r="C145">
        <v>0.18104906937394247</v>
      </c>
    </row>
    <row r="146" spans="1:3" x14ac:dyDescent="0.2">
      <c r="A146">
        <v>2007</v>
      </c>
      <c r="B146" t="s">
        <v>4</v>
      </c>
      <c r="C146">
        <v>0.24780369584974249</v>
      </c>
    </row>
    <row r="147" spans="1:3" x14ac:dyDescent="0.2">
      <c r="A147">
        <v>2008</v>
      </c>
      <c r="B147" t="s">
        <v>0</v>
      </c>
      <c r="C147">
        <v>4.3859649122807015E-3</v>
      </c>
    </row>
    <row r="148" spans="1:3" x14ac:dyDescent="0.2">
      <c r="A148">
        <v>2008</v>
      </c>
      <c r="B148" t="s">
        <v>1</v>
      </c>
      <c r="C148">
        <v>7.9429735234215884E-2</v>
      </c>
    </row>
    <row r="149" spans="1:3" x14ac:dyDescent="0.2">
      <c r="A149">
        <v>2008</v>
      </c>
      <c r="B149" t="s">
        <v>2</v>
      </c>
      <c r="C149">
        <v>0.12242268041237113</v>
      </c>
    </row>
    <row r="150" spans="1:3" x14ac:dyDescent="0.2">
      <c r="A150">
        <v>2008</v>
      </c>
      <c r="B150" t="s">
        <v>3</v>
      </c>
      <c r="C150">
        <v>0.16031195840554593</v>
      </c>
    </row>
    <row r="151" spans="1:3" x14ac:dyDescent="0.2">
      <c r="A151">
        <v>2008</v>
      </c>
      <c r="B151" t="s">
        <v>4</v>
      </c>
      <c r="C151">
        <v>0.23714094856379425</v>
      </c>
    </row>
    <row r="152" spans="1:3" x14ac:dyDescent="0.2">
      <c r="A152">
        <v>2009</v>
      </c>
      <c r="B152" t="s">
        <v>0</v>
      </c>
      <c r="C152">
        <v>-9.0909090909090905E-3</v>
      </c>
    </row>
    <row r="153" spans="1:3" x14ac:dyDescent="0.2">
      <c r="A153">
        <v>2009</v>
      </c>
      <c r="B153" t="s">
        <v>1</v>
      </c>
      <c r="C153">
        <v>7.337526205450734E-2</v>
      </c>
    </row>
    <row r="154" spans="1:3" x14ac:dyDescent="0.2">
      <c r="A154">
        <v>2009</v>
      </c>
      <c r="B154" t="s">
        <v>2</v>
      </c>
      <c r="C154">
        <v>0.11811023622047244</v>
      </c>
    </row>
    <row r="155" spans="1:3" x14ac:dyDescent="0.2">
      <c r="A155">
        <v>2009</v>
      </c>
      <c r="B155" t="s">
        <v>3</v>
      </c>
      <c r="C155">
        <v>0.15486725663716813</v>
      </c>
    </row>
    <row r="156" spans="1:3" x14ac:dyDescent="0.2">
      <c r="A156">
        <v>2009</v>
      </c>
      <c r="B156" t="s">
        <v>4</v>
      </c>
      <c r="C156">
        <v>0.23263506063947079</v>
      </c>
    </row>
    <row r="157" spans="1:3" x14ac:dyDescent="0.2">
      <c r="A157">
        <v>2010</v>
      </c>
      <c r="B157" t="s">
        <v>0</v>
      </c>
      <c r="C157">
        <v>-4.6728971962616819E-3</v>
      </c>
    </row>
    <row r="158" spans="1:3" x14ac:dyDescent="0.2">
      <c r="A158">
        <v>2010</v>
      </c>
      <c r="B158" t="s">
        <v>1</v>
      </c>
      <c r="C158">
        <v>7.6595744680851063E-2</v>
      </c>
    </row>
    <row r="159" spans="1:3" x14ac:dyDescent="0.2">
      <c r="A159">
        <v>2010</v>
      </c>
      <c r="B159" t="s">
        <v>2</v>
      </c>
      <c r="C159">
        <v>0.11984021304926765</v>
      </c>
    </row>
    <row r="160" spans="1:3" x14ac:dyDescent="0.2">
      <c r="A160">
        <v>2010</v>
      </c>
      <c r="B160" t="s">
        <v>3</v>
      </c>
      <c r="C160">
        <v>0.15896980461811722</v>
      </c>
    </row>
    <row r="161" spans="1:3" x14ac:dyDescent="0.2">
      <c r="A161">
        <v>2010</v>
      </c>
      <c r="B161" t="s">
        <v>4</v>
      </c>
      <c r="C161">
        <v>0.23935234072509678</v>
      </c>
    </row>
    <row r="162" spans="1:3" x14ac:dyDescent="0.2">
      <c r="A162">
        <v>2011</v>
      </c>
      <c r="B162" t="s">
        <v>0</v>
      </c>
      <c r="C162">
        <v>0</v>
      </c>
    </row>
    <row r="163" spans="1:3" x14ac:dyDescent="0.2">
      <c r="A163">
        <v>2011</v>
      </c>
      <c r="B163" t="s">
        <v>1</v>
      </c>
      <c r="C163">
        <v>7.9059829059829057E-2</v>
      </c>
    </row>
    <row r="164" spans="1:3" x14ac:dyDescent="0.2">
      <c r="A164">
        <v>2011</v>
      </c>
      <c r="B164" t="s">
        <v>2</v>
      </c>
      <c r="C164">
        <v>0.11914323962516733</v>
      </c>
    </row>
    <row r="165" spans="1:3" x14ac:dyDescent="0.2">
      <c r="A165">
        <v>2011</v>
      </c>
      <c r="B165" t="s">
        <v>3</v>
      </c>
      <c r="C165">
        <v>0.15719360568383658</v>
      </c>
    </row>
    <row r="166" spans="1:3" x14ac:dyDescent="0.2">
      <c r="A166">
        <v>2011</v>
      </c>
      <c r="B166" t="s">
        <v>4</v>
      </c>
      <c r="C166">
        <v>0.23502785515320335</v>
      </c>
    </row>
    <row r="167" spans="1:3" x14ac:dyDescent="0.2">
      <c r="A167">
        <v>2012</v>
      </c>
      <c r="B167" t="s">
        <v>0</v>
      </c>
      <c r="C167">
        <v>4.7846889952153108E-3</v>
      </c>
    </row>
    <row r="168" spans="1:3" x14ac:dyDescent="0.2">
      <c r="A168">
        <v>2012</v>
      </c>
      <c r="B168" t="s">
        <v>1</v>
      </c>
      <c r="C168">
        <v>7.7419354838709681E-2</v>
      </c>
    </row>
    <row r="169" spans="1:3" x14ac:dyDescent="0.2">
      <c r="A169">
        <v>2012</v>
      </c>
      <c r="B169" t="s">
        <v>2</v>
      </c>
      <c r="C169">
        <v>0.12165775401069519</v>
      </c>
    </row>
    <row r="170" spans="1:3" x14ac:dyDescent="0.2">
      <c r="A170">
        <v>2012</v>
      </c>
      <c r="B170" t="s">
        <v>3</v>
      </c>
      <c r="C170">
        <v>0.15989399293286219</v>
      </c>
    </row>
    <row r="171" spans="1:3" x14ac:dyDescent="0.2">
      <c r="A171">
        <v>2012</v>
      </c>
      <c r="B171" t="s">
        <v>4</v>
      </c>
      <c r="C171">
        <v>0.23912342893973573</v>
      </c>
    </row>
    <row r="172" spans="1:3" x14ac:dyDescent="0.2">
      <c r="A172">
        <v>2013</v>
      </c>
      <c r="B172" t="s">
        <v>0</v>
      </c>
      <c r="C172">
        <v>1.8604651162790697E-2</v>
      </c>
    </row>
    <row r="173" spans="1:3" x14ac:dyDescent="0.2">
      <c r="A173">
        <v>2013</v>
      </c>
      <c r="B173" t="s">
        <v>1</v>
      </c>
      <c r="C173">
        <v>9.2631578947368426E-2</v>
      </c>
    </row>
    <row r="174" spans="1:3" x14ac:dyDescent="0.2">
      <c r="A174">
        <v>2013</v>
      </c>
      <c r="B174" t="s">
        <v>2</v>
      </c>
      <c r="C174">
        <v>0.13552631578947369</v>
      </c>
    </row>
    <row r="175" spans="1:3" x14ac:dyDescent="0.2">
      <c r="A175">
        <v>2013</v>
      </c>
      <c r="B175" t="s">
        <v>3</v>
      </c>
      <c r="C175">
        <v>0.17413793103448275</v>
      </c>
    </row>
    <row r="176" spans="1:3" x14ac:dyDescent="0.2">
      <c r="A176">
        <v>2013</v>
      </c>
      <c r="B176" t="s">
        <v>4</v>
      </c>
      <c r="C176">
        <v>0.26252505010020039</v>
      </c>
    </row>
    <row r="177" spans="1:3" x14ac:dyDescent="0.2">
      <c r="A177">
        <v>2014</v>
      </c>
      <c r="B177" t="s">
        <v>0</v>
      </c>
      <c r="C177">
        <v>1.4354066985645933E-2</v>
      </c>
    </row>
    <row r="178" spans="1:3" x14ac:dyDescent="0.2">
      <c r="A178">
        <v>2014</v>
      </c>
      <c r="B178" t="s">
        <v>1</v>
      </c>
      <c r="C178">
        <v>9.2631578947368426E-2</v>
      </c>
    </row>
    <row r="179" spans="1:3" x14ac:dyDescent="0.2">
      <c r="A179">
        <v>2014</v>
      </c>
      <c r="B179" t="s">
        <v>2</v>
      </c>
      <c r="C179">
        <v>0.13935483870967741</v>
      </c>
    </row>
    <row r="180" spans="1:3" x14ac:dyDescent="0.2">
      <c r="A180">
        <v>2014</v>
      </c>
      <c r="B180" t="s">
        <v>3</v>
      </c>
      <c r="C180">
        <v>0.17826825127334464</v>
      </c>
    </row>
    <row r="181" spans="1:3" x14ac:dyDescent="0.2">
      <c r="A181">
        <v>2014</v>
      </c>
      <c r="B181" t="s">
        <v>4</v>
      </c>
      <c r="C181">
        <v>0.26675094816687739</v>
      </c>
    </row>
    <row r="182" spans="1:3" x14ac:dyDescent="0.2">
      <c r="A182">
        <v>2015</v>
      </c>
      <c r="B182" t="s">
        <v>0</v>
      </c>
      <c r="C182">
        <v>1.3513513513513514E-2</v>
      </c>
    </row>
    <row r="183" spans="1:3" x14ac:dyDescent="0.2">
      <c r="A183">
        <v>2015</v>
      </c>
      <c r="B183" t="s">
        <v>1</v>
      </c>
      <c r="C183">
        <v>9.2369477911646583E-2</v>
      </c>
    </row>
    <row r="184" spans="1:3" x14ac:dyDescent="0.2">
      <c r="A184">
        <v>2015</v>
      </c>
      <c r="B184" t="s">
        <v>2</v>
      </c>
      <c r="C184">
        <v>0.13840399002493767</v>
      </c>
    </row>
    <row r="185" spans="1:3" x14ac:dyDescent="0.2">
      <c r="A185">
        <v>2015</v>
      </c>
      <c r="B185" t="s">
        <v>3</v>
      </c>
      <c r="C185">
        <v>0.17912900575184881</v>
      </c>
    </row>
    <row r="186" spans="1:3" x14ac:dyDescent="0.2">
      <c r="A186">
        <v>2015</v>
      </c>
      <c r="B186" t="s">
        <v>4</v>
      </c>
      <c r="C186">
        <v>0.26640219713152274</v>
      </c>
    </row>
    <row r="187" spans="1:3" x14ac:dyDescent="0.2">
      <c r="A187">
        <v>2016</v>
      </c>
      <c r="B187" t="s">
        <v>0</v>
      </c>
      <c r="C187">
        <v>1.3392857142857142E-2</v>
      </c>
    </row>
    <row r="188" spans="1:3" x14ac:dyDescent="0.2">
      <c r="A188">
        <v>2016</v>
      </c>
      <c r="B188" t="s">
        <v>1</v>
      </c>
      <c r="C188">
        <v>9.3253968253968256E-2</v>
      </c>
    </row>
    <row r="189" spans="1:3" x14ac:dyDescent="0.2">
      <c r="A189">
        <v>2016</v>
      </c>
      <c r="B189" t="s">
        <v>2</v>
      </c>
      <c r="C189">
        <v>0.13861386138613863</v>
      </c>
    </row>
    <row r="190" spans="1:3" x14ac:dyDescent="0.2">
      <c r="A190">
        <v>2016</v>
      </c>
      <c r="B190" t="s">
        <v>3</v>
      </c>
      <c r="C190">
        <v>0.17839607201309329</v>
      </c>
    </row>
    <row r="191" spans="1:3" x14ac:dyDescent="0.2">
      <c r="A191">
        <v>2016</v>
      </c>
      <c r="B191" t="s">
        <v>4</v>
      </c>
      <c r="C191">
        <v>0.26413345690454126</v>
      </c>
    </row>
    <row r="192" spans="1:3" x14ac:dyDescent="0.2">
      <c r="A192">
        <v>2017</v>
      </c>
      <c r="B192" t="s">
        <v>0</v>
      </c>
      <c r="C192">
        <v>8.8105726872246704E-3</v>
      </c>
    </row>
    <row r="193" spans="1:3" x14ac:dyDescent="0.2">
      <c r="A193">
        <v>2017</v>
      </c>
      <c r="B193" t="s">
        <v>1</v>
      </c>
      <c r="C193">
        <v>9.1976516634050876E-2</v>
      </c>
    </row>
    <row r="194" spans="1:3" x14ac:dyDescent="0.2">
      <c r="A194">
        <v>2017</v>
      </c>
      <c r="B194" t="s">
        <v>2</v>
      </c>
      <c r="C194">
        <v>0.13763702801461633</v>
      </c>
    </row>
    <row r="195" spans="1:3" x14ac:dyDescent="0.2">
      <c r="A195">
        <v>2017</v>
      </c>
      <c r="B195" t="s">
        <v>3</v>
      </c>
      <c r="C195">
        <v>0.17765273311897106</v>
      </c>
    </row>
    <row r="196" spans="1:3" x14ac:dyDescent="0.2">
      <c r="A196">
        <v>2017</v>
      </c>
      <c r="B196" t="s">
        <v>4</v>
      </c>
      <c r="C196">
        <v>0.25925925925925924</v>
      </c>
    </row>
    <row r="197" spans="1:3" x14ac:dyDescent="0.2">
      <c r="A197">
        <v>2018</v>
      </c>
      <c r="B197" t="s">
        <v>0</v>
      </c>
      <c r="C197">
        <v>-4.2918454935622317E-3</v>
      </c>
    </row>
    <row r="198" spans="1:3" x14ac:dyDescent="0.2">
      <c r="A198">
        <v>2018</v>
      </c>
      <c r="B198" t="s">
        <v>1</v>
      </c>
      <c r="C198">
        <v>8.2217973231357558E-2</v>
      </c>
    </row>
    <row r="199" spans="1:3" x14ac:dyDescent="0.2">
      <c r="A199">
        <v>2018</v>
      </c>
      <c r="B199" t="s">
        <v>2</v>
      </c>
      <c r="C199">
        <v>0.12755716004813478</v>
      </c>
    </row>
    <row r="200" spans="1:3" x14ac:dyDescent="0.2">
      <c r="A200">
        <v>2018</v>
      </c>
      <c r="B200" t="s">
        <v>3</v>
      </c>
      <c r="C200">
        <v>0.16759332803812549</v>
      </c>
    </row>
    <row r="201" spans="1:3" x14ac:dyDescent="0.2">
      <c r="A201">
        <v>2018</v>
      </c>
      <c r="B201" t="s">
        <v>4</v>
      </c>
      <c r="C201">
        <v>0.24470861119164974</v>
      </c>
    </row>
    <row r="202" spans="1:3" x14ac:dyDescent="0.2">
      <c r="A202">
        <v>2019</v>
      </c>
      <c r="B202" t="s">
        <v>0</v>
      </c>
      <c r="C202">
        <v>7.9365079365079361E-3</v>
      </c>
    </row>
    <row r="203" spans="1:3" x14ac:dyDescent="0.2">
      <c r="A203">
        <v>2019</v>
      </c>
      <c r="B203" t="s">
        <v>1</v>
      </c>
      <c r="C203">
        <v>8.9928057553956831E-2</v>
      </c>
    </row>
    <row r="204" spans="1:3" x14ac:dyDescent="0.2">
      <c r="A204">
        <v>2019</v>
      </c>
      <c r="B204" t="s">
        <v>2</v>
      </c>
      <c r="C204">
        <v>0.12933025404157045</v>
      </c>
    </row>
    <row r="205" spans="1:3" x14ac:dyDescent="0.2">
      <c r="A205">
        <v>2019</v>
      </c>
      <c r="B205" t="s">
        <v>3</v>
      </c>
      <c r="C205">
        <v>0.16717791411042945</v>
      </c>
    </row>
    <row r="206" spans="1:3" x14ac:dyDescent="0.2">
      <c r="A206">
        <v>2019</v>
      </c>
      <c r="B206" t="s">
        <v>4</v>
      </c>
      <c r="C206">
        <v>0.24352773826458038</v>
      </c>
    </row>
    <row r="207" spans="1:3" x14ac:dyDescent="0.2">
      <c r="A207">
        <v>2020</v>
      </c>
      <c r="B207" t="s">
        <v>0</v>
      </c>
      <c r="C207">
        <v>-0.16591928251121077</v>
      </c>
    </row>
    <row r="208" spans="1:3" x14ac:dyDescent="0.2">
      <c r="A208">
        <v>2020</v>
      </c>
      <c r="B208" t="s">
        <v>1</v>
      </c>
      <c r="C208">
        <v>9.3457943925233638E-3</v>
      </c>
    </row>
    <row r="209" spans="1:3" x14ac:dyDescent="0.2">
      <c r="A209">
        <v>2020</v>
      </c>
      <c r="B209" t="s">
        <v>2</v>
      </c>
      <c r="C209">
        <v>7.7636152954808801E-2</v>
      </c>
    </row>
    <row r="210" spans="1:3" x14ac:dyDescent="0.2">
      <c r="A210">
        <v>2020</v>
      </c>
      <c r="B210" t="s">
        <v>3</v>
      </c>
      <c r="C210">
        <v>0.13409090909090909</v>
      </c>
    </row>
    <row r="211" spans="1:3" x14ac:dyDescent="0.2">
      <c r="A211">
        <v>2020</v>
      </c>
      <c r="B211" t="s">
        <v>4</v>
      </c>
      <c r="C211">
        <v>0.24008574490889603</v>
      </c>
    </row>
    <row r="212" spans="1:3" x14ac:dyDescent="0.2">
      <c r="A212">
        <v>2021</v>
      </c>
      <c r="B212" t="s">
        <v>0</v>
      </c>
      <c r="C212">
        <v>-0.2311111111111111</v>
      </c>
    </row>
    <row r="213" spans="1:3" x14ac:dyDescent="0.2">
      <c r="A213">
        <v>2021</v>
      </c>
      <c r="B213" t="s">
        <v>1</v>
      </c>
      <c r="C213">
        <v>1.8656716417910447E-3</v>
      </c>
    </row>
    <row r="214" spans="1:3" x14ac:dyDescent="0.2">
      <c r="A214">
        <v>2021</v>
      </c>
      <c r="B214" t="s">
        <v>2</v>
      </c>
      <c r="C214">
        <v>7.7456647398843934E-2</v>
      </c>
    </row>
    <row r="215" spans="1:3" x14ac:dyDescent="0.2">
      <c r="A215">
        <v>2021</v>
      </c>
      <c r="B215" t="s">
        <v>3</v>
      </c>
      <c r="C215">
        <v>0.13962264150943396</v>
      </c>
    </row>
    <row r="216" spans="1:3" x14ac:dyDescent="0.2">
      <c r="A216">
        <v>2021</v>
      </c>
      <c r="B216" t="s">
        <v>4</v>
      </c>
      <c r="C216">
        <v>0.24778761061946902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 Canada (Federal)</vt:lpstr>
      <vt:lpstr>ATR Canada (Fed and Prov)</vt:lpstr>
      <vt:lpstr>ATR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Ghimire</dc:creator>
  <cp:lastModifiedBy>Nishan Ghimire</cp:lastModifiedBy>
  <dcterms:created xsi:type="dcterms:W3CDTF">2025-11-02T05:07:40Z</dcterms:created>
  <dcterms:modified xsi:type="dcterms:W3CDTF">2025-12-22T19:54:44Z</dcterms:modified>
</cp:coreProperties>
</file>