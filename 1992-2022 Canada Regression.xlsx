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https://d.docs.live.net/d6c82bb3b492b3b6/MRP OneDrive/Master Data and R Code File/"/>
    </mc:Choice>
  </mc:AlternateContent>
  <xr:revisionPtr revIDLastSave="5" documentId="13_ncr:1_{E68F84DC-B9A7-C842-B26F-B86CDA91A1B8}" xr6:coauthVersionLast="47" xr6:coauthVersionMax="47" xr10:uidLastSave="{DE3601FE-BB0E-544E-91E5-F0EE16D524FE}"/>
  <bookViews>
    <workbookView xWindow="20" yWindow="780" windowWidth="34200" windowHeight="19820" activeTab="6" xr2:uid="{AF0D3BF1-5BD5-6243-A5A5-7CF300BD9E84}"/>
  </bookViews>
  <sheets>
    <sheet name="Original Data" sheetId="1" r:id="rId1"/>
    <sheet name="Main Computations" sheetId="6" r:id="rId2"/>
    <sheet name="Equation 20" sheetId="8" r:id="rId3"/>
    <sheet name="Computation for Regression" sheetId="9" r:id="rId4"/>
    <sheet name="Results 1992-2022" sheetId="12" r:id="rId5"/>
    <sheet name="Results 1992-2006" sheetId="13" r:id="rId6"/>
    <sheet name="Results 2007-2022" sheetId="14" r:id="rId7"/>
    <sheet name="Table for Regression"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6" l="1"/>
  <c r="N2" i="6"/>
  <c r="O2" i="6"/>
  <c r="AB2" i="6"/>
  <c r="AB5" i="6"/>
  <c r="AB4" i="6"/>
  <c r="H2" i="8"/>
  <c r="F6" i="8"/>
  <c r="G2" i="8"/>
  <c r="E2" i="8"/>
  <c r="I2" i="6"/>
  <c r="H134" i="8"/>
  <c r="G5" i="8"/>
  <c r="G3" i="8"/>
  <c r="AE156" i="6" l="1"/>
  <c r="AE151" i="6"/>
  <c r="AE146" i="6"/>
  <c r="AE141" i="6"/>
  <c r="AE136" i="6"/>
  <c r="AE131" i="6"/>
  <c r="AE126" i="6"/>
  <c r="AE121" i="6"/>
  <c r="AE116" i="6"/>
  <c r="AE111" i="6"/>
  <c r="AE106" i="6"/>
  <c r="AE101" i="6"/>
  <c r="AE96" i="6"/>
  <c r="AE91" i="6"/>
  <c r="AE86" i="6"/>
  <c r="AE81" i="6"/>
  <c r="AE76" i="6"/>
  <c r="AE71" i="6"/>
  <c r="AE66" i="6"/>
  <c r="AE61" i="6"/>
  <c r="AE56" i="6"/>
  <c r="AE51" i="6"/>
  <c r="AE46" i="6"/>
  <c r="AE41" i="6"/>
  <c r="AE36" i="6"/>
  <c r="AE31" i="6"/>
  <c r="AE26" i="6"/>
  <c r="AE21" i="6"/>
  <c r="AE16" i="6"/>
  <c r="AE11" i="6"/>
  <c r="AE6" i="6"/>
  <c r="I153" i="8"/>
  <c r="I9" i="8"/>
  <c r="H3" i="8" l="1"/>
  <c r="G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2" i="9"/>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42" i="8"/>
  <c r="J143" i="8"/>
  <c r="J144" i="8"/>
  <c r="J145" i="8"/>
  <c r="J146" i="8"/>
  <c r="J147" i="8"/>
  <c r="J148" i="8"/>
  <c r="J149" i="8"/>
  <c r="J150" i="8"/>
  <c r="J151" i="8"/>
  <c r="J152" i="8"/>
  <c r="J153" i="8"/>
  <c r="J154" i="8"/>
  <c r="J155" i="8"/>
  <c r="I105" i="8"/>
  <c r="I110" i="8"/>
  <c r="I7" i="8"/>
  <c r="I8"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6" i="8"/>
  <c r="I107" i="8"/>
  <c r="I108" i="8"/>
  <c r="I109"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40" i="8"/>
  <c r="J140" i="8" s="1"/>
  <c r="I141" i="8"/>
  <c r="J141" i="8" s="1"/>
  <c r="I142" i="8"/>
  <c r="I143" i="8"/>
  <c r="I144" i="8"/>
  <c r="I145" i="8"/>
  <c r="I146" i="8"/>
  <c r="I147" i="8"/>
  <c r="I148" i="8"/>
  <c r="I149" i="8"/>
  <c r="I150" i="8"/>
  <c r="I151" i="8"/>
  <c r="I152" i="8"/>
  <c r="I154" i="8"/>
  <c r="I155" i="8"/>
  <c r="I156" i="8"/>
  <c r="H12" i="8"/>
  <c r="H14" i="8"/>
  <c r="H21" i="8"/>
  <c r="H23" i="8"/>
  <c r="H24" i="8"/>
  <c r="H31" i="8"/>
  <c r="H34" i="8"/>
  <c r="H44" i="8"/>
  <c r="H53" i="8"/>
  <c r="H54" i="8"/>
  <c r="H81" i="8"/>
  <c r="H94" i="8"/>
  <c r="H6" i="8"/>
  <c r="H5" i="8"/>
  <c r="I4" i="8" s="1"/>
  <c r="J4" i="8" s="1"/>
  <c r="G152" i="8"/>
  <c r="H152" i="8" s="1"/>
  <c r="G153" i="8"/>
  <c r="H153" i="8" s="1"/>
  <c r="G154" i="8"/>
  <c r="H154" i="8" s="1"/>
  <c r="G155" i="8"/>
  <c r="H155" i="8" s="1"/>
  <c r="G156" i="8"/>
  <c r="H156" i="8" s="1"/>
  <c r="G147" i="8"/>
  <c r="H147" i="8" s="1"/>
  <c r="G148" i="8"/>
  <c r="H148" i="8" s="1"/>
  <c r="G149" i="8"/>
  <c r="H149" i="8" s="1"/>
  <c r="G150" i="8"/>
  <c r="H150" i="8" s="1"/>
  <c r="G151" i="8"/>
  <c r="H151" i="8" s="1"/>
  <c r="G142" i="8"/>
  <c r="H142" i="8" s="1"/>
  <c r="G143" i="8"/>
  <c r="H143" i="8" s="1"/>
  <c r="G144" i="8"/>
  <c r="H144" i="8" s="1"/>
  <c r="G145" i="8"/>
  <c r="H145" i="8" s="1"/>
  <c r="G146" i="8"/>
  <c r="H146" i="8" s="1"/>
  <c r="G137" i="8"/>
  <c r="H137" i="8" s="1"/>
  <c r="G138" i="8"/>
  <c r="H138" i="8" s="1"/>
  <c r="G139" i="8"/>
  <c r="H139" i="8" s="1"/>
  <c r="G140" i="8"/>
  <c r="H140" i="8" s="1"/>
  <c r="G141" i="8"/>
  <c r="H141" i="8" s="1"/>
  <c r="I138" i="8" s="1"/>
  <c r="J138" i="8" s="1"/>
  <c r="G132" i="8"/>
  <c r="H132" i="8" s="1"/>
  <c r="G133" i="8"/>
  <c r="H133" i="8" s="1"/>
  <c r="G134" i="8"/>
  <c r="G135" i="8"/>
  <c r="H135" i="8" s="1"/>
  <c r="G136" i="8"/>
  <c r="H136" i="8" s="1"/>
  <c r="G127" i="8"/>
  <c r="H127" i="8" s="1"/>
  <c r="G128" i="8"/>
  <c r="H128" i="8" s="1"/>
  <c r="G129" i="8"/>
  <c r="H129" i="8" s="1"/>
  <c r="G130" i="8"/>
  <c r="H130" i="8" s="1"/>
  <c r="G131" i="8"/>
  <c r="H131" i="8" s="1"/>
  <c r="G122" i="8"/>
  <c r="H122" i="8" s="1"/>
  <c r="G123" i="8"/>
  <c r="H123" i="8" s="1"/>
  <c r="G124" i="8"/>
  <c r="H124" i="8" s="1"/>
  <c r="G125" i="8"/>
  <c r="H125" i="8" s="1"/>
  <c r="G126" i="8"/>
  <c r="H126" i="8" s="1"/>
  <c r="G117" i="8"/>
  <c r="H117" i="8" s="1"/>
  <c r="G118" i="8"/>
  <c r="H118" i="8" s="1"/>
  <c r="G119" i="8"/>
  <c r="H119" i="8" s="1"/>
  <c r="G120" i="8"/>
  <c r="H120" i="8" s="1"/>
  <c r="G121" i="8"/>
  <c r="H121" i="8" s="1"/>
  <c r="G112" i="8"/>
  <c r="H112" i="8" s="1"/>
  <c r="G113" i="8"/>
  <c r="H113" i="8" s="1"/>
  <c r="G114" i="8"/>
  <c r="H114" i="8" s="1"/>
  <c r="G115" i="8"/>
  <c r="H115" i="8" s="1"/>
  <c r="G116" i="8"/>
  <c r="H116" i="8" s="1"/>
  <c r="G107" i="8"/>
  <c r="H107" i="8" s="1"/>
  <c r="G108" i="8"/>
  <c r="H108" i="8" s="1"/>
  <c r="G109" i="8"/>
  <c r="H109" i="8" s="1"/>
  <c r="G110" i="8"/>
  <c r="H110" i="8" s="1"/>
  <c r="G111" i="8"/>
  <c r="H111" i="8" s="1"/>
  <c r="G102" i="8"/>
  <c r="H102" i="8" s="1"/>
  <c r="G103" i="8"/>
  <c r="H103" i="8" s="1"/>
  <c r="G104" i="8"/>
  <c r="H104" i="8" s="1"/>
  <c r="G105" i="8"/>
  <c r="H105" i="8" s="1"/>
  <c r="G106" i="8"/>
  <c r="H106" i="8" s="1"/>
  <c r="G97" i="8"/>
  <c r="H97" i="8" s="1"/>
  <c r="G98" i="8"/>
  <c r="H98" i="8" s="1"/>
  <c r="G99" i="8"/>
  <c r="H99" i="8" s="1"/>
  <c r="G100" i="8"/>
  <c r="H100" i="8" s="1"/>
  <c r="G101" i="8"/>
  <c r="H101" i="8" s="1"/>
  <c r="G96" i="8"/>
  <c r="H96" i="8" s="1"/>
  <c r="G92" i="8"/>
  <c r="H92" i="8" s="1"/>
  <c r="G93" i="8"/>
  <c r="H93" i="8" s="1"/>
  <c r="G94" i="8"/>
  <c r="G95" i="8"/>
  <c r="H95" i="8" s="1"/>
  <c r="G87" i="8"/>
  <c r="H87" i="8" s="1"/>
  <c r="G88" i="8"/>
  <c r="H88" i="8" s="1"/>
  <c r="G89" i="8"/>
  <c r="H89" i="8" s="1"/>
  <c r="G90" i="8"/>
  <c r="H90" i="8" s="1"/>
  <c r="G91" i="8"/>
  <c r="H91" i="8" s="1"/>
  <c r="G82" i="8"/>
  <c r="H82" i="8" s="1"/>
  <c r="G83" i="8"/>
  <c r="H83" i="8" s="1"/>
  <c r="G84" i="8"/>
  <c r="H84" i="8" s="1"/>
  <c r="G85" i="8"/>
  <c r="H85" i="8" s="1"/>
  <c r="G86" i="8"/>
  <c r="H86" i="8" s="1"/>
  <c r="G81" i="8"/>
  <c r="G77" i="8"/>
  <c r="H77" i="8" s="1"/>
  <c r="G78" i="8"/>
  <c r="H78" i="8" s="1"/>
  <c r="G79" i="8"/>
  <c r="H79" i="8" s="1"/>
  <c r="G80" i="8"/>
  <c r="H80" i="8" s="1"/>
  <c r="G72" i="8"/>
  <c r="H72" i="8" s="1"/>
  <c r="G73" i="8"/>
  <c r="H73" i="8" s="1"/>
  <c r="G74" i="8"/>
  <c r="H74" i="8" s="1"/>
  <c r="G75" i="8"/>
  <c r="H75" i="8" s="1"/>
  <c r="G76" i="8"/>
  <c r="H76" i="8" s="1"/>
  <c r="G67" i="8"/>
  <c r="H67" i="8" s="1"/>
  <c r="G68" i="8"/>
  <c r="H68" i="8" s="1"/>
  <c r="G69" i="8"/>
  <c r="H69" i="8" s="1"/>
  <c r="G70" i="8"/>
  <c r="H70" i="8" s="1"/>
  <c r="G71" i="8"/>
  <c r="H71" i="8" s="1"/>
  <c r="G62" i="8"/>
  <c r="H62" i="8" s="1"/>
  <c r="G63" i="8"/>
  <c r="H63" i="8" s="1"/>
  <c r="G64" i="8"/>
  <c r="H64" i="8" s="1"/>
  <c r="G65" i="8"/>
  <c r="H65" i="8" s="1"/>
  <c r="G66" i="8"/>
  <c r="H66" i="8" s="1"/>
  <c r="G57" i="8"/>
  <c r="H57" i="8" s="1"/>
  <c r="G58" i="8"/>
  <c r="H58" i="8" s="1"/>
  <c r="G59" i="8"/>
  <c r="H59" i="8" s="1"/>
  <c r="G60" i="8"/>
  <c r="H60" i="8" s="1"/>
  <c r="G61" i="8"/>
  <c r="H61" i="8" s="1"/>
  <c r="G45" i="8"/>
  <c r="H45" i="8" s="1"/>
  <c r="G56" i="8"/>
  <c r="H56" i="8" s="1"/>
  <c r="G52" i="8"/>
  <c r="H52" i="8" s="1"/>
  <c r="G53" i="8"/>
  <c r="G54" i="8"/>
  <c r="G55" i="8"/>
  <c r="H55" i="8" s="1"/>
  <c r="G47" i="8"/>
  <c r="H47" i="8" s="1"/>
  <c r="G48" i="8"/>
  <c r="H48" i="8" s="1"/>
  <c r="G49" i="8"/>
  <c r="H49" i="8" s="1"/>
  <c r="G50" i="8"/>
  <c r="H50" i="8" s="1"/>
  <c r="G51" i="8"/>
  <c r="H51" i="8" s="1"/>
  <c r="G42" i="8"/>
  <c r="H42" i="8" s="1"/>
  <c r="G43" i="8"/>
  <c r="H43" i="8" s="1"/>
  <c r="G44" i="8"/>
  <c r="G46" i="8"/>
  <c r="H46" i="8" s="1"/>
  <c r="G37" i="8"/>
  <c r="H37" i="8" s="1"/>
  <c r="G38" i="8"/>
  <c r="H38" i="8" s="1"/>
  <c r="G39" i="8"/>
  <c r="H39" i="8" s="1"/>
  <c r="G40" i="8"/>
  <c r="H40" i="8" s="1"/>
  <c r="G41" i="8"/>
  <c r="H41" i="8" s="1"/>
  <c r="G36" i="8"/>
  <c r="H36" i="8" s="1"/>
  <c r="G32" i="8"/>
  <c r="H32" i="8" s="1"/>
  <c r="G33" i="8"/>
  <c r="H33" i="8" s="1"/>
  <c r="G34" i="8"/>
  <c r="G35" i="8"/>
  <c r="H35" i="8" s="1"/>
  <c r="G31" i="8"/>
  <c r="G27" i="8"/>
  <c r="H27" i="8" s="1"/>
  <c r="G28" i="8"/>
  <c r="H28" i="8" s="1"/>
  <c r="G29" i="8"/>
  <c r="H29" i="8" s="1"/>
  <c r="G30" i="8"/>
  <c r="H30" i="8" s="1"/>
  <c r="G19" i="8"/>
  <c r="H19" i="8" s="1"/>
  <c r="G26" i="8"/>
  <c r="H26" i="8" s="1"/>
  <c r="G22" i="8"/>
  <c r="H22" i="8" s="1"/>
  <c r="G23" i="8"/>
  <c r="G24" i="8"/>
  <c r="G25" i="8"/>
  <c r="H25" i="8" s="1"/>
  <c r="G21" i="8"/>
  <c r="G16" i="8"/>
  <c r="H16" i="8" s="1"/>
  <c r="G18" i="8"/>
  <c r="H18" i="8" s="1"/>
  <c r="G20" i="8"/>
  <c r="H20" i="8" s="1"/>
  <c r="G17" i="8"/>
  <c r="H17" i="8" s="1"/>
  <c r="G13" i="8"/>
  <c r="H13" i="8" s="1"/>
  <c r="G14" i="8"/>
  <c r="G15" i="8"/>
  <c r="H15" i="8" s="1"/>
  <c r="G12" i="8"/>
  <c r="G8" i="8"/>
  <c r="H8" i="8" s="1"/>
  <c r="G9" i="8"/>
  <c r="H9" i="8" s="1"/>
  <c r="G10" i="8"/>
  <c r="H10" i="8" s="1"/>
  <c r="G11" i="8"/>
  <c r="H11" i="8" s="1"/>
  <c r="G7" i="8"/>
  <c r="H7" i="8" s="1"/>
  <c r="G4" i="8"/>
  <c r="H4" i="8" s="1"/>
  <c r="G6" i="8"/>
  <c r="E153" i="8"/>
  <c r="E154" i="8"/>
  <c r="E155" i="8"/>
  <c r="E156" i="8"/>
  <c r="E152" i="8"/>
  <c r="F156" i="8" s="1"/>
  <c r="E148" i="8"/>
  <c r="E149" i="8"/>
  <c r="E150" i="8"/>
  <c r="E151" i="8"/>
  <c r="E147" i="8"/>
  <c r="E143" i="8"/>
  <c r="E144" i="8"/>
  <c r="E145" i="8"/>
  <c r="E146" i="8"/>
  <c r="E142" i="8"/>
  <c r="E138" i="8"/>
  <c r="E139" i="8"/>
  <c r="E140" i="8"/>
  <c r="E141" i="8"/>
  <c r="E137" i="8"/>
  <c r="E133" i="8"/>
  <c r="E134" i="8"/>
  <c r="E135" i="8"/>
  <c r="E136" i="8"/>
  <c r="E132" i="8"/>
  <c r="F136" i="8" s="1"/>
  <c r="E128" i="8"/>
  <c r="E129" i="8"/>
  <c r="E130" i="8"/>
  <c r="E131" i="8"/>
  <c r="E127" i="8"/>
  <c r="E123" i="8"/>
  <c r="E124" i="8"/>
  <c r="E125" i="8"/>
  <c r="E126" i="8"/>
  <c r="E122" i="8"/>
  <c r="F126" i="8" s="1"/>
  <c r="E118" i="8"/>
  <c r="E119" i="8"/>
  <c r="E120" i="8"/>
  <c r="E121" i="8"/>
  <c r="E117" i="8"/>
  <c r="E113" i="8"/>
  <c r="E114" i="8"/>
  <c r="E115" i="8"/>
  <c r="E116" i="8"/>
  <c r="E112" i="8"/>
  <c r="F116" i="8" s="1"/>
  <c r="E111" i="8"/>
  <c r="E108" i="8"/>
  <c r="E109" i="8"/>
  <c r="E110" i="8"/>
  <c r="E107" i="8"/>
  <c r="E103" i="8"/>
  <c r="E104" i="8"/>
  <c r="E105" i="8"/>
  <c r="E106" i="8"/>
  <c r="E102" i="8"/>
  <c r="E98" i="8"/>
  <c r="E99" i="8"/>
  <c r="E100" i="8"/>
  <c r="E101" i="8"/>
  <c r="E97" i="8"/>
  <c r="E93" i="8"/>
  <c r="E94" i="8"/>
  <c r="E95" i="8"/>
  <c r="E96" i="8"/>
  <c r="E92" i="8"/>
  <c r="E88" i="8"/>
  <c r="E89" i="8"/>
  <c r="E90" i="8"/>
  <c r="E91" i="8"/>
  <c r="E87" i="8"/>
  <c r="E83" i="8"/>
  <c r="E84" i="8"/>
  <c r="E85" i="8"/>
  <c r="E86" i="8"/>
  <c r="E82" i="8"/>
  <c r="E78" i="8"/>
  <c r="E79" i="8"/>
  <c r="E80" i="8"/>
  <c r="E81" i="8"/>
  <c r="E77" i="8"/>
  <c r="E76" i="8"/>
  <c r="E73" i="8"/>
  <c r="E74" i="8"/>
  <c r="E75" i="8"/>
  <c r="E72" i="8"/>
  <c r="E68" i="8"/>
  <c r="E69" i="8"/>
  <c r="E70" i="8"/>
  <c r="E71" i="8"/>
  <c r="E67" i="8"/>
  <c r="E66" i="8"/>
  <c r="E63" i="8"/>
  <c r="E64" i="8"/>
  <c r="E65" i="8"/>
  <c r="E62" i="8"/>
  <c r="E58" i="8"/>
  <c r="E59" i="8"/>
  <c r="E60" i="8"/>
  <c r="E61" i="8"/>
  <c r="E57" i="8"/>
  <c r="E53" i="8"/>
  <c r="E54" i="8"/>
  <c r="E55" i="8"/>
  <c r="E56" i="8"/>
  <c r="E52" i="8"/>
  <c r="E48" i="8"/>
  <c r="E49" i="8"/>
  <c r="E50" i="8"/>
  <c r="E51" i="8"/>
  <c r="E47" i="8"/>
  <c r="E43" i="8"/>
  <c r="E44" i="8"/>
  <c r="E45" i="8"/>
  <c r="E46" i="8"/>
  <c r="E42" i="8"/>
  <c r="E38" i="8"/>
  <c r="E39" i="8"/>
  <c r="E40" i="8"/>
  <c r="E41" i="8"/>
  <c r="E37" i="8"/>
  <c r="E33" i="8"/>
  <c r="E34" i="8"/>
  <c r="E35" i="8"/>
  <c r="E36" i="8"/>
  <c r="E32" i="8"/>
  <c r="E28" i="8"/>
  <c r="E29" i="8"/>
  <c r="E30" i="8"/>
  <c r="E31" i="8"/>
  <c r="E27" i="8"/>
  <c r="E23" i="8"/>
  <c r="E24" i="8"/>
  <c r="E25" i="8"/>
  <c r="E26" i="8"/>
  <c r="E22" i="8"/>
  <c r="E21" i="8"/>
  <c r="E18" i="8"/>
  <c r="E19" i="8"/>
  <c r="E20" i="8"/>
  <c r="E17" i="8"/>
  <c r="E13" i="8"/>
  <c r="E14" i="8"/>
  <c r="E15" i="8"/>
  <c r="E16" i="8"/>
  <c r="E12" i="8"/>
  <c r="E8" i="8"/>
  <c r="E9" i="8"/>
  <c r="E10" i="8"/>
  <c r="E11" i="8"/>
  <c r="E7" i="8"/>
  <c r="E3" i="8"/>
  <c r="E4" i="8"/>
  <c r="E5" i="8"/>
  <c r="E6" i="8"/>
  <c r="I6" i="8" l="1"/>
  <c r="I2" i="8"/>
  <c r="J2" i="8" s="1"/>
  <c r="I3" i="8"/>
  <c r="J3" i="8" s="1"/>
  <c r="I139" i="8"/>
  <c r="J139" i="8" s="1"/>
  <c r="I137" i="8"/>
  <c r="J137" i="8" s="1"/>
  <c r="J6" i="8"/>
  <c r="I5" i="8"/>
  <c r="J5" i="8" s="1"/>
  <c r="J156" i="8"/>
  <c r="F91" i="8"/>
  <c r="F86" i="8"/>
  <c r="F11" i="8"/>
  <c r="F51" i="8"/>
  <c r="F101" i="8"/>
  <c r="F36" i="8"/>
  <c r="F41" i="8"/>
  <c r="F61" i="8"/>
  <c r="F111" i="8"/>
  <c r="F56" i="8"/>
  <c r="F46" i="8"/>
  <c r="F106" i="8"/>
  <c r="F21" i="8"/>
  <c r="F16" i="8"/>
  <c r="F26" i="8"/>
  <c r="F141" i="8"/>
  <c r="F151" i="8"/>
  <c r="F96" i="8"/>
  <c r="F71" i="8"/>
  <c r="F81" i="8"/>
  <c r="F146" i="8"/>
  <c r="F66" i="8"/>
  <c r="F76" i="8"/>
  <c r="F31" i="8"/>
  <c r="F121" i="8"/>
  <c r="F131" i="8"/>
  <c r="AB91" i="6" l="1"/>
  <c r="AD91" i="6" s="1"/>
  <c r="AB21" i="6"/>
  <c r="AD21" i="6" s="1"/>
  <c r="T156" i="6"/>
  <c r="AB156" i="6" s="1"/>
  <c r="AD156" i="6" s="1"/>
  <c r="T151" i="6"/>
  <c r="AB151" i="6" s="1"/>
  <c r="AD151" i="6" s="1"/>
  <c r="T146" i="6"/>
  <c r="AB146" i="6" s="1"/>
  <c r="AD146" i="6" s="1"/>
  <c r="T141" i="6"/>
  <c r="AB141" i="6" s="1"/>
  <c r="AD141" i="6" s="1"/>
  <c r="T136" i="6"/>
  <c r="AB136" i="6" s="1"/>
  <c r="AD136" i="6" s="1"/>
  <c r="T131" i="6"/>
  <c r="AB131" i="6" s="1"/>
  <c r="AD131" i="6" s="1"/>
  <c r="T126" i="6"/>
  <c r="AB126" i="6" s="1"/>
  <c r="AD126" i="6" s="1"/>
  <c r="T121" i="6"/>
  <c r="AB121" i="6" s="1"/>
  <c r="AD121" i="6" s="1"/>
  <c r="T116" i="6"/>
  <c r="AB116" i="6" s="1"/>
  <c r="AD116" i="6" s="1"/>
  <c r="T111" i="6"/>
  <c r="AB111" i="6" s="1"/>
  <c r="AD111" i="6" s="1"/>
  <c r="T106" i="6"/>
  <c r="AB106" i="6" s="1"/>
  <c r="AD106" i="6" s="1"/>
  <c r="T101" i="6"/>
  <c r="AB101" i="6" s="1"/>
  <c r="AD101" i="6" s="1"/>
  <c r="T96" i="6"/>
  <c r="AB96" i="6" s="1"/>
  <c r="AD96" i="6" s="1"/>
  <c r="M96" i="6"/>
  <c r="O96" i="6" s="1"/>
  <c r="Q96" i="6" s="1"/>
  <c r="T91" i="6"/>
  <c r="T86" i="6"/>
  <c r="AB86" i="6" s="1"/>
  <c r="AD86" i="6" s="1"/>
  <c r="T81" i="6"/>
  <c r="AB81" i="6" s="1"/>
  <c r="AD81" i="6" s="1"/>
  <c r="T76" i="6"/>
  <c r="AB76" i="6" s="1"/>
  <c r="AD76" i="6" s="1"/>
  <c r="T71" i="6"/>
  <c r="AB71" i="6" s="1"/>
  <c r="AD71" i="6" s="1"/>
  <c r="T66" i="6"/>
  <c r="AB66" i="6" s="1"/>
  <c r="AD66" i="6" s="1"/>
  <c r="T61" i="6"/>
  <c r="AB61" i="6" s="1"/>
  <c r="AD61" i="6" s="1"/>
  <c r="T56" i="6"/>
  <c r="AB56" i="6" s="1"/>
  <c r="AD56" i="6" s="1"/>
  <c r="T51" i="6"/>
  <c r="AB51" i="6" s="1"/>
  <c r="AD51" i="6" s="1"/>
  <c r="T46" i="6"/>
  <c r="AB46" i="6" s="1"/>
  <c r="AD46" i="6" s="1"/>
  <c r="T41" i="6"/>
  <c r="AB41" i="6" s="1"/>
  <c r="AD41" i="6" s="1"/>
  <c r="T36" i="6"/>
  <c r="AB36" i="6" s="1"/>
  <c r="AD36" i="6" s="1"/>
  <c r="T31" i="6"/>
  <c r="AB31" i="6" s="1"/>
  <c r="AD31" i="6" s="1"/>
  <c r="T26" i="6"/>
  <c r="T21" i="6"/>
  <c r="T16" i="6"/>
  <c r="AB16" i="6" s="1"/>
  <c r="AD16" i="6" s="1"/>
  <c r="T11" i="6"/>
  <c r="AB11" i="6" s="1"/>
  <c r="AD11" i="6" s="1"/>
  <c r="M6" i="6"/>
  <c r="T6" i="6"/>
  <c r="AB6" i="6" s="1"/>
  <c r="AD6" i="6" s="1"/>
  <c r="T5" i="6"/>
  <c r="AD5" i="6" s="1"/>
  <c r="N156" i="6"/>
  <c r="N151" i="6"/>
  <c r="N146" i="6"/>
  <c r="N141" i="6"/>
  <c r="N136" i="6"/>
  <c r="N131" i="6"/>
  <c r="N126" i="6"/>
  <c r="N121" i="6"/>
  <c r="N116" i="6"/>
  <c r="N111" i="6"/>
  <c r="N106" i="6"/>
  <c r="N101" i="6"/>
  <c r="N96" i="6"/>
  <c r="N91" i="6"/>
  <c r="N86" i="6"/>
  <c r="N81" i="6"/>
  <c r="N76" i="6"/>
  <c r="N71" i="6"/>
  <c r="N66" i="6"/>
  <c r="N61" i="6"/>
  <c r="N56" i="6"/>
  <c r="N51" i="6"/>
  <c r="N46" i="6"/>
  <c r="N41" i="6"/>
  <c r="N36" i="6"/>
  <c r="N31" i="6"/>
  <c r="N26" i="6"/>
  <c r="N21" i="6"/>
  <c r="N16" i="6"/>
  <c r="N11" i="6"/>
  <c r="N5" i="6"/>
  <c r="M156" i="6"/>
  <c r="O156" i="6" s="1"/>
  <c r="Q156" i="6" s="1"/>
  <c r="M151" i="6"/>
  <c r="O151" i="6" s="1"/>
  <c r="Q151" i="6" s="1"/>
  <c r="M146" i="6"/>
  <c r="O146" i="6" s="1"/>
  <c r="Q146" i="6" s="1"/>
  <c r="M141" i="6"/>
  <c r="O141" i="6" s="1"/>
  <c r="Q141" i="6" s="1"/>
  <c r="M136" i="6"/>
  <c r="O136" i="6" s="1"/>
  <c r="Q136" i="6" s="1"/>
  <c r="M131" i="6"/>
  <c r="M126" i="6"/>
  <c r="M121" i="6"/>
  <c r="M116" i="6"/>
  <c r="O116" i="6" s="1"/>
  <c r="Q116" i="6" s="1"/>
  <c r="M111" i="6"/>
  <c r="O111" i="6" s="1"/>
  <c r="Q111" i="6" s="1"/>
  <c r="M106" i="6"/>
  <c r="O106" i="6" s="1"/>
  <c r="Q106" i="6" s="1"/>
  <c r="M101" i="6"/>
  <c r="O101" i="6" s="1"/>
  <c r="Q101" i="6" s="1"/>
  <c r="M91" i="6"/>
  <c r="M86" i="6"/>
  <c r="S86" i="6" s="1"/>
  <c r="M81" i="6"/>
  <c r="O81" i="6" s="1"/>
  <c r="Q81" i="6" s="1"/>
  <c r="M76" i="6"/>
  <c r="M71" i="6"/>
  <c r="M66" i="6"/>
  <c r="M61" i="6"/>
  <c r="O61" i="6" s="1"/>
  <c r="Q61" i="6" s="1"/>
  <c r="M56" i="6"/>
  <c r="O56" i="6" s="1"/>
  <c r="Q56" i="6" s="1"/>
  <c r="M51" i="6"/>
  <c r="M46" i="6"/>
  <c r="M41" i="6"/>
  <c r="O41" i="6" s="1"/>
  <c r="Q41" i="6" s="1"/>
  <c r="M36" i="6"/>
  <c r="O36" i="6" s="1"/>
  <c r="Q36" i="6" s="1"/>
  <c r="M31" i="6"/>
  <c r="O31" i="6" s="1"/>
  <c r="Q31" i="6" s="1"/>
  <c r="M26" i="6"/>
  <c r="O26" i="6" s="1"/>
  <c r="Q26" i="6" s="1"/>
  <c r="M21" i="6"/>
  <c r="M16" i="6"/>
  <c r="M11" i="6"/>
  <c r="O11" i="6" s="1"/>
  <c r="Q11" i="6" s="1"/>
  <c r="T155" i="6"/>
  <c r="AB155" i="6" s="1"/>
  <c r="AD155" i="6" s="1"/>
  <c r="T150" i="6"/>
  <c r="AB150" i="6" s="1"/>
  <c r="AD150" i="6" s="1"/>
  <c r="T145" i="6"/>
  <c r="AB145" i="6" s="1"/>
  <c r="AD145" i="6" s="1"/>
  <c r="T140" i="6"/>
  <c r="AB140" i="6" s="1"/>
  <c r="AD140" i="6" s="1"/>
  <c r="T135" i="6"/>
  <c r="AB135" i="6" s="1"/>
  <c r="AD135" i="6" s="1"/>
  <c r="T130" i="6"/>
  <c r="AB130" i="6" s="1"/>
  <c r="AD130" i="6" s="1"/>
  <c r="T125" i="6"/>
  <c r="AB125" i="6" s="1"/>
  <c r="AD125" i="6" s="1"/>
  <c r="T120" i="6"/>
  <c r="AB120" i="6" s="1"/>
  <c r="AD120" i="6" s="1"/>
  <c r="T115" i="6"/>
  <c r="AB115" i="6" s="1"/>
  <c r="AD115" i="6" s="1"/>
  <c r="T110" i="6"/>
  <c r="AB110" i="6" s="1"/>
  <c r="AD110" i="6" s="1"/>
  <c r="T105" i="6"/>
  <c r="AB105" i="6" s="1"/>
  <c r="AD105" i="6" s="1"/>
  <c r="T100" i="6"/>
  <c r="AB100" i="6" s="1"/>
  <c r="AD100" i="6" s="1"/>
  <c r="T95" i="6"/>
  <c r="AB95" i="6" s="1"/>
  <c r="AD95" i="6" s="1"/>
  <c r="T90" i="6"/>
  <c r="AB90" i="6" s="1"/>
  <c r="AD90" i="6" s="1"/>
  <c r="T85" i="6"/>
  <c r="AB85" i="6" s="1"/>
  <c r="AD85" i="6" s="1"/>
  <c r="T80" i="6"/>
  <c r="T75" i="6"/>
  <c r="AB75" i="6" s="1"/>
  <c r="AD75" i="6" s="1"/>
  <c r="T70" i="6"/>
  <c r="AB70" i="6" s="1"/>
  <c r="AD70" i="6" s="1"/>
  <c r="T65" i="6"/>
  <c r="AB65" i="6" s="1"/>
  <c r="AD65" i="6" s="1"/>
  <c r="T60" i="6"/>
  <c r="AB60" i="6" s="1"/>
  <c r="AD60" i="6" s="1"/>
  <c r="T55" i="6"/>
  <c r="AB55" i="6" s="1"/>
  <c r="AD55" i="6" s="1"/>
  <c r="T50" i="6"/>
  <c r="T45" i="6"/>
  <c r="T40" i="6"/>
  <c r="T35" i="6"/>
  <c r="AB35" i="6" s="1"/>
  <c r="AD35" i="6" s="1"/>
  <c r="T30" i="6"/>
  <c r="AB30" i="6" s="1"/>
  <c r="AD30" i="6" s="1"/>
  <c r="T25" i="6"/>
  <c r="T20" i="6"/>
  <c r="AB20" i="6" s="1"/>
  <c r="AD20" i="6" s="1"/>
  <c r="T15" i="6"/>
  <c r="AB15" i="6" s="1"/>
  <c r="AD15" i="6" s="1"/>
  <c r="T10" i="6"/>
  <c r="T4" i="6"/>
  <c r="N155" i="6"/>
  <c r="N150" i="6"/>
  <c r="N145" i="6"/>
  <c r="N140" i="6"/>
  <c r="N135" i="6"/>
  <c r="N130" i="6"/>
  <c r="N125" i="6"/>
  <c r="N120" i="6"/>
  <c r="N115" i="6"/>
  <c r="N110" i="6"/>
  <c r="N105" i="6"/>
  <c r="N100" i="6"/>
  <c r="N95" i="6"/>
  <c r="N90" i="6"/>
  <c r="N85" i="6"/>
  <c r="N80" i="6"/>
  <c r="N75" i="6"/>
  <c r="N70" i="6"/>
  <c r="N65" i="6"/>
  <c r="N60" i="6"/>
  <c r="N55" i="6"/>
  <c r="N50" i="6"/>
  <c r="N45" i="6"/>
  <c r="N40" i="6"/>
  <c r="N35" i="6"/>
  <c r="N30" i="6"/>
  <c r="N25" i="6"/>
  <c r="N20" i="6"/>
  <c r="N15" i="6"/>
  <c r="N10" i="6"/>
  <c r="N4" i="6"/>
  <c r="M155" i="6"/>
  <c r="M150" i="6"/>
  <c r="O150" i="6" s="1"/>
  <c r="Q150" i="6" s="1"/>
  <c r="M145" i="6"/>
  <c r="M140" i="6"/>
  <c r="O140" i="6" s="1"/>
  <c r="Q140" i="6" s="1"/>
  <c r="M135" i="6"/>
  <c r="M130" i="6"/>
  <c r="M125" i="6"/>
  <c r="O125" i="6" s="1"/>
  <c r="Q125" i="6" s="1"/>
  <c r="M120" i="6"/>
  <c r="M115" i="6"/>
  <c r="S115" i="6" s="1"/>
  <c r="M110" i="6"/>
  <c r="M105" i="6"/>
  <c r="M100" i="6"/>
  <c r="M95" i="6"/>
  <c r="M90" i="6"/>
  <c r="O90" i="6" s="1"/>
  <c r="Q90" i="6" s="1"/>
  <c r="M85" i="6"/>
  <c r="M80" i="6"/>
  <c r="M75" i="6"/>
  <c r="O75" i="6" s="1"/>
  <c r="Q75" i="6" s="1"/>
  <c r="M70" i="6"/>
  <c r="M65" i="6"/>
  <c r="O65" i="6" s="1"/>
  <c r="Q65" i="6" s="1"/>
  <c r="M60" i="6"/>
  <c r="M79" i="6"/>
  <c r="O79" i="6" s="1"/>
  <c r="Q79" i="6" s="1"/>
  <c r="M55" i="6"/>
  <c r="M50" i="6"/>
  <c r="O50" i="6" s="1"/>
  <c r="Q50" i="6" s="1"/>
  <c r="M45" i="6"/>
  <c r="O45" i="6" s="1"/>
  <c r="Q45" i="6" s="1"/>
  <c r="M40" i="6"/>
  <c r="M35" i="6"/>
  <c r="M30" i="6"/>
  <c r="O30" i="6" s="1"/>
  <c r="Q30" i="6" s="1"/>
  <c r="M25" i="6"/>
  <c r="O25" i="6" s="1"/>
  <c r="Q25" i="6" s="1"/>
  <c r="M20" i="6"/>
  <c r="M15" i="6"/>
  <c r="M10" i="6"/>
  <c r="M5" i="6"/>
  <c r="O5" i="6" s="1"/>
  <c r="Q5" i="6" s="1"/>
  <c r="T154" i="6"/>
  <c r="T149" i="6"/>
  <c r="AB149" i="6" s="1"/>
  <c r="AD149" i="6" s="1"/>
  <c r="T144" i="6"/>
  <c r="AB144" i="6" s="1"/>
  <c r="AD144" i="6" s="1"/>
  <c r="T139" i="6"/>
  <c r="AB139" i="6" s="1"/>
  <c r="AD139" i="6" s="1"/>
  <c r="T134" i="6"/>
  <c r="AB134" i="6" s="1"/>
  <c r="AD134" i="6" s="1"/>
  <c r="T129" i="6"/>
  <c r="AB129" i="6" s="1"/>
  <c r="AD129" i="6" s="1"/>
  <c r="T124" i="6"/>
  <c r="AB124" i="6" s="1"/>
  <c r="AD124" i="6" s="1"/>
  <c r="T119" i="6"/>
  <c r="AB119" i="6" s="1"/>
  <c r="AD119" i="6" s="1"/>
  <c r="T114" i="6"/>
  <c r="T109" i="6"/>
  <c r="T104" i="6"/>
  <c r="T99" i="6"/>
  <c r="AB99" i="6" s="1"/>
  <c r="AD99" i="6" s="1"/>
  <c r="T94" i="6"/>
  <c r="T89" i="6"/>
  <c r="AB89" i="6" s="1"/>
  <c r="AD89" i="6" s="1"/>
  <c r="T84" i="6"/>
  <c r="T79" i="6"/>
  <c r="T74" i="6"/>
  <c r="AB74" i="6" s="1"/>
  <c r="AD74" i="6" s="1"/>
  <c r="T69" i="6"/>
  <c r="AB69" i="6" s="1"/>
  <c r="AD69" i="6" s="1"/>
  <c r="T64" i="6"/>
  <c r="AB64" i="6" s="1"/>
  <c r="AD64" i="6" s="1"/>
  <c r="T59" i="6"/>
  <c r="AB59" i="6" s="1"/>
  <c r="AD59" i="6" s="1"/>
  <c r="T54" i="6"/>
  <c r="T49" i="6"/>
  <c r="AB49" i="6" s="1"/>
  <c r="AD49" i="6" s="1"/>
  <c r="T44" i="6"/>
  <c r="T34" i="6"/>
  <c r="T39" i="6"/>
  <c r="AB39" i="6" s="1"/>
  <c r="AD39" i="6" s="1"/>
  <c r="T29" i="6"/>
  <c r="AB29" i="6" s="1"/>
  <c r="AD29" i="6" s="1"/>
  <c r="T24" i="6"/>
  <c r="AB24" i="6" s="1"/>
  <c r="AD24" i="6" s="1"/>
  <c r="T19" i="6"/>
  <c r="AB19" i="6" s="1"/>
  <c r="AD19" i="6" s="1"/>
  <c r="T14" i="6"/>
  <c r="AB14" i="6" s="1"/>
  <c r="AD14" i="6" s="1"/>
  <c r="T9" i="6"/>
  <c r="AB9" i="6" s="1"/>
  <c r="AD9" i="6" s="1"/>
  <c r="T3" i="6"/>
  <c r="AB3" i="6" s="1"/>
  <c r="AD3" i="6" s="1"/>
  <c r="M4" i="6"/>
  <c r="O4" i="6" s="1"/>
  <c r="Q4" i="6" s="1"/>
  <c r="N3" i="6"/>
  <c r="N154" i="6"/>
  <c r="N149" i="6"/>
  <c r="N144" i="6"/>
  <c r="N139" i="6"/>
  <c r="N133" i="6"/>
  <c r="N134" i="6"/>
  <c r="N129" i="6"/>
  <c r="N124" i="6"/>
  <c r="N119" i="6"/>
  <c r="N114" i="6"/>
  <c r="N109" i="6"/>
  <c r="N104" i="6"/>
  <c r="N99" i="6"/>
  <c r="N94" i="6"/>
  <c r="N89" i="6"/>
  <c r="N84" i="6"/>
  <c r="N79" i="6"/>
  <c r="N74" i="6"/>
  <c r="N69" i="6"/>
  <c r="N64" i="6"/>
  <c r="N59" i="6"/>
  <c r="N54" i="6"/>
  <c r="N49" i="6"/>
  <c r="N44" i="6"/>
  <c r="N39" i="6"/>
  <c r="N38" i="6"/>
  <c r="N34" i="6"/>
  <c r="N29" i="6"/>
  <c r="N24" i="6"/>
  <c r="N19" i="6"/>
  <c r="M14" i="6"/>
  <c r="N14" i="6"/>
  <c r="N9" i="6"/>
  <c r="M9" i="6"/>
  <c r="O9" i="6" s="1"/>
  <c r="Q9" i="6" s="1"/>
  <c r="M154" i="6"/>
  <c r="O154" i="6" s="1"/>
  <c r="Q154" i="6" s="1"/>
  <c r="M149" i="6"/>
  <c r="O149" i="6" s="1"/>
  <c r="Q149" i="6" s="1"/>
  <c r="M124" i="6"/>
  <c r="O124" i="6" s="1"/>
  <c r="Q124" i="6" s="1"/>
  <c r="M139" i="6"/>
  <c r="M144" i="6"/>
  <c r="M134" i="6"/>
  <c r="M129" i="6"/>
  <c r="M119" i="6"/>
  <c r="O119" i="6" s="1"/>
  <c r="Q119" i="6" s="1"/>
  <c r="M114" i="6"/>
  <c r="M109" i="6"/>
  <c r="O109" i="6" s="1"/>
  <c r="Q109" i="6" s="1"/>
  <c r="M104" i="6"/>
  <c r="O104" i="6" s="1"/>
  <c r="Q104" i="6" s="1"/>
  <c r="M99" i="6"/>
  <c r="M94" i="6"/>
  <c r="M89" i="6"/>
  <c r="M84" i="6"/>
  <c r="O84" i="6" s="1"/>
  <c r="Q84" i="6" s="1"/>
  <c r="M74" i="6"/>
  <c r="M69" i="6"/>
  <c r="M64" i="6"/>
  <c r="O64" i="6" s="1"/>
  <c r="Q64" i="6" s="1"/>
  <c r="M59" i="6"/>
  <c r="O59" i="6" s="1"/>
  <c r="Q59" i="6" s="1"/>
  <c r="M54" i="6"/>
  <c r="M49" i="6"/>
  <c r="M44" i="6"/>
  <c r="O44" i="6" s="1"/>
  <c r="Q44" i="6" s="1"/>
  <c r="M39" i="6"/>
  <c r="M34" i="6"/>
  <c r="O34" i="6" s="1"/>
  <c r="Q34" i="6" s="1"/>
  <c r="M29" i="6"/>
  <c r="O29" i="6" s="1"/>
  <c r="Q29" i="6" s="1"/>
  <c r="M24" i="6"/>
  <c r="M19" i="6"/>
  <c r="M13" i="6"/>
  <c r="M8" i="6"/>
  <c r="I4" i="6"/>
  <c r="M153" i="6"/>
  <c r="O153" i="6" s="1"/>
  <c r="Q153" i="6" s="1"/>
  <c r="AA26" i="6" l="1"/>
  <c r="AA156" i="6"/>
  <c r="S105" i="6"/>
  <c r="S155" i="6"/>
  <c r="AB26" i="6"/>
  <c r="AD26" i="6" s="1"/>
  <c r="S24" i="6"/>
  <c r="S26" i="6"/>
  <c r="AF26" i="6" s="1"/>
  <c r="S76" i="6"/>
  <c r="S91" i="6"/>
  <c r="S131" i="6"/>
  <c r="AA36" i="6"/>
  <c r="U46" i="6"/>
  <c r="S129" i="6"/>
  <c r="AA154" i="6"/>
  <c r="S95" i="6"/>
  <c r="S145" i="6"/>
  <c r="S99" i="6"/>
  <c r="U114" i="6"/>
  <c r="Z114" i="6" s="1"/>
  <c r="S15" i="6"/>
  <c r="AA121" i="6"/>
  <c r="U10" i="6"/>
  <c r="S41" i="6"/>
  <c r="U60" i="6"/>
  <c r="AA41" i="6"/>
  <c r="AF41" i="6" s="1"/>
  <c r="AA91" i="6"/>
  <c r="AA136" i="6"/>
  <c r="S94" i="6"/>
  <c r="S20" i="6"/>
  <c r="AA76" i="6"/>
  <c r="AF76" i="6" s="1"/>
  <c r="AA126" i="6"/>
  <c r="U49" i="6"/>
  <c r="Z49" i="6" s="1"/>
  <c r="U110" i="6"/>
  <c r="S34" i="6"/>
  <c r="S54" i="6"/>
  <c r="S70" i="6"/>
  <c r="S120" i="6"/>
  <c r="U146" i="6"/>
  <c r="AA131" i="6"/>
  <c r="O131" i="6"/>
  <c r="Q131" i="6" s="1"/>
  <c r="U96" i="6"/>
  <c r="S49" i="6"/>
  <c r="U31" i="6"/>
  <c r="U91" i="6"/>
  <c r="AA86" i="6"/>
  <c r="AF86" i="6" s="1"/>
  <c r="O145" i="6"/>
  <c r="Q145" i="6" s="1"/>
  <c r="S144" i="6"/>
  <c r="AA141" i="6"/>
  <c r="AA61" i="6"/>
  <c r="AF61" i="6" s="1"/>
  <c r="U139" i="6"/>
  <c r="Z139" i="6" s="1"/>
  <c r="U51" i="6"/>
  <c r="AA46" i="6"/>
  <c r="AA16" i="6"/>
  <c r="AA66" i="6"/>
  <c r="AA111" i="6"/>
  <c r="U86" i="6"/>
  <c r="U39" i="6"/>
  <c r="S101" i="6"/>
  <c r="S151" i="6"/>
  <c r="S110" i="6"/>
  <c r="AA71" i="6"/>
  <c r="AF71" i="6" s="1"/>
  <c r="S44" i="6"/>
  <c r="U149" i="6"/>
  <c r="Z149" i="6" s="1"/>
  <c r="U106" i="6"/>
  <c r="U155" i="6"/>
  <c r="S59" i="6"/>
  <c r="S84" i="6"/>
  <c r="S10" i="6"/>
  <c r="U56" i="6"/>
  <c r="U79" i="6"/>
  <c r="Z79" i="6" s="1"/>
  <c r="S111" i="6"/>
  <c r="U59" i="6"/>
  <c r="Z59" i="6" s="1"/>
  <c r="S109" i="6"/>
  <c r="U134" i="6"/>
  <c r="Z134" i="6" s="1"/>
  <c r="S64" i="6"/>
  <c r="S114" i="6"/>
  <c r="S30" i="6"/>
  <c r="O76" i="6"/>
  <c r="Q76" i="6" s="1"/>
  <c r="S9" i="6"/>
  <c r="U119" i="6"/>
  <c r="Z119" i="6" s="1"/>
  <c r="S104" i="6"/>
  <c r="S61" i="6"/>
  <c r="O155" i="6"/>
  <c r="Q155" i="6" s="1"/>
  <c r="S119" i="6"/>
  <c r="U25" i="6"/>
  <c r="AA31" i="6"/>
  <c r="AA81" i="6"/>
  <c r="O86" i="6"/>
  <c r="Q86" i="6" s="1"/>
  <c r="S141" i="6"/>
  <c r="S60" i="6"/>
  <c r="U116" i="6"/>
  <c r="U36" i="6"/>
  <c r="U99" i="6"/>
  <c r="Z99" i="6" s="1"/>
  <c r="U156" i="6"/>
  <c r="Z156" i="6" s="1"/>
  <c r="S11" i="6"/>
  <c r="U14" i="6"/>
  <c r="Z14" i="6" s="1"/>
  <c r="S89" i="6"/>
  <c r="S139" i="6"/>
  <c r="U54" i="6"/>
  <c r="Z54" i="6" s="1"/>
  <c r="U104" i="6"/>
  <c r="Z104" i="6" s="1"/>
  <c r="U154" i="6"/>
  <c r="Z154" i="6" s="1"/>
  <c r="S146" i="6"/>
  <c r="O91" i="6"/>
  <c r="Q91" i="6" s="1"/>
  <c r="S124" i="6"/>
  <c r="U109" i="6"/>
  <c r="Z109" i="6" s="1"/>
  <c r="U29" i="6"/>
  <c r="Z29" i="6" s="1"/>
  <c r="S39" i="6"/>
  <c r="S5" i="6"/>
  <c r="S55" i="6"/>
  <c r="U100" i="6"/>
  <c r="Z100" i="6" s="1"/>
  <c r="U150" i="6"/>
  <c r="AA95" i="6"/>
  <c r="S46" i="6"/>
  <c r="S51" i="6"/>
  <c r="U105" i="6"/>
  <c r="U9" i="6"/>
  <c r="Z9" i="6" s="1"/>
  <c r="O74" i="6"/>
  <c r="Q74" i="6" s="1"/>
  <c r="U74" i="6"/>
  <c r="U40" i="6"/>
  <c r="S40" i="6"/>
  <c r="O40" i="6"/>
  <c r="Q40" i="6" s="1"/>
  <c r="S74" i="6"/>
  <c r="O19" i="6"/>
  <c r="Q19" i="6" s="1"/>
  <c r="S19" i="6"/>
  <c r="O69" i="6"/>
  <c r="Q69" i="6" s="1"/>
  <c r="S69" i="6"/>
  <c r="O35" i="6"/>
  <c r="Q35" i="6" s="1"/>
  <c r="S35" i="6"/>
  <c r="U35" i="6"/>
  <c r="Z35" i="6" s="1"/>
  <c r="O80" i="6"/>
  <c r="Q80" i="6" s="1"/>
  <c r="U80" i="6"/>
  <c r="S80" i="6"/>
  <c r="U130" i="6"/>
  <c r="Z130" i="6" s="1"/>
  <c r="S130" i="6"/>
  <c r="U15" i="6"/>
  <c r="U65" i="6"/>
  <c r="U115" i="6"/>
  <c r="S154" i="6"/>
  <c r="S14" i="6"/>
  <c r="U94" i="6"/>
  <c r="Z94" i="6" s="1"/>
  <c r="S134" i="6"/>
  <c r="S85" i="6"/>
  <c r="U85" i="6"/>
  <c r="U144" i="6"/>
  <c r="Z144" i="6" s="1"/>
  <c r="U89" i="6"/>
  <c r="Z89" i="6" s="1"/>
  <c r="U20" i="6"/>
  <c r="U129" i="6"/>
  <c r="Z129" i="6" s="1"/>
  <c r="U70" i="6"/>
  <c r="U120" i="6"/>
  <c r="O16" i="6"/>
  <c r="Q16" i="6" s="1"/>
  <c r="S16" i="6"/>
  <c r="U16" i="6"/>
  <c r="O66" i="6"/>
  <c r="Q66" i="6" s="1"/>
  <c r="S66" i="6"/>
  <c r="U66" i="6"/>
  <c r="O121" i="6"/>
  <c r="Q121" i="6" s="1"/>
  <c r="U121" i="6"/>
  <c r="S121" i="6"/>
  <c r="S6" i="6"/>
  <c r="U6" i="6"/>
  <c r="O6" i="6"/>
  <c r="Q6" i="6" s="1"/>
  <c r="U19" i="6"/>
  <c r="Z19" i="6" s="1"/>
  <c r="O24" i="6"/>
  <c r="Q24" i="6" s="1"/>
  <c r="U24" i="6"/>
  <c r="Z24" i="6" s="1"/>
  <c r="O135" i="6"/>
  <c r="Q135" i="6" s="1"/>
  <c r="S135" i="6"/>
  <c r="U135" i="6"/>
  <c r="O21" i="6"/>
  <c r="Q21" i="6" s="1"/>
  <c r="U21" i="6"/>
  <c r="S21" i="6"/>
  <c r="O71" i="6"/>
  <c r="Q71" i="6" s="1"/>
  <c r="U71" i="6"/>
  <c r="S71" i="6"/>
  <c r="O126" i="6"/>
  <c r="Q126" i="6" s="1"/>
  <c r="S126" i="6"/>
  <c r="U126" i="6"/>
  <c r="AA116" i="6"/>
  <c r="AF116" i="6" s="1"/>
  <c r="AA11" i="6"/>
  <c r="AF11" i="6" s="1"/>
  <c r="U69" i="6"/>
  <c r="S81" i="6"/>
  <c r="U26" i="6"/>
  <c r="S150" i="6"/>
  <c r="U5" i="6"/>
  <c r="O105" i="6"/>
  <c r="Q105" i="6" s="1"/>
  <c r="S79" i="6"/>
  <c r="U44" i="6"/>
  <c r="Z44" i="6" s="1"/>
  <c r="U34" i="6"/>
  <c r="Z34" i="6" s="1"/>
  <c r="O46" i="6"/>
  <c r="Q46" i="6" s="1"/>
  <c r="O110" i="6"/>
  <c r="Q110" i="6" s="1"/>
  <c r="O95" i="6"/>
  <c r="Q95" i="6" s="1"/>
  <c r="S140" i="6"/>
  <c r="S100" i="6"/>
  <c r="U45" i="6"/>
  <c r="U124" i="6"/>
  <c r="Z124" i="6" s="1"/>
  <c r="U84" i="6"/>
  <c r="Z84" i="6" s="1"/>
  <c r="U4" i="6"/>
  <c r="AA96" i="6"/>
  <c r="AA146" i="6"/>
  <c r="AF146" i="6" s="1"/>
  <c r="O51" i="6"/>
  <c r="Q51" i="6" s="1"/>
  <c r="O115" i="6"/>
  <c r="Q115" i="6" s="1"/>
  <c r="S31" i="6"/>
  <c r="U76" i="6"/>
  <c r="S90" i="6"/>
  <c r="S50" i="6"/>
  <c r="U145" i="6"/>
  <c r="U95" i="6"/>
  <c r="U55" i="6"/>
  <c r="Z55" i="6" s="1"/>
  <c r="O39" i="6"/>
  <c r="Q39" i="6" s="1"/>
  <c r="S149" i="6"/>
  <c r="AA101" i="6"/>
  <c r="AF101" i="6" s="1"/>
  <c r="O60" i="6"/>
  <c r="Q60" i="6" s="1"/>
  <c r="O120" i="6"/>
  <c r="Q120" i="6" s="1"/>
  <c r="S156" i="6"/>
  <c r="AF156" i="6" s="1"/>
  <c r="S136" i="6"/>
  <c r="S116" i="6"/>
  <c r="S106" i="6"/>
  <c r="S96" i="6"/>
  <c r="S56" i="6"/>
  <c r="S36" i="6"/>
  <c r="U151" i="6"/>
  <c r="U141" i="6"/>
  <c r="U131" i="6"/>
  <c r="U111" i="6"/>
  <c r="U101" i="6"/>
  <c r="U81" i="6"/>
  <c r="U61" i="6"/>
  <c r="U41" i="6"/>
  <c r="U11" i="6"/>
  <c r="U136" i="6"/>
  <c r="U125" i="6"/>
  <c r="U75" i="6"/>
  <c r="S4" i="6"/>
  <c r="S29" i="6"/>
  <c r="U64" i="6"/>
  <c r="AA6" i="6"/>
  <c r="AA56" i="6"/>
  <c r="AA106" i="6"/>
  <c r="AF106" i="6" s="1"/>
  <c r="O70" i="6"/>
  <c r="Q70" i="6" s="1"/>
  <c r="S125" i="6"/>
  <c r="S75" i="6"/>
  <c r="S65" i="6"/>
  <c r="S45" i="6"/>
  <c r="S25" i="6"/>
  <c r="U140" i="6"/>
  <c r="Z140" i="6" s="1"/>
  <c r="U90" i="6"/>
  <c r="U50" i="6"/>
  <c r="U30" i="6"/>
  <c r="Z30" i="6" s="1"/>
  <c r="AA25" i="6"/>
  <c r="AF25" i="6" s="1"/>
  <c r="AA151" i="6"/>
  <c r="AF151" i="6" s="1"/>
  <c r="AA21" i="6"/>
  <c r="AF21" i="6" s="1"/>
  <c r="AA20" i="6"/>
  <c r="AA51" i="6"/>
  <c r="AA35" i="6"/>
  <c r="O10" i="6"/>
  <c r="Q10" i="6" s="1"/>
  <c r="O100" i="6"/>
  <c r="Q100" i="6" s="1"/>
  <c r="AA70" i="6"/>
  <c r="AF70" i="6" s="1"/>
  <c r="AA105" i="6"/>
  <c r="AF105" i="6" s="1"/>
  <c r="AA155" i="6"/>
  <c r="AF155" i="6" s="1"/>
  <c r="AA55" i="6"/>
  <c r="AF55" i="6" s="1"/>
  <c r="AA4" i="6"/>
  <c r="AF4" i="6" s="1"/>
  <c r="AA45" i="6"/>
  <c r="AF45" i="6" s="1"/>
  <c r="AA79" i="6"/>
  <c r="AA5" i="6"/>
  <c r="AA29" i="6"/>
  <c r="AF29" i="6" s="1"/>
  <c r="O55" i="6"/>
  <c r="Q55" i="6" s="1"/>
  <c r="AA109" i="6"/>
  <c r="AF109" i="6" s="1"/>
  <c r="AA65" i="6"/>
  <c r="AA34" i="6"/>
  <c r="AF34" i="6" s="1"/>
  <c r="AA19" i="6"/>
  <c r="AF19" i="6" s="1"/>
  <c r="AA64" i="6"/>
  <c r="AF64" i="6" s="1"/>
  <c r="AA114" i="6"/>
  <c r="AA44" i="6"/>
  <c r="AF44" i="6" s="1"/>
  <c r="AA94" i="6"/>
  <c r="AA100" i="6"/>
  <c r="AF100" i="6" s="1"/>
  <c r="AA124" i="6"/>
  <c r="AF124" i="6" s="1"/>
  <c r="AA15" i="6"/>
  <c r="AA14" i="6"/>
  <c r="AA59" i="6"/>
  <c r="AF59" i="6" s="1"/>
  <c r="AA24" i="6"/>
  <c r="AF24" i="6" s="1"/>
  <c r="AA69" i="6"/>
  <c r="AF69" i="6" s="1"/>
  <c r="AA119" i="6"/>
  <c r="AF119" i="6" s="1"/>
  <c r="AA99" i="6"/>
  <c r="AA135" i="6"/>
  <c r="AB25" i="6"/>
  <c r="AD25" i="6" s="1"/>
  <c r="AA115" i="6"/>
  <c r="AF115" i="6" s="1"/>
  <c r="AA74" i="6"/>
  <c r="AF74" i="6" s="1"/>
  <c r="AA54" i="6"/>
  <c r="AF54" i="6" s="1"/>
  <c r="AA104" i="6"/>
  <c r="AA10" i="6"/>
  <c r="AF10" i="6" s="1"/>
  <c r="AA110" i="6"/>
  <c r="AF110" i="6" s="1"/>
  <c r="AA9" i="6"/>
  <c r="AA84" i="6"/>
  <c r="AB84" i="6"/>
  <c r="AD84" i="6" s="1"/>
  <c r="AA3" i="6"/>
  <c r="AA85" i="6"/>
  <c r="AF85" i="6" s="1"/>
  <c r="AA49" i="6"/>
  <c r="AF49" i="6" s="1"/>
  <c r="AA125" i="6"/>
  <c r="AA80" i="6"/>
  <c r="AF80" i="6" s="1"/>
  <c r="AB80" i="6"/>
  <c r="AD80" i="6" s="1"/>
  <c r="AA89" i="6"/>
  <c r="AF89" i="6" s="1"/>
  <c r="AA75" i="6"/>
  <c r="AA39" i="6"/>
  <c r="AA40" i="6"/>
  <c r="AB40" i="6"/>
  <c r="AD40" i="6" s="1"/>
  <c r="AA90" i="6"/>
  <c r="AF90" i="6" s="1"/>
  <c r="AA140" i="6"/>
  <c r="O130" i="6"/>
  <c r="Q130" i="6" s="1"/>
  <c r="AA149" i="6"/>
  <c r="AA30" i="6"/>
  <c r="AF30" i="6" s="1"/>
  <c r="AA130" i="6"/>
  <c r="AF130" i="6" s="1"/>
  <c r="AA134" i="6"/>
  <c r="AF134" i="6" s="1"/>
  <c r="AD4" i="6"/>
  <c r="AB45" i="6"/>
  <c r="AD45" i="6" s="1"/>
  <c r="AA145" i="6"/>
  <c r="AA129" i="6"/>
  <c r="AF129" i="6" s="1"/>
  <c r="AA139" i="6"/>
  <c r="AB34" i="6"/>
  <c r="AD34" i="6" s="1"/>
  <c r="O85" i="6"/>
  <c r="Q85" i="6" s="1"/>
  <c r="AA50" i="6"/>
  <c r="AF50" i="6" s="1"/>
  <c r="AB50" i="6"/>
  <c r="AD50" i="6" s="1"/>
  <c r="AA150" i="6"/>
  <c r="AF150" i="6" s="1"/>
  <c r="AA144" i="6"/>
  <c r="AB10" i="6"/>
  <c r="AD10" i="6" s="1"/>
  <c r="AA120" i="6"/>
  <c r="AA60" i="6"/>
  <c r="O99" i="6"/>
  <c r="Q99" i="6" s="1"/>
  <c r="O15" i="6"/>
  <c r="Q15" i="6" s="1"/>
  <c r="O20" i="6"/>
  <c r="Q20" i="6" s="1"/>
  <c r="AB104" i="6"/>
  <c r="AD104" i="6" s="1"/>
  <c r="AB109" i="6"/>
  <c r="AD109" i="6" s="1"/>
  <c r="AB114" i="6"/>
  <c r="AD114" i="6" s="1"/>
  <c r="AB94" i="6"/>
  <c r="AD94" i="6" s="1"/>
  <c r="AB154" i="6"/>
  <c r="AD154" i="6" s="1"/>
  <c r="O139" i="6"/>
  <c r="Q139" i="6" s="1"/>
  <c r="O129" i="6"/>
  <c r="Q129" i="6" s="1"/>
  <c r="O134" i="6"/>
  <c r="Q134" i="6" s="1"/>
  <c r="O49" i="6"/>
  <c r="Q49" i="6" s="1"/>
  <c r="AB79" i="6"/>
  <c r="AD79" i="6" s="1"/>
  <c r="O54" i="6"/>
  <c r="Q54" i="6" s="1"/>
  <c r="O89" i="6"/>
  <c r="Q89" i="6" s="1"/>
  <c r="O94" i="6"/>
  <c r="Q94" i="6" s="1"/>
  <c r="AB54" i="6"/>
  <c r="AD54" i="6" s="1"/>
  <c r="AB44" i="6"/>
  <c r="AD44" i="6" s="1"/>
  <c r="O144" i="6"/>
  <c r="Q144" i="6" s="1"/>
  <c r="O114" i="6"/>
  <c r="Q114" i="6" s="1"/>
  <c r="O14" i="6"/>
  <c r="Q14" i="6" s="1"/>
  <c r="AF131" i="6" l="1"/>
  <c r="AF136" i="6"/>
  <c r="AF31" i="6"/>
  <c r="AF104" i="6"/>
  <c r="AF65" i="6"/>
  <c r="AF140" i="6"/>
  <c r="AF81" i="6"/>
  <c r="AF75" i="6"/>
  <c r="AF9" i="6"/>
  <c r="AF114" i="6"/>
  <c r="AF20" i="6"/>
  <c r="AF126" i="6"/>
  <c r="AF121" i="6"/>
  <c r="AF111" i="6"/>
  <c r="AF154" i="6"/>
  <c r="AF14" i="6"/>
  <c r="AF56" i="6"/>
  <c r="AF66" i="6"/>
  <c r="AF141" i="6"/>
  <c r="AF15" i="6"/>
  <c r="AF145" i="6"/>
  <c r="AF35" i="6"/>
  <c r="AF16" i="6"/>
  <c r="AF149" i="6"/>
  <c r="AF125" i="6"/>
  <c r="AF96" i="6"/>
  <c r="AF139" i="6"/>
  <c r="AF91" i="6"/>
  <c r="AF60" i="6"/>
  <c r="AF6" i="6"/>
  <c r="AF120" i="6"/>
  <c r="AF40" i="6"/>
  <c r="AF135" i="6"/>
  <c r="AF94" i="6"/>
  <c r="AF5" i="6"/>
  <c r="AF144" i="6"/>
  <c r="AF39" i="6"/>
  <c r="AF84" i="6"/>
  <c r="AF99" i="6"/>
  <c r="AF79" i="6"/>
  <c r="AF51" i="6"/>
  <c r="AF95" i="6"/>
  <c r="AF46" i="6"/>
  <c r="AF36" i="6"/>
  <c r="Z46" i="6"/>
  <c r="Z75" i="6"/>
  <c r="Z64" i="6"/>
  <c r="Z101" i="6"/>
  <c r="Z105" i="6"/>
  <c r="Z25" i="6"/>
  <c r="Z155" i="6"/>
  <c r="Z111" i="6"/>
  <c r="Z45" i="6"/>
  <c r="Z85" i="6"/>
  <c r="Z106" i="6"/>
  <c r="Z91" i="6"/>
  <c r="Z60" i="6"/>
  <c r="Z131" i="6"/>
  <c r="Z26" i="6"/>
  <c r="Z36" i="6"/>
  <c r="Z151" i="6"/>
  <c r="Z80" i="6"/>
  <c r="Z51" i="6"/>
  <c r="Z41" i="6"/>
  <c r="Z135" i="6"/>
  <c r="Z121" i="6"/>
  <c r="Z74" i="6"/>
  <c r="Z146" i="6"/>
  <c r="Z31" i="6"/>
  <c r="Z116" i="6"/>
  <c r="Z96" i="6"/>
  <c r="Z136" i="6"/>
  <c r="Z69" i="6"/>
  <c r="Z120" i="6"/>
  <c r="Z70" i="6"/>
  <c r="Z40" i="6"/>
  <c r="Z56" i="6"/>
  <c r="Z50" i="6"/>
  <c r="Z61" i="6"/>
  <c r="Z95" i="6"/>
  <c r="Z126" i="6"/>
  <c r="Z115" i="6"/>
  <c r="Z39" i="6"/>
  <c r="Z76" i="6"/>
  <c r="Z71" i="6"/>
  <c r="Z110" i="6"/>
  <c r="Z141" i="6"/>
  <c r="Z125" i="6"/>
  <c r="Z150" i="6"/>
  <c r="Z90" i="6"/>
  <c r="Z81" i="6"/>
  <c r="Z145" i="6"/>
  <c r="Z66" i="6"/>
  <c r="Z65" i="6"/>
  <c r="Z86" i="6"/>
  <c r="Z20" i="6"/>
  <c r="Z16" i="6"/>
  <c r="V16" i="6"/>
  <c r="X16" i="6" s="1"/>
  <c r="Z21" i="6"/>
  <c r="Z15" i="6"/>
  <c r="V15" i="6"/>
  <c r="X15" i="6" s="1"/>
  <c r="Z11" i="6"/>
  <c r="Z10" i="6"/>
  <c r="Z6" i="6"/>
  <c r="Z5" i="6"/>
  <c r="Z4" i="6"/>
  <c r="V14" i="6"/>
  <c r="X14" i="6" s="1"/>
  <c r="T123" i="6" l="1"/>
  <c r="T153" i="6"/>
  <c r="U153" i="6" s="1"/>
  <c r="T148" i="6"/>
  <c r="AB148" i="6" s="1"/>
  <c r="AD148" i="6" s="1"/>
  <c r="T143" i="6"/>
  <c r="AB143" i="6" s="1"/>
  <c r="AD143" i="6" s="1"/>
  <c r="T138" i="6"/>
  <c r="T133" i="6"/>
  <c r="AA133" i="6" s="1"/>
  <c r="T128" i="6"/>
  <c r="T118" i="6"/>
  <c r="T113" i="6"/>
  <c r="T108" i="6"/>
  <c r="T103" i="6"/>
  <c r="T98" i="6"/>
  <c r="T93" i="6"/>
  <c r="T88" i="6"/>
  <c r="T83" i="6"/>
  <c r="T78" i="6"/>
  <c r="T73" i="6"/>
  <c r="AB73" i="6" s="1"/>
  <c r="AD73" i="6" s="1"/>
  <c r="T68" i="6"/>
  <c r="T63" i="6"/>
  <c r="AB63" i="6" s="1"/>
  <c r="AD63" i="6" s="1"/>
  <c r="T58" i="6"/>
  <c r="T53" i="6"/>
  <c r="T48" i="6"/>
  <c r="T43" i="6"/>
  <c r="T38" i="6"/>
  <c r="T33" i="6"/>
  <c r="T28" i="6"/>
  <c r="T23" i="6"/>
  <c r="T18" i="6"/>
  <c r="AB18" i="6" s="1"/>
  <c r="AD18" i="6" s="1"/>
  <c r="T13" i="6"/>
  <c r="U13" i="6" s="1"/>
  <c r="T8" i="6"/>
  <c r="U8" i="6" s="1"/>
  <c r="M3" i="6"/>
  <c r="T2" i="6"/>
  <c r="N153" i="6"/>
  <c r="S153" i="6" s="1"/>
  <c r="N148" i="6"/>
  <c r="N143" i="6"/>
  <c r="N138" i="6"/>
  <c r="N128" i="6"/>
  <c r="N123" i="6"/>
  <c r="N118" i="6"/>
  <c r="N113" i="6"/>
  <c r="N108" i="6"/>
  <c r="N103" i="6"/>
  <c r="N98" i="6"/>
  <c r="N93" i="6"/>
  <c r="N88" i="6"/>
  <c r="N83" i="6"/>
  <c r="N78" i="6"/>
  <c r="N73" i="6"/>
  <c r="N68" i="6"/>
  <c r="N63" i="6"/>
  <c r="N58" i="6"/>
  <c r="N53" i="6"/>
  <c r="N48" i="6"/>
  <c r="N43" i="6"/>
  <c r="N33" i="6"/>
  <c r="N28" i="6"/>
  <c r="N23" i="6"/>
  <c r="N18" i="6"/>
  <c r="N13" i="6"/>
  <c r="S13" i="6" s="1"/>
  <c r="N8" i="6"/>
  <c r="S8" i="6" s="1"/>
  <c r="O8" i="6"/>
  <c r="Q8" i="6" s="1"/>
  <c r="M7" i="6"/>
  <c r="M148" i="6"/>
  <c r="M143" i="6"/>
  <c r="M138" i="6"/>
  <c r="M133" i="6"/>
  <c r="M128" i="6"/>
  <c r="M123" i="6"/>
  <c r="M118" i="6"/>
  <c r="M113" i="6"/>
  <c r="M108" i="6"/>
  <c r="M103" i="6"/>
  <c r="M98" i="6"/>
  <c r="M93" i="6"/>
  <c r="M88" i="6"/>
  <c r="M83" i="6"/>
  <c r="M78" i="6"/>
  <c r="M73" i="6"/>
  <c r="M68" i="6"/>
  <c r="M63" i="6"/>
  <c r="M58" i="6"/>
  <c r="M53" i="6"/>
  <c r="M48" i="6"/>
  <c r="M43" i="6"/>
  <c r="M38" i="6"/>
  <c r="M33" i="6"/>
  <c r="M28" i="6"/>
  <c r="M23" i="6"/>
  <c r="M152" i="6"/>
  <c r="M18" i="6"/>
  <c r="M12" i="6"/>
  <c r="M17" i="6"/>
  <c r="M22" i="6"/>
  <c r="M27" i="6"/>
  <c r="M32" i="6"/>
  <c r="M37" i="6"/>
  <c r="M42" i="6"/>
  <c r="M47" i="6"/>
  <c r="M52" i="6"/>
  <c r="M57" i="6"/>
  <c r="M62" i="6"/>
  <c r="M67" i="6"/>
  <c r="M72" i="6"/>
  <c r="M77" i="6"/>
  <c r="M82" i="6"/>
  <c r="M87" i="6"/>
  <c r="M92" i="6"/>
  <c r="M97" i="6"/>
  <c r="M102" i="6"/>
  <c r="M107" i="6"/>
  <c r="M112" i="6"/>
  <c r="M117" i="6"/>
  <c r="M122" i="6"/>
  <c r="M127" i="6"/>
  <c r="M132" i="6"/>
  <c r="M137" i="6"/>
  <c r="M142" i="6"/>
  <c r="M147" i="6"/>
  <c r="M2" i="6"/>
  <c r="T7" i="6"/>
  <c r="T142" i="6"/>
  <c r="AB142" i="6" s="1"/>
  <c r="AD142" i="6" s="1"/>
  <c r="T12" i="6"/>
  <c r="T17" i="6"/>
  <c r="AB17" i="6" s="1"/>
  <c r="AD17" i="6" s="1"/>
  <c r="T22" i="6"/>
  <c r="T27" i="6"/>
  <c r="T32" i="6"/>
  <c r="T37" i="6"/>
  <c r="T42" i="6"/>
  <c r="T47" i="6"/>
  <c r="T52" i="6"/>
  <c r="T57" i="6"/>
  <c r="T62" i="6"/>
  <c r="T67" i="6"/>
  <c r="T72" i="6"/>
  <c r="AB72" i="6" s="1"/>
  <c r="AD72" i="6" s="1"/>
  <c r="T77" i="6"/>
  <c r="AB77" i="6" s="1"/>
  <c r="AD77" i="6" s="1"/>
  <c r="T82" i="6"/>
  <c r="T87" i="6"/>
  <c r="T92" i="6"/>
  <c r="T97" i="6"/>
  <c r="AB97" i="6" s="1"/>
  <c r="AD97" i="6" s="1"/>
  <c r="T102" i="6"/>
  <c r="T107" i="6"/>
  <c r="T112" i="6"/>
  <c r="T117" i="6"/>
  <c r="T122" i="6"/>
  <c r="T127" i="6"/>
  <c r="T132" i="6"/>
  <c r="T137" i="6"/>
  <c r="T147" i="6"/>
  <c r="AB147" i="6" s="1"/>
  <c r="T152" i="6"/>
  <c r="I3" i="6"/>
  <c r="I5" i="6"/>
  <c r="I6" i="6"/>
  <c r="I7" i="6"/>
  <c r="V31" i="6" s="1"/>
  <c r="X31" i="6" s="1"/>
  <c r="I8" i="6"/>
  <c r="V36" i="6" s="1"/>
  <c r="X36" i="6" s="1"/>
  <c r="I9" i="6"/>
  <c r="I10" i="6"/>
  <c r="I11" i="6"/>
  <c r="I12" i="6"/>
  <c r="V56" i="6" s="1"/>
  <c r="X56" i="6" s="1"/>
  <c r="I13" i="6"/>
  <c r="I14" i="6"/>
  <c r="I15" i="6"/>
  <c r="I16" i="6"/>
  <c r="I17" i="6"/>
  <c r="I18" i="6"/>
  <c r="I19" i="6"/>
  <c r="I20" i="6"/>
  <c r="I21" i="6"/>
  <c r="V101" i="6" s="1"/>
  <c r="X101" i="6" s="1"/>
  <c r="I22" i="6"/>
  <c r="I23" i="6"/>
  <c r="I24" i="6"/>
  <c r="I25" i="6"/>
  <c r="I26" i="6"/>
  <c r="I27" i="6"/>
  <c r="V131" i="6" s="1"/>
  <c r="X131" i="6" s="1"/>
  <c r="I28" i="6"/>
  <c r="I29" i="6"/>
  <c r="V141" i="6" s="1"/>
  <c r="X141" i="6" s="1"/>
  <c r="I30" i="6"/>
  <c r="I31" i="6"/>
  <c r="I32" i="6"/>
  <c r="V6" i="6"/>
  <c r="X6" i="6" s="1"/>
  <c r="N7" i="6"/>
  <c r="N12" i="6"/>
  <c r="N17" i="6"/>
  <c r="N22" i="6"/>
  <c r="N27" i="6"/>
  <c r="N32" i="6"/>
  <c r="N37" i="6"/>
  <c r="N42" i="6"/>
  <c r="N47" i="6"/>
  <c r="N52" i="6"/>
  <c r="N57" i="6"/>
  <c r="N62" i="6"/>
  <c r="N67" i="6"/>
  <c r="N72" i="6"/>
  <c r="N77" i="6"/>
  <c r="N82" i="6"/>
  <c r="N87" i="6"/>
  <c r="N92" i="6"/>
  <c r="N97" i="6"/>
  <c r="N102" i="6"/>
  <c r="N107" i="6"/>
  <c r="N112" i="6"/>
  <c r="N117" i="6"/>
  <c r="N122" i="6"/>
  <c r="N127" i="6"/>
  <c r="N132" i="6"/>
  <c r="N137" i="6"/>
  <c r="N142" i="6"/>
  <c r="N147" i="6"/>
  <c r="N152" i="6"/>
  <c r="AC151" i="6" l="1"/>
  <c r="AD147" i="6"/>
  <c r="AA132" i="6"/>
  <c r="V146" i="6"/>
  <c r="X146" i="6" s="1"/>
  <c r="V145" i="6"/>
  <c r="X145" i="6" s="1"/>
  <c r="V111" i="6"/>
  <c r="X111" i="6" s="1"/>
  <c r="V110" i="6"/>
  <c r="X110" i="6" s="1"/>
  <c r="V61" i="6"/>
  <c r="X61" i="6" s="1"/>
  <c r="V60" i="6"/>
  <c r="X60" i="6" s="1"/>
  <c r="V156" i="6"/>
  <c r="X156" i="6" s="1"/>
  <c r="V155" i="6"/>
  <c r="X155" i="6" s="1"/>
  <c r="V106" i="6"/>
  <c r="X106" i="6" s="1"/>
  <c r="V105" i="6"/>
  <c r="X105" i="6" s="1"/>
  <c r="V51" i="6"/>
  <c r="X51" i="6" s="1"/>
  <c r="V50" i="6"/>
  <c r="X50" i="6" s="1"/>
  <c r="V95" i="6"/>
  <c r="X95" i="6" s="1"/>
  <c r="V96" i="6"/>
  <c r="X96" i="6" s="1"/>
  <c r="V90" i="6"/>
  <c r="X90" i="6" s="1"/>
  <c r="V91" i="6"/>
  <c r="X91" i="6" s="1"/>
  <c r="AC76" i="6"/>
  <c r="V81" i="6"/>
  <c r="X81" i="6" s="1"/>
  <c r="V80" i="6"/>
  <c r="X80" i="6" s="1"/>
  <c r="V126" i="6"/>
  <c r="X126" i="6" s="1"/>
  <c r="V125" i="6"/>
  <c r="X125" i="6" s="1"/>
  <c r="V76" i="6"/>
  <c r="X76" i="6" s="1"/>
  <c r="V75" i="6"/>
  <c r="X75" i="6" s="1"/>
  <c r="V74" i="6"/>
  <c r="X74" i="6" s="1"/>
  <c r="V26" i="6"/>
  <c r="X26" i="6" s="1"/>
  <c r="V25" i="6"/>
  <c r="X25" i="6" s="1"/>
  <c r="V41" i="6"/>
  <c r="X41" i="6" s="1"/>
  <c r="V40" i="6"/>
  <c r="X40" i="6" s="1"/>
  <c r="V39" i="6"/>
  <c r="X39" i="6" s="1"/>
  <c r="V86" i="6"/>
  <c r="X86" i="6" s="1"/>
  <c r="V85" i="6"/>
  <c r="X85" i="6" s="1"/>
  <c r="AC21" i="6"/>
  <c r="V120" i="6"/>
  <c r="X120" i="6" s="1"/>
  <c r="V121" i="6"/>
  <c r="X121" i="6" s="1"/>
  <c r="V70" i="6"/>
  <c r="X70" i="6" s="1"/>
  <c r="V71" i="6"/>
  <c r="X71" i="6" s="1"/>
  <c r="V69" i="6"/>
  <c r="X69" i="6" s="1"/>
  <c r="AC146" i="6"/>
  <c r="V150" i="6"/>
  <c r="X150" i="6" s="1"/>
  <c r="V151" i="6"/>
  <c r="X151" i="6" s="1"/>
  <c r="V46" i="6"/>
  <c r="X46" i="6" s="1"/>
  <c r="V45" i="6"/>
  <c r="X45" i="6" s="1"/>
  <c r="V135" i="6"/>
  <c r="X135" i="6" s="1"/>
  <c r="V136" i="6"/>
  <c r="X136" i="6" s="1"/>
  <c r="V115" i="6"/>
  <c r="X115" i="6" s="1"/>
  <c r="V116" i="6"/>
  <c r="X116" i="6" s="1"/>
  <c r="V65" i="6"/>
  <c r="X65" i="6" s="1"/>
  <c r="V64" i="6"/>
  <c r="X64" i="6" s="1"/>
  <c r="V66" i="6"/>
  <c r="X66" i="6" s="1"/>
  <c r="V20" i="6"/>
  <c r="X20" i="6" s="1"/>
  <c r="V21" i="6"/>
  <c r="X21" i="6" s="1"/>
  <c r="Z13" i="6"/>
  <c r="V10" i="6"/>
  <c r="X10" i="6" s="1"/>
  <c r="V11" i="6"/>
  <c r="X11" i="6" s="1"/>
  <c r="AA72" i="6"/>
  <c r="AF72" i="6" s="1"/>
  <c r="AA67" i="6"/>
  <c r="AA17" i="6"/>
  <c r="AF17" i="6" s="1"/>
  <c r="O97" i="6"/>
  <c r="Q97" i="6" s="1"/>
  <c r="S97" i="6"/>
  <c r="U97" i="6"/>
  <c r="Z97" i="6" s="1"/>
  <c r="S128" i="6"/>
  <c r="U128" i="6"/>
  <c r="Z128" i="6" s="1"/>
  <c r="S37" i="6"/>
  <c r="U37" i="6"/>
  <c r="V5" i="6"/>
  <c r="X5" i="6" s="1"/>
  <c r="O102" i="6"/>
  <c r="Q102" i="6" s="1"/>
  <c r="U102" i="6"/>
  <c r="Z102" i="6" s="1"/>
  <c r="S102" i="6"/>
  <c r="U52" i="6"/>
  <c r="Z52" i="6" s="1"/>
  <c r="S52" i="6"/>
  <c r="O152" i="6"/>
  <c r="U152" i="6"/>
  <c r="Z152" i="6" s="1"/>
  <c r="S152" i="6"/>
  <c r="U68" i="6"/>
  <c r="S68" i="6"/>
  <c r="S118" i="6"/>
  <c r="U118" i="6"/>
  <c r="Z118" i="6" s="1"/>
  <c r="Z8" i="6"/>
  <c r="O92" i="6"/>
  <c r="Q92" i="6" s="1"/>
  <c r="U92" i="6"/>
  <c r="Z92" i="6" s="1"/>
  <c r="S92" i="6"/>
  <c r="O28" i="6"/>
  <c r="Q28" i="6" s="1"/>
  <c r="U28" i="6"/>
  <c r="Z28" i="6" s="1"/>
  <c r="S28" i="6"/>
  <c r="U87" i="6"/>
  <c r="Z87" i="6" s="1"/>
  <c r="S87" i="6"/>
  <c r="O133" i="6"/>
  <c r="Q133" i="6" s="1"/>
  <c r="U133" i="6"/>
  <c r="Z133" i="6" s="1"/>
  <c r="S133" i="6"/>
  <c r="AF133" i="6" s="1"/>
  <c r="U82" i="6"/>
  <c r="Z82" i="6" s="1"/>
  <c r="S82" i="6"/>
  <c r="O88" i="6"/>
  <c r="Q88" i="6" s="1"/>
  <c r="S88" i="6"/>
  <c r="U88" i="6"/>
  <c r="Z88" i="6" s="1"/>
  <c r="S127" i="6"/>
  <c r="U127" i="6"/>
  <c r="Z127" i="6" s="1"/>
  <c r="U93" i="6"/>
  <c r="Z93" i="6" s="1"/>
  <c r="S93" i="6"/>
  <c r="S72" i="6"/>
  <c r="U72" i="6"/>
  <c r="Z72" i="6" s="1"/>
  <c r="S148" i="6"/>
  <c r="U148" i="6"/>
  <c r="Z148" i="6" s="1"/>
  <c r="O117" i="6"/>
  <c r="Q117" i="6" s="1"/>
  <c r="U117" i="6"/>
  <c r="Z117" i="6" s="1"/>
  <c r="S117" i="6"/>
  <c r="S67" i="6"/>
  <c r="U67" i="6"/>
  <c r="O17" i="6"/>
  <c r="Q17" i="6" s="1"/>
  <c r="U17" i="6"/>
  <c r="Z17" i="6" s="1"/>
  <c r="S17" i="6"/>
  <c r="U53" i="6"/>
  <c r="Z53" i="6" s="1"/>
  <c r="S53" i="6"/>
  <c r="U103" i="6"/>
  <c r="Z103" i="6" s="1"/>
  <c r="S103" i="6"/>
  <c r="O147" i="6"/>
  <c r="Q147" i="6" s="1"/>
  <c r="R151" i="6" s="1"/>
  <c r="U147" i="6"/>
  <c r="Z147" i="6" s="1"/>
  <c r="S147" i="6"/>
  <c r="U23" i="6"/>
  <c r="Z23" i="6" s="1"/>
  <c r="S23" i="6"/>
  <c r="U123" i="6"/>
  <c r="Z123" i="6" s="1"/>
  <c r="S123" i="6"/>
  <c r="O142" i="6"/>
  <c r="Q142" i="6" s="1"/>
  <c r="U142" i="6"/>
  <c r="Z142" i="6" s="1"/>
  <c r="S142" i="6"/>
  <c r="S78" i="6"/>
  <c r="U78" i="6"/>
  <c r="Z78" i="6" s="1"/>
  <c r="S137" i="6"/>
  <c r="U137" i="6"/>
  <c r="Z137" i="6" s="1"/>
  <c r="U83" i="6"/>
  <c r="Z83" i="6" s="1"/>
  <c r="S83" i="6"/>
  <c r="O32" i="6"/>
  <c r="Q32" i="6" s="1"/>
  <c r="S32" i="6"/>
  <c r="U32" i="6"/>
  <c r="Z32" i="6" s="1"/>
  <c r="O138" i="6"/>
  <c r="Q138" i="6" s="1"/>
  <c r="S138" i="6"/>
  <c r="U138" i="6"/>
  <c r="Z138" i="6" s="1"/>
  <c r="O27" i="6"/>
  <c r="Q27" i="6" s="1"/>
  <c r="R31" i="6" s="1"/>
  <c r="S27" i="6"/>
  <c r="U27" i="6"/>
  <c r="Z27" i="6" s="1"/>
  <c r="U143" i="6"/>
  <c r="Z143" i="6" s="1"/>
  <c r="S143" i="6"/>
  <c r="O122" i="6"/>
  <c r="Q122" i="6" s="1"/>
  <c r="S122" i="6"/>
  <c r="U122" i="6"/>
  <c r="Z122" i="6" s="1"/>
  <c r="S48" i="6"/>
  <c r="U48" i="6"/>
  <c r="Z48" i="6" s="1"/>
  <c r="S112" i="6"/>
  <c r="U112" i="6"/>
  <c r="Z112" i="6" s="1"/>
  <c r="O62" i="6"/>
  <c r="Q62" i="6" s="1"/>
  <c r="S62" i="6"/>
  <c r="U62" i="6"/>
  <c r="U12" i="6"/>
  <c r="Z12" i="6" s="1"/>
  <c r="S12" i="6"/>
  <c r="O58" i="6"/>
  <c r="Q58" i="6" s="1"/>
  <c r="S58" i="6"/>
  <c r="U58" i="6"/>
  <c r="Z58" i="6" s="1"/>
  <c r="O108" i="6"/>
  <c r="Q108" i="6" s="1"/>
  <c r="S108" i="6"/>
  <c r="U108" i="6"/>
  <c r="Z108" i="6" s="1"/>
  <c r="U7" i="6"/>
  <c r="Z7" i="6" s="1"/>
  <c r="S7" i="6"/>
  <c r="Z153" i="6"/>
  <c r="O47" i="6"/>
  <c r="Q47" i="6" s="1"/>
  <c r="S47" i="6"/>
  <c r="U47" i="6"/>
  <c r="Z47" i="6" s="1"/>
  <c r="O73" i="6"/>
  <c r="Q73" i="6" s="1"/>
  <c r="U73" i="6"/>
  <c r="Z73" i="6" s="1"/>
  <c r="S73" i="6"/>
  <c r="O42" i="6"/>
  <c r="Q42" i="6" s="1"/>
  <c r="U42" i="6"/>
  <c r="Z42" i="6" s="1"/>
  <c r="S42" i="6"/>
  <c r="O33" i="6"/>
  <c r="Q33" i="6" s="1"/>
  <c r="U33" i="6"/>
  <c r="Z33" i="6" s="1"/>
  <c r="S33" i="6"/>
  <c r="U132" i="6"/>
  <c r="Z132" i="6" s="1"/>
  <c r="S132" i="6"/>
  <c r="O38" i="6"/>
  <c r="Q38" i="6" s="1"/>
  <c r="U38" i="6"/>
  <c r="S38" i="6"/>
  <c r="S77" i="6"/>
  <c r="U77" i="6"/>
  <c r="Z77" i="6" s="1"/>
  <c r="U43" i="6"/>
  <c r="Z43" i="6" s="1"/>
  <c r="S43" i="6"/>
  <c r="S22" i="6"/>
  <c r="U22" i="6"/>
  <c r="Z22" i="6" s="1"/>
  <c r="O98" i="6"/>
  <c r="Q98" i="6" s="1"/>
  <c r="S98" i="6"/>
  <c r="U98" i="6"/>
  <c r="Z98" i="6" s="1"/>
  <c r="O107" i="6"/>
  <c r="Q107" i="6" s="1"/>
  <c r="S107" i="6"/>
  <c r="U107" i="6"/>
  <c r="Z107" i="6" s="1"/>
  <c r="O57" i="6"/>
  <c r="Q57" i="6" s="1"/>
  <c r="U57" i="6"/>
  <c r="Z57" i="6" s="1"/>
  <c r="S57" i="6"/>
  <c r="U18" i="6"/>
  <c r="Z18" i="6" s="1"/>
  <c r="S18" i="6"/>
  <c r="U63" i="6"/>
  <c r="S63" i="6"/>
  <c r="U113" i="6"/>
  <c r="Z113" i="6" s="1"/>
  <c r="S113" i="6"/>
  <c r="U3" i="6"/>
  <c r="S3" i="6"/>
  <c r="AF3" i="6" s="1"/>
  <c r="AA18" i="6"/>
  <c r="AA23" i="6"/>
  <c r="AF23" i="6" s="1"/>
  <c r="AA107" i="6"/>
  <c r="AF107" i="6" s="1"/>
  <c r="V54" i="6"/>
  <c r="X54" i="6" s="1"/>
  <c r="V55" i="6"/>
  <c r="X55" i="6" s="1"/>
  <c r="AB42" i="6"/>
  <c r="AA42" i="6"/>
  <c r="AB113" i="6"/>
  <c r="AD113" i="6" s="1"/>
  <c r="AA113" i="6"/>
  <c r="AF113" i="6" s="1"/>
  <c r="AB137" i="6"/>
  <c r="AA137" i="6"/>
  <c r="AB118" i="6"/>
  <c r="AD118" i="6" s="1"/>
  <c r="AA118" i="6"/>
  <c r="AF118" i="6" s="1"/>
  <c r="V44" i="6"/>
  <c r="X44" i="6" s="1"/>
  <c r="AA73" i="6"/>
  <c r="AF73" i="6" s="1"/>
  <c r="AA77" i="6"/>
  <c r="V4" i="6"/>
  <c r="X4" i="6" s="1"/>
  <c r="V109" i="6"/>
  <c r="X109" i="6" s="1"/>
  <c r="AB152" i="6"/>
  <c r="AD152" i="6" s="1"/>
  <c r="AA152" i="6"/>
  <c r="AA97" i="6"/>
  <c r="AF97" i="6" s="1"/>
  <c r="AB47" i="6"/>
  <c r="AA47" i="6"/>
  <c r="AF47" i="6" s="1"/>
  <c r="U2" i="6"/>
  <c r="V2" i="6" s="1"/>
  <c r="AA8" i="6"/>
  <c r="AF8" i="6" s="1"/>
  <c r="AB58" i="6"/>
  <c r="AD58" i="6" s="1"/>
  <c r="AA58" i="6"/>
  <c r="AB108" i="6"/>
  <c r="AD108" i="6" s="1"/>
  <c r="AA108" i="6"/>
  <c r="AF108" i="6" s="1"/>
  <c r="V139" i="6"/>
  <c r="X139" i="6" s="1"/>
  <c r="V140" i="6"/>
  <c r="X140" i="6" s="1"/>
  <c r="AA143" i="6"/>
  <c r="AF143" i="6" s="1"/>
  <c r="AA147" i="6"/>
  <c r="V149" i="6"/>
  <c r="X149" i="6" s="1"/>
  <c r="AB82" i="6"/>
  <c r="AA82" i="6"/>
  <c r="AB127" i="6"/>
  <c r="AD127" i="6" s="1"/>
  <c r="AA127" i="6"/>
  <c r="AB78" i="6"/>
  <c r="AA78" i="6"/>
  <c r="V84" i="6"/>
  <c r="X84" i="6" s="1"/>
  <c r="AB122" i="6"/>
  <c r="AA122" i="6"/>
  <c r="AA33" i="6"/>
  <c r="AF33" i="6" s="1"/>
  <c r="V129" i="6"/>
  <c r="X129" i="6" s="1"/>
  <c r="V130" i="6"/>
  <c r="X130" i="6" s="1"/>
  <c r="AB117" i="6"/>
  <c r="AD117" i="6" s="1"/>
  <c r="AA117" i="6"/>
  <c r="V24" i="6"/>
  <c r="X24" i="6" s="1"/>
  <c r="AB112" i="6"/>
  <c r="AA112" i="6"/>
  <c r="AB62" i="6"/>
  <c r="AA62" i="6"/>
  <c r="AF62" i="6" s="1"/>
  <c r="AB12" i="6"/>
  <c r="AD12" i="6" s="1"/>
  <c r="AA12" i="6"/>
  <c r="AB43" i="6"/>
  <c r="AD43" i="6" s="1"/>
  <c r="AA43" i="6"/>
  <c r="AB93" i="6"/>
  <c r="AD93" i="6" s="1"/>
  <c r="AA93" i="6"/>
  <c r="AF93" i="6" s="1"/>
  <c r="AA148" i="6"/>
  <c r="AF148" i="6" s="1"/>
  <c r="V154" i="6"/>
  <c r="X154" i="6" s="1"/>
  <c r="AA13" i="6"/>
  <c r="AF13" i="6" s="1"/>
  <c r="V99" i="6"/>
  <c r="X99" i="6" s="1"/>
  <c r="V100" i="6"/>
  <c r="X100" i="6" s="1"/>
  <c r="V94" i="6"/>
  <c r="X94" i="6" s="1"/>
  <c r="AB32" i="6"/>
  <c r="AD32" i="6" s="1"/>
  <c r="AA32" i="6"/>
  <c r="AA128" i="6"/>
  <c r="AF128" i="6" s="1"/>
  <c r="AB128" i="6"/>
  <c r="AD128" i="6" s="1"/>
  <c r="AB27" i="6"/>
  <c r="AA27" i="6"/>
  <c r="AF27" i="6" s="1"/>
  <c r="V34" i="6"/>
  <c r="X34" i="6" s="1"/>
  <c r="V35" i="6"/>
  <c r="X35" i="6" s="1"/>
  <c r="AB22" i="6"/>
  <c r="AD22" i="6" s="1"/>
  <c r="AA22" i="6"/>
  <c r="AB83" i="6"/>
  <c r="AD83" i="6" s="1"/>
  <c r="AA83" i="6"/>
  <c r="AF83" i="6" s="1"/>
  <c r="V79" i="6"/>
  <c r="X79" i="6" s="1"/>
  <c r="AB88" i="6"/>
  <c r="AD88" i="6" s="1"/>
  <c r="AA88" i="6"/>
  <c r="AF88" i="6" s="1"/>
  <c r="V124" i="6"/>
  <c r="X124" i="6" s="1"/>
  <c r="V119" i="6"/>
  <c r="X119" i="6" s="1"/>
  <c r="V19" i="6"/>
  <c r="X19" i="6" s="1"/>
  <c r="AB57" i="6"/>
  <c r="AA57" i="6"/>
  <c r="AA142" i="6"/>
  <c r="AB48" i="6"/>
  <c r="AD48" i="6" s="1"/>
  <c r="AA48" i="6"/>
  <c r="AB98" i="6"/>
  <c r="AA98" i="6"/>
  <c r="AB153" i="6"/>
  <c r="AD153" i="6" s="1"/>
  <c r="AA153" i="6"/>
  <c r="AF153" i="6" s="1"/>
  <c r="V104" i="6"/>
  <c r="X104" i="6" s="1"/>
  <c r="AB92" i="6"/>
  <c r="AA92" i="6"/>
  <c r="AA63" i="6"/>
  <c r="AF63" i="6" s="1"/>
  <c r="V49" i="6"/>
  <c r="X49" i="6" s="1"/>
  <c r="AB87" i="6"/>
  <c r="AD87" i="6" s="1"/>
  <c r="AA87" i="6"/>
  <c r="AB37" i="6"/>
  <c r="AD37" i="6" s="1"/>
  <c r="AA37" i="6"/>
  <c r="AF37" i="6" s="1"/>
  <c r="AA68" i="6"/>
  <c r="AF68" i="6" s="1"/>
  <c r="V144" i="6"/>
  <c r="X144" i="6" s="1"/>
  <c r="V89" i="6"/>
  <c r="X89" i="6" s="1"/>
  <c r="AA28" i="6"/>
  <c r="V134" i="6"/>
  <c r="X134" i="6" s="1"/>
  <c r="AB138" i="6"/>
  <c r="AD138" i="6" s="1"/>
  <c r="AA138" i="6"/>
  <c r="V29" i="6"/>
  <c r="X29" i="6" s="1"/>
  <c r="V30" i="6"/>
  <c r="X30" i="6" s="1"/>
  <c r="AB38" i="6"/>
  <c r="AD38" i="6" s="1"/>
  <c r="AA38" i="6"/>
  <c r="AF38" i="6" s="1"/>
  <c r="V114" i="6"/>
  <c r="X114" i="6" s="1"/>
  <c r="V9" i="6"/>
  <c r="X9" i="6" s="1"/>
  <c r="AB102" i="6"/>
  <c r="AD102" i="6" s="1"/>
  <c r="AA102" i="6"/>
  <c r="AF102" i="6" s="1"/>
  <c r="AB52" i="6"/>
  <c r="AD52" i="6" s="1"/>
  <c r="AA52" i="6"/>
  <c r="AF52" i="6" s="1"/>
  <c r="AB7" i="6"/>
  <c r="AA7" i="6"/>
  <c r="AF7" i="6" s="1"/>
  <c r="AB53" i="6"/>
  <c r="AD53" i="6" s="1"/>
  <c r="AA53" i="6"/>
  <c r="AF53" i="6" s="1"/>
  <c r="AB103" i="6"/>
  <c r="AD103" i="6" s="1"/>
  <c r="AA103" i="6"/>
  <c r="AF103" i="6" s="1"/>
  <c r="AB123" i="6"/>
  <c r="AD123" i="6" s="1"/>
  <c r="AA123" i="6"/>
  <c r="V59" i="6"/>
  <c r="X59" i="6" s="1"/>
  <c r="AB8" i="6"/>
  <c r="AD8" i="6" s="1"/>
  <c r="O48" i="6"/>
  <c r="Q48" i="6" s="1"/>
  <c r="O18" i="6"/>
  <c r="Q18" i="6" s="1"/>
  <c r="O3" i="6"/>
  <c r="Q3" i="6" s="1"/>
  <c r="AB68" i="6"/>
  <c r="AD68" i="6" s="1"/>
  <c r="AB133" i="6"/>
  <c r="AD133" i="6" s="1"/>
  <c r="O143" i="6"/>
  <c r="Q143" i="6" s="1"/>
  <c r="O148" i="6"/>
  <c r="Q148" i="6" s="1"/>
  <c r="S2" i="6"/>
  <c r="O7" i="6"/>
  <c r="O68" i="6"/>
  <c r="Q68" i="6" s="1"/>
  <c r="O13" i="6"/>
  <c r="Q13" i="6" s="1"/>
  <c r="O113" i="6"/>
  <c r="Q113" i="6" s="1"/>
  <c r="O53" i="6"/>
  <c r="Q53" i="6" s="1"/>
  <c r="O63" i="6"/>
  <c r="Q63" i="6" s="1"/>
  <c r="O103" i="6"/>
  <c r="O118" i="6"/>
  <c r="Q118" i="6" s="1"/>
  <c r="AB13" i="6"/>
  <c r="AD13" i="6" s="1"/>
  <c r="AB28" i="6"/>
  <c r="AD28" i="6" s="1"/>
  <c r="O23" i="6"/>
  <c r="Q23" i="6" s="1"/>
  <c r="O123" i="6"/>
  <c r="Q123" i="6" s="1"/>
  <c r="O78" i="6"/>
  <c r="Q78" i="6" s="1"/>
  <c r="O128" i="6"/>
  <c r="Q128" i="6" s="1"/>
  <c r="AB33" i="6"/>
  <c r="AD33" i="6" s="1"/>
  <c r="O83" i="6"/>
  <c r="Q83" i="6" s="1"/>
  <c r="AB23" i="6"/>
  <c r="AD23" i="6" s="1"/>
  <c r="AA2" i="6"/>
  <c r="AF2" i="6" s="1"/>
  <c r="O43" i="6"/>
  <c r="Q43" i="6" s="1"/>
  <c r="O93" i="6"/>
  <c r="Q93" i="6" s="1"/>
  <c r="O127" i="6"/>
  <c r="Q127" i="6" s="1"/>
  <c r="AB67" i="6"/>
  <c r="AD67" i="6" s="1"/>
  <c r="O87" i="6"/>
  <c r="Q87" i="6" s="1"/>
  <c r="R91" i="6" s="1"/>
  <c r="O67" i="6"/>
  <c r="Q67" i="6" s="1"/>
  <c r="R71" i="6" s="1"/>
  <c r="O137" i="6"/>
  <c r="Q137" i="6" s="1"/>
  <c r="R141" i="6" s="1"/>
  <c r="O37" i="6"/>
  <c r="Q37" i="6" s="1"/>
  <c r="O132" i="6"/>
  <c r="Q132" i="6" s="1"/>
  <c r="R136" i="6" s="1"/>
  <c r="O22" i="6"/>
  <c r="Q22" i="6" s="1"/>
  <c r="O82" i="6"/>
  <c r="Q82" i="6" s="1"/>
  <c r="AB107" i="6"/>
  <c r="AD107" i="6" s="1"/>
  <c r="O72" i="6"/>
  <c r="Q72" i="6" s="1"/>
  <c r="O77" i="6"/>
  <c r="Q77" i="6" s="1"/>
  <c r="R81" i="6" s="1"/>
  <c r="O12" i="6"/>
  <c r="Q12" i="6" s="1"/>
  <c r="R16" i="6" s="1"/>
  <c r="O112" i="6"/>
  <c r="Q112" i="6" s="1"/>
  <c r="AB132" i="6"/>
  <c r="AD132" i="6" s="1"/>
  <c r="O52" i="6"/>
  <c r="Q52" i="6" s="1"/>
  <c r="AC6" i="6" l="1"/>
  <c r="AD2" i="6"/>
  <c r="AC61" i="6"/>
  <c r="AD57" i="6"/>
  <c r="AC96" i="6"/>
  <c r="AD92" i="6"/>
  <c r="AF112" i="6"/>
  <c r="AC51" i="6"/>
  <c r="AD47" i="6"/>
  <c r="AF18" i="6"/>
  <c r="R51" i="6"/>
  <c r="AC81" i="6"/>
  <c r="AD78" i="6"/>
  <c r="AC126" i="6"/>
  <c r="AD122" i="6"/>
  <c r="AF87" i="6"/>
  <c r="AC141" i="6"/>
  <c r="AD137" i="6"/>
  <c r="R116" i="6"/>
  <c r="AC116" i="6"/>
  <c r="AD112" i="6"/>
  <c r="R76" i="6"/>
  <c r="AC66" i="6"/>
  <c r="AD62" i="6"/>
  <c r="AC31" i="6"/>
  <c r="AD27" i="6"/>
  <c r="AC11" i="6"/>
  <c r="AD7" i="6"/>
  <c r="AC101" i="6"/>
  <c r="AD98" i="6"/>
  <c r="R26" i="6"/>
  <c r="AF92" i="6"/>
  <c r="AC86" i="6"/>
  <c r="AD82" i="6"/>
  <c r="AF77" i="6"/>
  <c r="AC46" i="6"/>
  <c r="AD42" i="6"/>
  <c r="Q2" i="6"/>
  <c r="R6" i="6" s="1"/>
  <c r="P6" i="6"/>
  <c r="R56" i="6"/>
  <c r="R41" i="6"/>
  <c r="P106" i="6"/>
  <c r="Q103" i="6"/>
  <c r="AF122" i="6"/>
  <c r="AF147" i="6"/>
  <c r="R106" i="6"/>
  <c r="AF67" i="6"/>
  <c r="R126" i="6"/>
  <c r="R146" i="6"/>
  <c r="R36" i="6"/>
  <c r="P156" i="6"/>
  <c r="Q152" i="6"/>
  <c r="R156" i="6" s="1"/>
  <c r="AF78" i="6"/>
  <c r="AF127" i="6"/>
  <c r="AC111" i="6"/>
  <c r="AF32" i="6"/>
  <c r="AF43" i="6"/>
  <c r="AF58" i="6"/>
  <c r="AF98" i="6"/>
  <c r="AF137" i="6"/>
  <c r="R121" i="6"/>
  <c r="R61" i="6"/>
  <c r="R131" i="6"/>
  <c r="AF48" i="6"/>
  <c r="AF117" i="6"/>
  <c r="AC156" i="6"/>
  <c r="P11" i="6"/>
  <c r="Q7" i="6"/>
  <c r="R11" i="6" s="1"/>
  <c r="R86" i="6"/>
  <c r="AF123" i="6"/>
  <c r="AF142" i="6"/>
  <c r="AF82" i="6"/>
  <c r="AF42" i="6"/>
  <c r="R111" i="6"/>
  <c r="R46" i="6"/>
  <c r="R66" i="6"/>
  <c r="R96" i="6"/>
  <c r="AF152" i="6"/>
  <c r="AF138" i="6"/>
  <c r="AF28" i="6"/>
  <c r="AF57" i="6"/>
  <c r="AF22" i="6"/>
  <c r="AF12" i="6"/>
  <c r="R21" i="6"/>
  <c r="R101" i="6"/>
  <c r="AF132" i="6"/>
  <c r="Z68" i="6"/>
  <c r="V68" i="6"/>
  <c r="X68" i="6" s="1"/>
  <c r="AC106" i="6"/>
  <c r="Z38" i="6"/>
  <c r="V38" i="6"/>
  <c r="X38" i="6" s="1"/>
  <c r="AC26" i="6"/>
  <c r="AC16" i="6"/>
  <c r="Z63" i="6"/>
  <c r="V63" i="6"/>
  <c r="X63" i="6" s="1"/>
  <c r="Z67" i="6"/>
  <c r="V67" i="6"/>
  <c r="Z37" i="6"/>
  <c r="V37" i="6"/>
  <c r="AC91" i="6"/>
  <c r="Z62" i="6"/>
  <c r="V62" i="6"/>
  <c r="AC136" i="6"/>
  <c r="AC131" i="6"/>
  <c r="AC41" i="6"/>
  <c r="AC71" i="6"/>
  <c r="AC56" i="6"/>
  <c r="AC121" i="6"/>
  <c r="AC36" i="6"/>
  <c r="P111" i="6"/>
  <c r="P76" i="6"/>
  <c r="P36" i="6"/>
  <c r="X2" i="6"/>
  <c r="Y6" i="6" s="1"/>
  <c r="P96" i="6"/>
  <c r="P136" i="6"/>
  <c r="P46" i="6"/>
  <c r="P41" i="6"/>
  <c r="P61" i="6"/>
  <c r="P126" i="6"/>
  <c r="P26" i="6"/>
  <c r="P66" i="6"/>
  <c r="P21" i="6"/>
  <c r="V123" i="6"/>
  <c r="X123" i="6" s="1"/>
  <c r="P31" i="6"/>
  <c r="P86" i="6"/>
  <c r="Z2" i="6"/>
  <c r="V103" i="6"/>
  <c r="X103" i="6" s="1"/>
  <c r="V53" i="6"/>
  <c r="X53" i="6" s="1"/>
  <c r="P121" i="6"/>
  <c r="P146" i="6"/>
  <c r="P51" i="6"/>
  <c r="P71" i="6"/>
  <c r="P131" i="6"/>
  <c r="P56" i="6"/>
  <c r="P141" i="6"/>
  <c r="P91" i="6"/>
  <c r="P151" i="6"/>
  <c r="P101" i="6"/>
  <c r="P16" i="6"/>
  <c r="P116" i="6"/>
  <c r="P81" i="6"/>
  <c r="V88" i="6"/>
  <c r="X88" i="6" s="1"/>
  <c r="V58" i="6"/>
  <c r="X58" i="6" s="1"/>
  <c r="V23" i="6"/>
  <c r="X23" i="6" s="1"/>
  <c r="V83" i="6"/>
  <c r="X83" i="6" s="1"/>
  <c r="V73" i="6"/>
  <c r="X73" i="6" s="1"/>
  <c r="V113" i="6"/>
  <c r="X113" i="6" s="1"/>
  <c r="V93" i="6"/>
  <c r="X93" i="6" s="1"/>
  <c r="V108" i="6"/>
  <c r="X108" i="6" s="1"/>
  <c r="V3" i="6"/>
  <c r="X3" i="6" s="1"/>
  <c r="Z3" i="6"/>
  <c r="V87" i="6"/>
  <c r="V13" i="6"/>
  <c r="X13" i="6" s="1"/>
  <c r="V18" i="6"/>
  <c r="X18" i="6" s="1"/>
  <c r="V48" i="6"/>
  <c r="X48" i="6" s="1"/>
  <c r="V133" i="6"/>
  <c r="X133" i="6" s="1"/>
  <c r="V118" i="6"/>
  <c r="X118" i="6" s="1"/>
  <c r="V98" i="6"/>
  <c r="X98" i="6" s="1"/>
  <c r="V43" i="6"/>
  <c r="X43" i="6" s="1"/>
  <c r="V28" i="6"/>
  <c r="X28" i="6" s="1"/>
  <c r="V72" i="6"/>
  <c r="V97" i="6"/>
  <c r="V92" i="6"/>
  <c r="V27" i="6"/>
  <c r="V77" i="6"/>
  <c r="V78" i="6"/>
  <c r="X78" i="6" s="1"/>
  <c r="V143" i="6"/>
  <c r="X143" i="6" s="1"/>
  <c r="V8" i="6"/>
  <c r="X8" i="6" s="1"/>
  <c r="V148" i="6"/>
  <c r="X148" i="6" s="1"/>
  <c r="V33" i="6"/>
  <c r="X33" i="6" s="1"/>
  <c r="V128" i="6"/>
  <c r="X128" i="6" s="1"/>
  <c r="V138" i="6"/>
  <c r="X138" i="6" s="1"/>
  <c r="V152" i="6"/>
  <c r="V142" i="6"/>
  <c r="V12" i="6"/>
  <c r="V32" i="6"/>
  <c r="V52" i="6"/>
  <c r="V47" i="6"/>
  <c r="V102" i="6"/>
  <c r="V57" i="6"/>
  <c r="V42" i="6"/>
  <c r="V147" i="6"/>
  <c r="V153" i="6"/>
  <c r="X153" i="6" s="1"/>
  <c r="V7" i="6"/>
  <c r="V107" i="6"/>
  <c r="V127" i="6"/>
  <c r="V17" i="6"/>
  <c r="X17" i="6" s="1"/>
  <c r="V22" i="6"/>
  <c r="V112" i="6"/>
  <c r="V137" i="6"/>
  <c r="V122" i="6"/>
  <c r="V117" i="6"/>
  <c r="V82" i="6"/>
  <c r="V132" i="6"/>
  <c r="Y21" i="6" l="1"/>
  <c r="W86" i="6"/>
  <c r="X82" i="6"/>
  <c r="Y86" i="6" s="1"/>
  <c r="X107" i="6"/>
  <c r="Y111" i="6" s="1"/>
  <c r="W111" i="6"/>
  <c r="W16" i="6"/>
  <c r="X12" i="6"/>
  <c r="Y16" i="6" s="1"/>
  <c r="W81" i="6"/>
  <c r="X77" i="6"/>
  <c r="Y81" i="6" s="1"/>
  <c r="X132" i="6"/>
  <c r="Y136" i="6" s="1"/>
  <c r="W136" i="6"/>
  <c r="X142" i="6"/>
  <c r="Y146" i="6" s="1"/>
  <c r="W146" i="6"/>
  <c r="X27" i="6"/>
  <c r="Y31" i="6" s="1"/>
  <c r="W31" i="6"/>
  <c r="W156" i="6"/>
  <c r="X152" i="6"/>
  <c r="Y156" i="6" s="1"/>
  <c r="W91" i="6"/>
  <c r="X87" i="6"/>
  <c r="Y91" i="6" s="1"/>
  <c r="W46" i="6"/>
  <c r="X42" i="6"/>
  <c r="Y46" i="6" s="1"/>
  <c r="W41" i="6"/>
  <c r="X37" i="6"/>
  <c r="Y41" i="6" s="1"/>
  <c r="X92" i="6"/>
  <c r="Y96" i="6" s="1"/>
  <c r="W96" i="6"/>
  <c r="W151" i="6"/>
  <c r="X147" i="6"/>
  <c r="Y151" i="6" s="1"/>
  <c r="X62" i="6"/>
  <c r="Y66" i="6" s="1"/>
  <c r="W66" i="6"/>
  <c r="W61" i="6"/>
  <c r="X57" i="6"/>
  <c r="Y61" i="6" s="1"/>
  <c r="W106" i="6"/>
  <c r="X102" i="6"/>
  <c r="Y106" i="6" s="1"/>
  <c r="W121" i="6"/>
  <c r="X117" i="6"/>
  <c r="Y121" i="6" s="1"/>
  <c r="W101" i="6"/>
  <c r="X97" i="6"/>
  <c r="Y101" i="6" s="1"/>
  <c r="W126" i="6"/>
  <c r="X122" i="6"/>
  <c r="Y126" i="6" s="1"/>
  <c r="W76" i="6"/>
  <c r="X72" i="6"/>
  <c r="Y76" i="6" s="1"/>
  <c r="X137" i="6"/>
  <c r="Y141" i="6" s="1"/>
  <c r="W141" i="6"/>
  <c r="X112" i="6"/>
  <c r="Y116" i="6" s="1"/>
  <c r="W116" i="6"/>
  <c r="W26" i="6"/>
  <c r="X22" i="6"/>
  <c r="Y26" i="6" s="1"/>
  <c r="W51" i="6"/>
  <c r="X47" i="6"/>
  <c r="Y51" i="6" s="1"/>
  <c r="W56" i="6"/>
  <c r="X52" i="6"/>
  <c r="Y56" i="6" s="1"/>
  <c r="W131" i="6"/>
  <c r="X127" i="6"/>
  <c r="Y131" i="6" s="1"/>
  <c r="W36" i="6"/>
  <c r="X32" i="6"/>
  <c r="Y36" i="6" s="1"/>
  <c r="W71" i="6"/>
  <c r="X67" i="6"/>
  <c r="Y71" i="6" s="1"/>
  <c r="W21" i="6"/>
  <c r="X7" i="6"/>
  <c r="Y11" i="6" s="1"/>
  <c r="W11" i="6"/>
  <c r="W6" i="6"/>
</calcChain>
</file>

<file path=xl/sharedStrings.xml><?xml version="1.0" encoding="utf-8"?>
<sst xmlns="http://schemas.openxmlformats.org/spreadsheetml/2006/main" count="3323" uniqueCount="140">
  <si>
    <t>Federal and provincial effective tax rates of census families c 1 2 3 4 5 6</t>
  </si>
  <si>
    <t>Frequency: Annual</t>
  </si>
  <si>
    <t>Table: 11-10-0058-01</t>
  </si>
  <si>
    <t>Release date: 2024-10-28</t>
  </si>
  <si>
    <t>Geography: Canada, Province or territory</t>
  </si>
  <si>
    <t>Geography</t>
  </si>
  <si>
    <t>Canada</t>
  </si>
  <si>
    <t>Income percentiles 7</t>
  </si>
  <si>
    <t>All taxfilers</t>
  </si>
  <si>
    <t>Bottom 5 percent income group</t>
  </si>
  <si>
    <t>Percentile 6 to 10 income group</t>
  </si>
  <si>
    <t>Percentile 11 to 15 income group</t>
  </si>
  <si>
    <t>Percentile 16 to 20 income group</t>
  </si>
  <si>
    <t>Percentile 21 to 25 income group</t>
  </si>
  <si>
    <t>Percentile 26 to 30 income group</t>
  </si>
  <si>
    <t>Percentile 31 to 35 income group</t>
  </si>
  <si>
    <t>Percentile 36 to 40 income group</t>
  </si>
  <si>
    <t>Percentile 41 to 45 income group</t>
  </si>
  <si>
    <t>Percentile 46 to 50 income group</t>
  </si>
  <si>
    <t>Percentile 51 to 55 income group</t>
  </si>
  <si>
    <t>Percentile 56 to 60 income group</t>
  </si>
  <si>
    <t>Percentile 61 to 65 income group</t>
  </si>
  <si>
    <t>Percentile 66 to 70 income group</t>
  </si>
  <si>
    <t>Percentile 71 to 75 income group</t>
  </si>
  <si>
    <t>Percentile 76 to 80 income group</t>
  </si>
  <si>
    <t>Percentile 81 to 85 income group</t>
  </si>
  <si>
    <t>Percentile 86 to 90 income group</t>
  </si>
  <si>
    <t>Percentile 91 to 95 income group</t>
  </si>
  <si>
    <t>Top 5 percent income group</t>
  </si>
  <si>
    <t>Family type</t>
  </si>
  <si>
    <t>Census families and persons not in census families</t>
  </si>
  <si>
    <t>Tax and transfer type</t>
  </si>
  <si>
    <t>Federal income tax 3 8</t>
  </si>
  <si>
    <t>Statistics</t>
  </si>
  <si>
    <t>Families</t>
  </si>
  <si>
    <t>Total number of filers 2</t>
  </si>
  <si>
    <t>Dollars</t>
  </si>
  <si>
    <t>Aggregate taxes / transfers 9</t>
  </si>
  <si>
    <t>Aggregate modified total income 6</t>
  </si>
  <si>
    <t>Percent</t>
  </si>
  <si>
    <t>Mean effective rate</t>
  </si>
  <si>
    <t>5th percentile rate</t>
  </si>
  <si>
    <t>25th percentile rate</t>
  </si>
  <si>
    <t>50th percentile rate</t>
  </si>
  <si>
    <t>75th percentile rate</t>
  </si>
  <si>
    <t>95th percentile rate</t>
  </si>
  <si>
    <t>Rate of less than zero 10</t>
  </si>
  <si>
    <t>..</t>
  </si>
  <si>
    <t>Rate of 0 11</t>
  </si>
  <si>
    <t>Rate of 0.1% to 5%</t>
  </si>
  <si>
    <t>Rate of 5.1% to 10%</t>
  </si>
  <si>
    <t>F</t>
  </si>
  <si>
    <t>Rate of 10.1% to 15%</t>
  </si>
  <si>
    <t>Rate of 15.1% to 20%</t>
  </si>
  <si>
    <t>x</t>
  </si>
  <si>
    <t>Rate of 20.1% to 25%</t>
  </si>
  <si>
    <t>Rate of 25.1% to 30%</t>
  </si>
  <si>
    <t>Rate of 30.1% or more</t>
  </si>
  <si>
    <t>Number of filers reporting 0 11</t>
  </si>
  <si>
    <t>Lower threshold of modified total income 6 9</t>
  </si>
  <si>
    <t>Symbol legend:</t>
  </si>
  <si>
    <t xml:space="preserve"> not available for a specific reference period</t>
  </si>
  <si>
    <t xml:space="preserve"> suppressed to meet the confidentiality requirements of the Statistics Act</t>
  </si>
  <si>
    <t xml:space="preserve"> too unreliable to be published</t>
  </si>
  <si>
    <t>Table Corrections:</t>
  </si>
  <si>
    <t>Date</t>
  </si>
  <si>
    <t>Note</t>
  </si>
  <si>
    <t>On November 10, 2023, data for the reference year 2020 was updated, affecting total income and selected government transfers for all geographies. Some data for the reference year 2020 in this table might have changed since the initial release on November 16, 2022.</t>
  </si>
  <si>
    <t>On November 13, 2019, estimates related to Quebec provincial income taxes and national after-tax income were corrected for 2017.</t>
  </si>
  <si>
    <t>Footnotes:</t>
  </si>
  <si>
    <t>This table provides census family taxation statistics, including effective tax and transfer rates, the total amount of taxes paid and government transfers received, and the proportion of Canadian census families that pay tax or receive government transfers.</t>
  </si>
  <si>
    <t>The Longitudinal Administrative Databank (LAD) is a 20% random sample of Canadian tax filers. Since not all individuals file income tax returns and a small portion of filers die every year, statistics contained in this table should be interpreted in the context of living tax filers and their families, not the entire population. The sample is restricted to persons who were at least 18 years old and filed a tax return and resided inside Canada.</t>
  </si>
  <si>
    <t>The mean effective tax rate in these tables is calculated as the average ratio of total taxes paid by the tax filer's family to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the selected type of tax. Unless otherwise stated, effective tax rates are bounded between 0 and 100.</t>
  </si>
  <si>
    <t>The mean effective transfer rate in these tables is calculated as the average ratio of transfers received by the tax filer's family to the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the selected type of transfer. Unless otherwise stated, effective transfer rates are bounded between 0 and 100.</t>
  </si>
  <si>
    <t>The mean effective net tax rate in these tables is calculated as the average ratio of taxes paid by the tax filer's family, less all transfers received by the tax filer's family, to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federal income and payroll taxes plus provincial income taxes less federal and provincial cash transfers received by the tax filer's family. The net tax rate can be less than zero in cases where the tax filer's family receives more money from government transfers than they pay in income and payroll tax.</t>
  </si>
  <si>
    <t>The income used for calculating family effective rates and sorting individuals in this table is referred to as modified total family income and is defined as total income (Employment income, investment and pension income, government transfers, and other income such as scholarships, retiring allowances, and alimony) plus capital gains and registered retirement savings plan withdrawals made by persons under 65, less social benefits repayments.</t>
  </si>
  <si>
    <t>An income threshold is used to classify tax filers into their respective income groups. The thresholds reported in this table refer to the lower-bound of each income group. For example, families in the percentile 6 to 10 income group have incomes that are equal to or greater than the threshold for that group but less than the threshold for the percentile 11 to 15 income group.</t>
  </si>
  <si>
    <t>The Yukon federal refundable First Nations abatement (beginning in 2010) and the Quebec abatement are subtracted from federal income tax paid.</t>
  </si>
  <si>
    <t>All dollar denominated estimates in the table are expressed in current dollars. Users who wish to compare these statistics over time may convert them into constant dollar values by using, for example, the annual All-items Consumer Price Index (table 18-10-0005-01).</t>
  </si>
  <si>
    <t>This statistic applies only to federal and provincial income tax and federal payroll tax net of federal and provincial cash transfer payments. Tax rates net of government transfers can be less than zero in cases where individuals receive more money from government transfers than they pay in income and payroll tax.</t>
  </si>
  <si>
    <t>This statistic refers to the number of tax filers that have zero tax payable, depending on the type of tax in question (e.g. federal income tax, provincial income tax, federal payroll tax). When applied to government transfers, this statistic refers to the number of tax filers that did not receive any income from government transfers.</t>
  </si>
  <si>
    <t>How to cite: Statistics Canada. Table 11-10-0058-01  Federal and provincial effective tax rates of census families</t>
  </si>
  <si>
    <t>https://www150.statcan.gc.ca/t1/tbl1/en/tv.action?pid=1110005801</t>
  </si>
  <si>
    <t>Lowest Quintile</t>
  </si>
  <si>
    <t>Second Quintile</t>
  </si>
  <si>
    <t>Third Quintile</t>
  </si>
  <si>
    <t>Fourth Quintile</t>
  </si>
  <si>
    <t>Number of Households</t>
  </si>
  <si>
    <t>Shares of Primary Income</t>
  </si>
  <si>
    <t xml:space="preserve">Year </t>
  </si>
  <si>
    <t>Highest Quintile</t>
  </si>
  <si>
    <t>Total Income for This quintile</t>
  </si>
  <si>
    <t>Sum Check = 1 Test</t>
  </si>
  <si>
    <t>Total  taxes / transfers for this quintile</t>
  </si>
  <si>
    <t>After Tax Income</t>
  </si>
  <si>
    <t>Average After Tax  Income for this Quintile</t>
  </si>
  <si>
    <t>Average Tax Liability for this Quintile</t>
  </si>
  <si>
    <t xml:space="preserve">After Tax Aggregate Income </t>
  </si>
  <si>
    <t xml:space="preserve">Average Primary Income </t>
  </si>
  <si>
    <t>Shares of Primary Income (in %)</t>
  </si>
  <si>
    <t>Sum Check = 100 Test</t>
  </si>
  <si>
    <t>Shares of After Tax Income for this Quintile (in Decimal)</t>
  </si>
  <si>
    <t>Shares of After Tax Income for this Quintile (in %)</t>
  </si>
  <si>
    <t xml:space="preserve">Tau_It = Average Tax Liability/ Primary Income </t>
  </si>
  <si>
    <t xml:space="preserve">Quintiles (Lowest to Highest) </t>
  </si>
  <si>
    <t xml:space="preserve">Share of Average Incomes </t>
  </si>
  <si>
    <t>Equation 20</t>
  </si>
  <si>
    <t>Average income for a given year by Quintile</t>
  </si>
  <si>
    <t>Summation</t>
  </si>
  <si>
    <t xml:space="preserve">Tau_bar_t </t>
  </si>
  <si>
    <t>Shares of After Tax Income</t>
  </si>
  <si>
    <t xml:space="preserve">Ratio of Disposable Income to Primary Income </t>
  </si>
  <si>
    <t xml:space="preserve">LHS of the equation </t>
  </si>
  <si>
    <t>LN of Primary Income Shares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</si>
  <si>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</si>
  <si>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</si>
  <si>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</si>
  <si>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</si>
  <si>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</si>
  <si>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</si>
  <si>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</si>
  <si>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</si>
  <si>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</si>
  <si>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</si>
  <si>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</si>
  <si>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</si>
  <si>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</si>
  <si>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</si>
  <si>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</si>
  <si>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</si>
  <si>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</si>
  <si>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</si>
  <si>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</si>
  <si>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</si>
  <si>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</si>
  <si>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</si>
  <si>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</si>
  <si>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SUM= 1 Check (i.e = 1/5*Summation of Share of Average Incomes)</t>
  </si>
  <si>
    <t>Share of taxes paid by  Quintile (in %)</t>
  </si>
  <si>
    <t>Share of taxes paid by Quintile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</si>
</sst>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sz val="12"/>
      <color theme="1"/>
      <name val="Aptos Narrow"/>
      <scheme val="minor"/>
    </font>
    <font>
      <sz val="12"/>
      <color rgb="FF000000"/>
      <name val="Aptos Narrow"/>
      <scheme val="minor"/>
    </font>
    <font>
      <i/>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3" fontId="0" fillId="0" borderId="0" xfId="0" applyNumberFormat="1"/>
    <xf numFmtId="1" fontId="0" fillId="0" borderId="0" xfId="0" applyNumberFormat="1"/>
    <xf numFmtId="0" fontId="18" fillId="0" borderId="0" xfId="0" applyFont="1"/>
    <xf numFmtId="0" fontId="19" fillId="0" borderId="0" xfId="0" applyFont="1"/>
    <xf numFmtId="164" fontId="0" fillId="0" borderId="0" xfId="0" applyNumberFormat="1"/>
    <xf numFmtId="2" fontId="0" fillId="0" borderId="0" xfId="0" applyNumberFormat="1"/>
    <xf numFmtId="164" fontId="0" fillId="33" borderId="0" xfId="0" applyNumberFormat="1" applyFill="1"/>
    <xf numFmtId="0" fontId="0" fillId="33" borderId="0" xfId="0" applyFill="1"/>
    <xf numFmtId="0" fontId="0" fillId="0" borderId="10" xfId="0" applyBorder="1"/>
    <xf numFmtId="0" fontId="21" fillId="0" borderId="11" xfId="0" applyFont="1" applyBorder="1" applyAlignment="1">
      <alignment horizontal="center"/>
    </xf>
    <xf numFmtId="0" fontId="21" fillId="0" borderId="11" xfId="0" applyFont="1" applyBorder="1" applyAlignment="1">
      <alignment horizontal="centerContinuous"/>
    </xf>
    <xf numFmtId="0" fontId="0" fillId="33" borderId="10" xfId="0" applyFill="1" applyBorder="1"/>
    <xf numFmtId="165" fontId="19" fillId="0" borderId="0" xfId="0" applyNumberFormat="1" applyFont="1"/>
    <xf numFmtId="165" fontId="20" fillId="0" borderId="0" xfId="0" applyNumberFormat="1" applyFont="1"/>
    <xf numFmtId="165" fontId="0" fillId="0" borderId="0" xfId="0" applyNumberFormat="1"/>
    <xf numFmtId="165"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F97A-E37F-F24A-87EC-66C4D613946D}">
  <dimension ref="A1:YB69"/>
  <sheetViews>
    <sheetView topLeftCell="AA8" zoomScale="109" workbookViewId="0">
      <selection activeCell="AG49" sqref="AG49"/>
    </sheetView>
  </sheetViews>
  <sheetFormatPr baseColWidth="10" defaultRowHeight="16" x14ac:dyDescent="0.2"/>
  <cols>
    <col min="1" max="1" width="92.6640625" bestFit="1" customWidth="1"/>
    <col min="2" max="2" width="255.83203125" bestFit="1" customWidth="1"/>
    <col min="3" max="17" width="15.33203125" bestFit="1" customWidth="1"/>
    <col min="18" max="32" width="16.83203125" bestFit="1" customWidth="1"/>
    <col min="33" max="33" width="42.33203125" bestFit="1" customWidth="1"/>
    <col min="34" max="63" width="13.1640625" bestFit="1" customWidth="1"/>
    <col min="64" max="64" width="42.33203125" bestFit="1" customWidth="1"/>
    <col min="65" max="87" width="13.1640625" bestFit="1" customWidth="1"/>
    <col min="88" max="94" width="14.1640625" bestFit="1" customWidth="1"/>
    <col min="95" max="95" width="42.33203125" bestFit="1" customWidth="1"/>
    <col min="96" max="109" width="13.1640625" bestFit="1" customWidth="1"/>
    <col min="110" max="125" width="14.1640625" bestFit="1" customWidth="1"/>
    <col min="126" max="126" width="42.33203125" bestFit="1" customWidth="1"/>
    <col min="127" max="136" width="13.1640625" bestFit="1" customWidth="1"/>
    <col min="137" max="156" width="14.1640625" bestFit="1" customWidth="1"/>
    <col min="157" max="157" width="42.33203125" bestFit="1" customWidth="1"/>
    <col min="158" max="163" width="13.1640625" bestFit="1" customWidth="1"/>
    <col min="164" max="187" width="14.1640625" bestFit="1" customWidth="1"/>
    <col min="188" max="188" width="42.33203125" bestFit="1" customWidth="1"/>
    <col min="189" max="189" width="13.1640625" bestFit="1" customWidth="1"/>
    <col min="190" max="218" width="14.1640625" bestFit="1" customWidth="1"/>
    <col min="219" max="219" width="42.33203125" bestFit="1" customWidth="1"/>
    <col min="220" max="249" width="14.1640625" bestFit="1" customWidth="1"/>
    <col min="250" max="250" width="42.33203125" bestFit="1" customWidth="1"/>
    <col min="251" max="280" width="14.1640625" bestFit="1" customWidth="1"/>
    <col min="281" max="281" width="42.33203125" bestFit="1" customWidth="1"/>
    <col min="282" max="311" width="14.1640625" bestFit="1" customWidth="1"/>
    <col min="312" max="312" width="42.33203125" bestFit="1" customWidth="1"/>
    <col min="313" max="342" width="14.1640625" bestFit="1" customWidth="1"/>
    <col min="343" max="343" width="42.33203125" bestFit="1" customWidth="1"/>
    <col min="344" max="373" width="14.1640625" bestFit="1" customWidth="1"/>
    <col min="374" max="374" width="42.33203125" bestFit="1" customWidth="1"/>
    <col min="375" max="404" width="14.1640625" bestFit="1" customWidth="1"/>
    <col min="405" max="405" width="42.33203125" bestFit="1" customWidth="1"/>
    <col min="406" max="435" width="14.1640625" bestFit="1" customWidth="1"/>
    <col min="436" max="436" width="42.33203125" bestFit="1" customWidth="1"/>
    <col min="437" max="466" width="14.1640625" bestFit="1" customWidth="1"/>
    <col min="467" max="467" width="42.33203125" bestFit="1" customWidth="1"/>
    <col min="468" max="496" width="14.1640625" bestFit="1" customWidth="1"/>
    <col min="497" max="497" width="15.33203125" bestFit="1" customWidth="1"/>
    <col min="498" max="498" width="42.33203125" bestFit="1" customWidth="1"/>
    <col min="499" max="524" width="14.1640625" bestFit="1" customWidth="1"/>
    <col min="525" max="528" width="15.33203125" bestFit="1" customWidth="1"/>
    <col min="529" max="529" width="42.33203125" bestFit="1" customWidth="1"/>
    <col min="530" max="552" width="14.1640625" bestFit="1" customWidth="1"/>
    <col min="553" max="559" width="15.33203125" bestFit="1" customWidth="1"/>
    <col min="560" max="560" width="42.33203125" bestFit="1" customWidth="1"/>
    <col min="561" max="579" width="14.1640625" bestFit="1" customWidth="1"/>
    <col min="580" max="590" width="15.33203125" bestFit="1" customWidth="1"/>
    <col min="591" max="591" width="42.33203125" bestFit="1" customWidth="1"/>
    <col min="592" max="604" width="14.1640625" bestFit="1" customWidth="1"/>
    <col min="605" max="621" width="15.33203125" bestFit="1" customWidth="1"/>
    <col min="622" max="622" width="42.33203125" bestFit="1" customWidth="1"/>
    <col min="623" max="652" width="15.33203125" bestFit="1" customWidth="1"/>
  </cols>
  <sheetData>
    <row r="1" spans="1:652" x14ac:dyDescent="0.2">
      <c r="A1" t="s">
        <v>0</v>
      </c>
    </row>
    <row r="2" spans="1:652" x14ac:dyDescent="0.2">
      <c r="A2" t="s">
        <v>1</v>
      </c>
    </row>
    <row r="3" spans="1:652" x14ac:dyDescent="0.2">
      <c r="A3" t="s">
        <v>2</v>
      </c>
    </row>
    <row r="4" spans="1:652" x14ac:dyDescent="0.2">
      <c r="A4" t="s">
        <v>3</v>
      </c>
    </row>
    <row r="5" spans="1:652" x14ac:dyDescent="0.2">
      <c r="A5" t="s">
        <v>4</v>
      </c>
    </row>
    <row r="9" spans="1:652" x14ac:dyDescent="0.2">
      <c r="A9" t="s">
        <v>5</v>
      </c>
      <c r="B9" t="s">
        <v>6</v>
      </c>
    </row>
    <row r="10" spans="1:652" x14ac:dyDescent="0.2">
      <c r="A10" t="s">
        <v>7</v>
      </c>
      <c r="B10" t="s">
        <v>8</v>
      </c>
      <c r="AG10" t="s">
        <v>9</v>
      </c>
      <c r="BL10" t="s">
        <v>10</v>
      </c>
      <c r="CQ10" t="s">
        <v>11</v>
      </c>
      <c r="DV10" t="s">
        <v>12</v>
      </c>
      <c r="FA10" t="s">
        <v>13</v>
      </c>
      <c r="GF10" t="s">
        <v>14</v>
      </c>
      <c r="HK10" t="s">
        <v>15</v>
      </c>
      <c r="IP10" t="s">
        <v>16</v>
      </c>
      <c r="JU10" t="s">
        <v>17</v>
      </c>
      <c r="KZ10" t="s">
        <v>18</v>
      </c>
      <c r="ME10" t="s">
        <v>19</v>
      </c>
      <c r="NJ10" t="s">
        <v>20</v>
      </c>
      <c r="OO10" t="s">
        <v>21</v>
      </c>
      <c r="PT10" t="s">
        <v>22</v>
      </c>
      <c r="QY10" t="s">
        <v>23</v>
      </c>
      <c r="SD10" t="s">
        <v>24</v>
      </c>
      <c r="TI10" t="s">
        <v>25</v>
      </c>
      <c r="UN10" t="s">
        <v>26</v>
      </c>
      <c r="VS10" t="s">
        <v>27</v>
      </c>
      <c r="WX10" t="s">
        <v>28</v>
      </c>
    </row>
    <row r="11" spans="1:652" x14ac:dyDescent="0.2">
      <c r="A11" t="s">
        <v>29</v>
      </c>
      <c r="B11" t="s">
        <v>30</v>
      </c>
      <c r="AG11" t="s">
        <v>30</v>
      </c>
      <c r="BL11" t="s">
        <v>30</v>
      </c>
      <c r="CQ11" t="s">
        <v>30</v>
      </c>
      <c r="DV11" t="s">
        <v>30</v>
      </c>
      <c r="FA11" t="s">
        <v>30</v>
      </c>
      <c r="GF11" t="s">
        <v>30</v>
      </c>
      <c r="HK11" t="s">
        <v>30</v>
      </c>
      <c r="IP11" t="s">
        <v>30</v>
      </c>
      <c r="JU11" t="s">
        <v>30</v>
      </c>
      <c r="KZ11" t="s">
        <v>30</v>
      </c>
      <c r="ME11" t="s">
        <v>30</v>
      </c>
      <c r="NJ11" t="s">
        <v>30</v>
      </c>
      <c r="OO11" t="s">
        <v>30</v>
      </c>
      <c r="PT11" t="s">
        <v>30</v>
      </c>
      <c r="QY11" t="s">
        <v>30</v>
      </c>
      <c r="SD11" t="s">
        <v>30</v>
      </c>
      <c r="TI11" t="s">
        <v>30</v>
      </c>
      <c r="UN11" t="s">
        <v>30</v>
      </c>
      <c r="VS11" t="s">
        <v>30</v>
      </c>
      <c r="WX11" t="s">
        <v>30</v>
      </c>
    </row>
    <row r="12" spans="1:652" x14ac:dyDescent="0.2">
      <c r="A12" t="s">
        <v>31</v>
      </c>
      <c r="B12" t="s">
        <v>32</v>
      </c>
      <c r="AG12" t="s">
        <v>32</v>
      </c>
      <c r="BL12" t="s">
        <v>32</v>
      </c>
      <c r="CQ12" t="s">
        <v>32</v>
      </c>
      <c r="DV12" t="s">
        <v>32</v>
      </c>
      <c r="FA12" t="s">
        <v>32</v>
      </c>
      <c r="GF12" t="s">
        <v>32</v>
      </c>
      <c r="HK12" t="s">
        <v>32</v>
      </c>
      <c r="IP12" t="s">
        <v>32</v>
      </c>
      <c r="JU12" t="s">
        <v>32</v>
      </c>
      <c r="KZ12" t="s">
        <v>32</v>
      </c>
      <c r="ME12" t="s">
        <v>32</v>
      </c>
      <c r="NJ12" t="s">
        <v>32</v>
      </c>
      <c r="OO12" t="s">
        <v>32</v>
      </c>
      <c r="PT12" t="s">
        <v>32</v>
      </c>
      <c r="QY12" t="s">
        <v>32</v>
      </c>
      <c r="SD12" t="s">
        <v>32</v>
      </c>
      <c r="TI12" t="s">
        <v>32</v>
      </c>
      <c r="UN12" t="s">
        <v>32</v>
      </c>
      <c r="VS12" t="s">
        <v>32</v>
      </c>
      <c r="WX12" t="s">
        <v>32</v>
      </c>
    </row>
    <row r="13" spans="1:652" x14ac:dyDescent="0.2">
      <c r="A13" t="s">
        <v>33</v>
      </c>
      <c r="B13">
        <v>1992</v>
      </c>
      <c r="C13">
        <v>1993</v>
      </c>
      <c r="D13">
        <v>1994</v>
      </c>
      <c r="E13">
        <v>1995</v>
      </c>
      <c r="F13">
        <v>1996</v>
      </c>
      <c r="G13">
        <v>1997</v>
      </c>
      <c r="H13">
        <v>1998</v>
      </c>
      <c r="I13">
        <v>1999</v>
      </c>
      <c r="J13">
        <v>2000</v>
      </c>
      <c r="K13">
        <v>2001</v>
      </c>
      <c r="L13">
        <v>2002</v>
      </c>
      <c r="M13">
        <v>2003</v>
      </c>
      <c r="N13">
        <v>2004</v>
      </c>
      <c r="O13">
        <v>2005</v>
      </c>
      <c r="P13">
        <v>2006</v>
      </c>
      <c r="Q13">
        <v>2007</v>
      </c>
      <c r="R13">
        <v>2008</v>
      </c>
      <c r="S13">
        <v>2009</v>
      </c>
      <c r="T13">
        <v>2010</v>
      </c>
      <c r="U13">
        <v>2011</v>
      </c>
      <c r="V13">
        <v>2012</v>
      </c>
      <c r="W13">
        <v>2013</v>
      </c>
      <c r="X13">
        <v>2014</v>
      </c>
      <c r="Y13">
        <v>2015</v>
      </c>
      <c r="Z13">
        <v>2016</v>
      </c>
      <c r="AA13">
        <v>2017</v>
      </c>
      <c r="AB13">
        <v>2018</v>
      </c>
      <c r="AC13">
        <v>2019</v>
      </c>
      <c r="AD13">
        <v>2020</v>
      </c>
      <c r="AE13">
        <v>2021</v>
      </c>
      <c r="AF13">
        <v>2022</v>
      </c>
      <c r="AG13">
        <v>1992</v>
      </c>
      <c r="AH13">
        <v>1993</v>
      </c>
      <c r="AI13">
        <v>1994</v>
      </c>
      <c r="AJ13">
        <v>1995</v>
      </c>
      <c r="AK13">
        <v>1996</v>
      </c>
      <c r="AL13">
        <v>1997</v>
      </c>
      <c r="AM13">
        <v>1998</v>
      </c>
      <c r="AN13">
        <v>1999</v>
      </c>
      <c r="AO13">
        <v>2000</v>
      </c>
      <c r="AP13">
        <v>2001</v>
      </c>
      <c r="AQ13">
        <v>2002</v>
      </c>
      <c r="AR13">
        <v>2003</v>
      </c>
      <c r="AS13">
        <v>2004</v>
      </c>
      <c r="AT13">
        <v>2005</v>
      </c>
      <c r="AU13">
        <v>2006</v>
      </c>
      <c r="AV13">
        <v>2007</v>
      </c>
      <c r="AW13">
        <v>2008</v>
      </c>
      <c r="AX13">
        <v>2009</v>
      </c>
      <c r="AY13">
        <v>2010</v>
      </c>
      <c r="AZ13">
        <v>2011</v>
      </c>
      <c r="BA13">
        <v>2012</v>
      </c>
      <c r="BB13">
        <v>2013</v>
      </c>
      <c r="BC13">
        <v>2014</v>
      </c>
      <c r="BD13">
        <v>2015</v>
      </c>
      <c r="BE13">
        <v>2016</v>
      </c>
      <c r="BF13">
        <v>2017</v>
      </c>
      <c r="BG13">
        <v>2018</v>
      </c>
      <c r="BH13">
        <v>2019</v>
      </c>
      <c r="BI13">
        <v>2020</v>
      </c>
      <c r="BJ13">
        <v>2021</v>
      </c>
      <c r="BK13">
        <v>2022</v>
      </c>
      <c r="BL13">
        <v>1992</v>
      </c>
      <c r="BM13">
        <v>1993</v>
      </c>
      <c r="BN13">
        <v>1994</v>
      </c>
      <c r="BO13">
        <v>1995</v>
      </c>
      <c r="BP13">
        <v>1996</v>
      </c>
      <c r="BQ13">
        <v>1997</v>
      </c>
      <c r="BR13">
        <v>1998</v>
      </c>
      <c r="BS13">
        <v>1999</v>
      </c>
      <c r="BT13">
        <v>2000</v>
      </c>
      <c r="BU13">
        <v>2001</v>
      </c>
      <c r="BV13">
        <v>2002</v>
      </c>
      <c r="BW13">
        <v>2003</v>
      </c>
      <c r="BX13">
        <v>2004</v>
      </c>
      <c r="BY13">
        <v>2005</v>
      </c>
      <c r="BZ13">
        <v>2006</v>
      </c>
      <c r="CA13">
        <v>2007</v>
      </c>
      <c r="CB13">
        <v>2008</v>
      </c>
      <c r="CC13">
        <v>2009</v>
      </c>
      <c r="CD13">
        <v>2010</v>
      </c>
      <c r="CE13">
        <v>2011</v>
      </c>
      <c r="CF13">
        <v>2012</v>
      </c>
      <c r="CG13">
        <v>2013</v>
      </c>
      <c r="CH13">
        <v>2014</v>
      </c>
      <c r="CI13">
        <v>2015</v>
      </c>
      <c r="CJ13">
        <v>2016</v>
      </c>
      <c r="CK13">
        <v>2017</v>
      </c>
      <c r="CL13">
        <v>2018</v>
      </c>
      <c r="CM13">
        <v>2019</v>
      </c>
      <c r="CN13">
        <v>2020</v>
      </c>
      <c r="CO13">
        <v>2021</v>
      </c>
      <c r="CP13">
        <v>2022</v>
      </c>
      <c r="CQ13">
        <v>1992</v>
      </c>
      <c r="CR13">
        <v>1993</v>
      </c>
      <c r="CS13">
        <v>1994</v>
      </c>
      <c r="CT13">
        <v>1995</v>
      </c>
      <c r="CU13">
        <v>1996</v>
      </c>
      <c r="CV13">
        <v>1997</v>
      </c>
      <c r="CW13">
        <v>1998</v>
      </c>
      <c r="CX13">
        <v>1999</v>
      </c>
      <c r="CY13">
        <v>2000</v>
      </c>
      <c r="CZ13">
        <v>2001</v>
      </c>
      <c r="DA13">
        <v>2002</v>
      </c>
      <c r="DB13">
        <v>2003</v>
      </c>
      <c r="DC13">
        <v>2004</v>
      </c>
      <c r="DD13">
        <v>2005</v>
      </c>
      <c r="DE13">
        <v>2006</v>
      </c>
      <c r="DF13">
        <v>2007</v>
      </c>
      <c r="DG13">
        <v>2008</v>
      </c>
      <c r="DH13">
        <v>2009</v>
      </c>
      <c r="DI13">
        <v>2010</v>
      </c>
      <c r="DJ13">
        <v>2011</v>
      </c>
      <c r="DK13">
        <v>2012</v>
      </c>
      <c r="DL13">
        <v>2013</v>
      </c>
      <c r="DM13">
        <v>2014</v>
      </c>
      <c r="DN13">
        <v>2015</v>
      </c>
      <c r="DO13">
        <v>2016</v>
      </c>
      <c r="DP13">
        <v>2017</v>
      </c>
      <c r="DQ13">
        <v>2018</v>
      </c>
      <c r="DR13">
        <v>2019</v>
      </c>
      <c r="DS13">
        <v>2020</v>
      </c>
      <c r="DT13">
        <v>2021</v>
      </c>
      <c r="DU13">
        <v>2022</v>
      </c>
      <c r="DV13">
        <v>1992</v>
      </c>
      <c r="DW13">
        <v>1993</v>
      </c>
      <c r="DX13">
        <v>1994</v>
      </c>
      <c r="DY13">
        <v>1995</v>
      </c>
      <c r="DZ13">
        <v>1996</v>
      </c>
      <c r="EA13">
        <v>1997</v>
      </c>
      <c r="EB13">
        <v>1998</v>
      </c>
      <c r="EC13">
        <v>1999</v>
      </c>
      <c r="ED13">
        <v>2000</v>
      </c>
      <c r="EE13">
        <v>2001</v>
      </c>
      <c r="EF13">
        <v>2002</v>
      </c>
      <c r="EG13">
        <v>2003</v>
      </c>
      <c r="EH13">
        <v>2004</v>
      </c>
      <c r="EI13">
        <v>2005</v>
      </c>
      <c r="EJ13">
        <v>2006</v>
      </c>
      <c r="EK13">
        <v>2007</v>
      </c>
      <c r="EL13">
        <v>2008</v>
      </c>
      <c r="EM13">
        <v>2009</v>
      </c>
      <c r="EN13">
        <v>2010</v>
      </c>
      <c r="EO13">
        <v>2011</v>
      </c>
      <c r="EP13">
        <v>2012</v>
      </c>
      <c r="EQ13">
        <v>2013</v>
      </c>
      <c r="ER13">
        <v>2014</v>
      </c>
      <c r="ES13">
        <v>2015</v>
      </c>
      <c r="ET13">
        <v>2016</v>
      </c>
      <c r="EU13">
        <v>2017</v>
      </c>
      <c r="EV13">
        <v>2018</v>
      </c>
      <c r="EW13">
        <v>2019</v>
      </c>
      <c r="EX13">
        <v>2020</v>
      </c>
      <c r="EY13">
        <v>2021</v>
      </c>
      <c r="EZ13">
        <v>2022</v>
      </c>
      <c r="FA13">
        <v>1992</v>
      </c>
      <c r="FB13">
        <v>1993</v>
      </c>
      <c r="FC13">
        <v>1994</v>
      </c>
      <c r="FD13">
        <v>1995</v>
      </c>
      <c r="FE13">
        <v>1996</v>
      </c>
      <c r="FF13">
        <v>1997</v>
      </c>
      <c r="FG13">
        <v>1998</v>
      </c>
      <c r="FH13">
        <v>1999</v>
      </c>
      <c r="FI13">
        <v>2000</v>
      </c>
      <c r="FJ13">
        <v>2001</v>
      </c>
      <c r="FK13">
        <v>2002</v>
      </c>
      <c r="FL13">
        <v>2003</v>
      </c>
      <c r="FM13">
        <v>2004</v>
      </c>
      <c r="FN13">
        <v>2005</v>
      </c>
      <c r="FO13">
        <v>2006</v>
      </c>
      <c r="FP13">
        <v>2007</v>
      </c>
      <c r="FQ13">
        <v>2008</v>
      </c>
      <c r="FR13">
        <v>2009</v>
      </c>
      <c r="FS13">
        <v>2010</v>
      </c>
      <c r="FT13">
        <v>2011</v>
      </c>
      <c r="FU13">
        <v>2012</v>
      </c>
      <c r="FV13">
        <v>2013</v>
      </c>
      <c r="FW13">
        <v>2014</v>
      </c>
      <c r="FX13">
        <v>2015</v>
      </c>
      <c r="FY13">
        <v>2016</v>
      </c>
      <c r="FZ13">
        <v>2017</v>
      </c>
      <c r="GA13">
        <v>2018</v>
      </c>
      <c r="GB13">
        <v>2019</v>
      </c>
      <c r="GC13">
        <v>2020</v>
      </c>
      <c r="GD13">
        <v>2021</v>
      </c>
      <c r="GE13">
        <v>2022</v>
      </c>
      <c r="GF13">
        <v>1992</v>
      </c>
      <c r="GG13">
        <v>1993</v>
      </c>
      <c r="GH13">
        <v>1994</v>
      </c>
      <c r="GI13">
        <v>1995</v>
      </c>
      <c r="GJ13">
        <v>1996</v>
      </c>
      <c r="GK13">
        <v>1997</v>
      </c>
      <c r="GL13">
        <v>1998</v>
      </c>
      <c r="GM13">
        <v>1999</v>
      </c>
      <c r="GN13">
        <v>2000</v>
      </c>
      <c r="GO13">
        <v>2001</v>
      </c>
      <c r="GP13">
        <v>2002</v>
      </c>
      <c r="GQ13">
        <v>2003</v>
      </c>
      <c r="GR13">
        <v>2004</v>
      </c>
      <c r="GS13">
        <v>2005</v>
      </c>
      <c r="GT13">
        <v>2006</v>
      </c>
      <c r="GU13">
        <v>2007</v>
      </c>
      <c r="GV13">
        <v>2008</v>
      </c>
      <c r="GW13">
        <v>2009</v>
      </c>
      <c r="GX13">
        <v>2010</v>
      </c>
      <c r="GY13">
        <v>2011</v>
      </c>
      <c r="GZ13">
        <v>2012</v>
      </c>
      <c r="HA13">
        <v>2013</v>
      </c>
      <c r="HB13">
        <v>2014</v>
      </c>
      <c r="HC13">
        <v>2015</v>
      </c>
      <c r="HD13">
        <v>2016</v>
      </c>
      <c r="HE13">
        <v>2017</v>
      </c>
      <c r="HF13">
        <v>2018</v>
      </c>
      <c r="HG13">
        <v>2019</v>
      </c>
      <c r="HH13">
        <v>2020</v>
      </c>
      <c r="HI13">
        <v>2021</v>
      </c>
      <c r="HJ13">
        <v>2022</v>
      </c>
      <c r="HK13">
        <v>1992</v>
      </c>
      <c r="HL13">
        <v>1993</v>
      </c>
      <c r="HM13">
        <v>1994</v>
      </c>
      <c r="HN13">
        <v>1995</v>
      </c>
      <c r="HO13">
        <v>1996</v>
      </c>
      <c r="HP13">
        <v>1997</v>
      </c>
      <c r="HQ13">
        <v>1998</v>
      </c>
      <c r="HR13">
        <v>1999</v>
      </c>
      <c r="HS13">
        <v>2000</v>
      </c>
      <c r="HT13">
        <v>2001</v>
      </c>
      <c r="HU13">
        <v>2002</v>
      </c>
      <c r="HV13">
        <v>2003</v>
      </c>
      <c r="HW13">
        <v>2004</v>
      </c>
      <c r="HX13">
        <v>2005</v>
      </c>
      <c r="HY13">
        <v>2006</v>
      </c>
      <c r="HZ13">
        <v>2007</v>
      </c>
      <c r="IA13">
        <v>2008</v>
      </c>
      <c r="IB13">
        <v>2009</v>
      </c>
      <c r="IC13">
        <v>2010</v>
      </c>
      <c r="ID13">
        <v>2011</v>
      </c>
      <c r="IE13">
        <v>2012</v>
      </c>
      <c r="IF13">
        <v>2013</v>
      </c>
      <c r="IG13">
        <v>2014</v>
      </c>
      <c r="IH13">
        <v>2015</v>
      </c>
      <c r="II13">
        <v>2016</v>
      </c>
      <c r="IJ13">
        <v>2017</v>
      </c>
      <c r="IK13">
        <v>2018</v>
      </c>
      <c r="IL13">
        <v>2019</v>
      </c>
      <c r="IM13">
        <v>2020</v>
      </c>
      <c r="IN13">
        <v>2021</v>
      </c>
      <c r="IO13">
        <v>2022</v>
      </c>
      <c r="IP13">
        <v>1992</v>
      </c>
      <c r="IQ13">
        <v>1993</v>
      </c>
      <c r="IR13">
        <v>1994</v>
      </c>
      <c r="IS13">
        <v>1995</v>
      </c>
      <c r="IT13">
        <v>1996</v>
      </c>
      <c r="IU13">
        <v>1997</v>
      </c>
      <c r="IV13">
        <v>1998</v>
      </c>
      <c r="IW13">
        <v>1999</v>
      </c>
      <c r="IX13">
        <v>2000</v>
      </c>
      <c r="IY13">
        <v>2001</v>
      </c>
      <c r="IZ13">
        <v>2002</v>
      </c>
      <c r="JA13">
        <v>2003</v>
      </c>
      <c r="JB13">
        <v>2004</v>
      </c>
      <c r="JC13">
        <v>2005</v>
      </c>
      <c r="JD13">
        <v>2006</v>
      </c>
      <c r="JE13">
        <v>2007</v>
      </c>
      <c r="JF13">
        <v>2008</v>
      </c>
      <c r="JG13">
        <v>2009</v>
      </c>
      <c r="JH13">
        <v>2010</v>
      </c>
      <c r="JI13">
        <v>2011</v>
      </c>
      <c r="JJ13">
        <v>2012</v>
      </c>
      <c r="JK13">
        <v>2013</v>
      </c>
      <c r="JL13">
        <v>2014</v>
      </c>
      <c r="JM13">
        <v>2015</v>
      </c>
      <c r="JN13">
        <v>2016</v>
      </c>
      <c r="JO13">
        <v>2017</v>
      </c>
      <c r="JP13">
        <v>2018</v>
      </c>
      <c r="JQ13">
        <v>2019</v>
      </c>
      <c r="JR13">
        <v>2020</v>
      </c>
      <c r="JS13">
        <v>2021</v>
      </c>
      <c r="JT13">
        <v>2022</v>
      </c>
      <c r="JU13">
        <v>1992</v>
      </c>
      <c r="JV13">
        <v>1993</v>
      </c>
      <c r="JW13">
        <v>1994</v>
      </c>
      <c r="JX13">
        <v>1995</v>
      </c>
      <c r="JY13">
        <v>1996</v>
      </c>
      <c r="JZ13">
        <v>1997</v>
      </c>
      <c r="KA13">
        <v>1998</v>
      </c>
      <c r="KB13">
        <v>1999</v>
      </c>
      <c r="KC13">
        <v>2000</v>
      </c>
      <c r="KD13">
        <v>2001</v>
      </c>
      <c r="KE13">
        <v>2002</v>
      </c>
      <c r="KF13">
        <v>2003</v>
      </c>
      <c r="KG13">
        <v>2004</v>
      </c>
      <c r="KH13">
        <v>2005</v>
      </c>
      <c r="KI13">
        <v>2006</v>
      </c>
      <c r="KJ13">
        <v>2007</v>
      </c>
      <c r="KK13">
        <v>2008</v>
      </c>
      <c r="KL13">
        <v>2009</v>
      </c>
      <c r="KM13">
        <v>2010</v>
      </c>
      <c r="KN13">
        <v>2011</v>
      </c>
      <c r="KO13">
        <v>2012</v>
      </c>
      <c r="KP13">
        <v>2013</v>
      </c>
      <c r="KQ13">
        <v>2014</v>
      </c>
      <c r="KR13">
        <v>2015</v>
      </c>
      <c r="KS13">
        <v>2016</v>
      </c>
      <c r="KT13">
        <v>2017</v>
      </c>
      <c r="KU13">
        <v>2018</v>
      </c>
      <c r="KV13">
        <v>2019</v>
      </c>
      <c r="KW13">
        <v>2020</v>
      </c>
      <c r="KX13">
        <v>2021</v>
      </c>
      <c r="KY13">
        <v>2022</v>
      </c>
      <c r="KZ13">
        <v>1992</v>
      </c>
      <c r="LA13">
        <v>1993</v>
      </c>
      <c r="LB13">
        <v>1994</v>
      </c>
      <c r="LC13">
        <v>1995</v>
      </c>
      <c r="LD13">
        <v>1996</v>
      </c>
      <c r="LE13">
        <v>1997</v>
      </c>
      <c r="LF13">
        <v>1998</v>
      </c>
      <c r="LG13">
        <v>1999</v>
      </c>
      <c r="LH13">
        <v>2000</v>
      </c>
      <c r="LI13">
        <v>2001</v>
      </c>
      <c r="LJ13">
        <v>2002</v>
      </c>
      <c r="LK13">
        <v>2003</v>
      </c>
      <c r="LL13">
        <v>2004</v>
      </c>
      <c r="LM13">
        <v>2005</v>
      </c>
      <c r="LN13">
        <v>2006</v>
      </c>
      <c r="LO13">
        <v>2007</v>
      </c>
      <c r="LP13">
        <v>2008</v>
      </c>
      <c r="LQ13">
        <v>2009</v>
      </c>
      <c r="LR13">
        <v>2010</v>
      </c>
      <c r="LS13">
        <v>2011</v>
      </c>
      <c r="LT13">
        <v>2012</v>
      </c>
      <c r="LU13">
        <v>2013</v>
      </c>
      <c r="LV13">
        <v>2014</v>
      </c>
      <c r="LW13">
        <v>2015</v>
      </c>
      <c r="LX13">
        <v>2016</v>
      </c>
      <c r="LY13">
        <v>2017</v>
      </c>
      <c r="LZ13">
        <v>2018</v>
      </c>
      <c r="MA13">
        <v>2019</v>
      </c>
      <c r="MB13">
        <v>2020</v>
      </c>
      <c r="MC13">
        <v>2021</v>
      </c>
      <c r="MD13">
        <v>2022</v>
      </c>
      <c r="ME13">
        <v>1992</v>
      </c>
      <c r="MF13">
        <v>1993</v>
      </c>
      <c r="MG13">
        <v>1994</v>
      </c>
      <c r="MH13">
        <v>1995</v>
      </c>
      <c r="MI13">
        <v>1996</v>
      </c>
      <c r="MJ13">
        <v>1997</v>
      </c>
      <c r="MK13">
        <v>1998</v>
      </c>
      <c r="ML13">
        <v>1999</v>
      </c>
      <c r="MM13">
        <v>2000</v>
      </c>
      <c r="MN13">
        <v>2001</v>
      </c>
      <c r="MO13">
        <v>2002</v>
      </c>
      <c r="MP13">
        <v>2003</v>
      </c>
      <c r="MQ13">
        <v>2004</v>
      </c>
      <c r="MR13">
        <v>2005</v>
      </c>
      <c r="MS13">
        <v>2006</v>
      </c>
      <c r="MT13">
        <v>2007</v>
      </c>
      <c r="MU13">
        <v>2008</v>
      </c>
      <c r="MV13">
        <v>2009</v>
      </c>
      <c r="MW13">
        <v>2010</v>
      </c>
      <c r="MX13">
        <v>2011</v>
      </c>
      <c r="MY13">
        <v>2012</v>
      </c>
      <c r="MZ13">
        <v>2013</v>
      </c>
      <c r="NA13">
        <v>2014</v>
      </c>
      <c r="NB13">
        <v>2015</v>
      </c>
      <c r="NC13">
        <v>2016</v>
      </c>
      <c r="ND13">
        <v>2017</v>
      </c>
      <c r="NE13">
        <v>2018</v>
      </c>
      <c r="NF13">
        <v>2019</v>
      </c>
      <c r="NG13">
        <v>2020</v>
      </c>
      <c r="NH13">
        <v>2021</v>
      </c>
      <c r="NI13">
        <v>2022</v>
      </c>
      <c r="NJ13">
        <v>1992</v>
      </c>
      <c r="NK13">
        <v>1993</v>
      </c>
      <c r="NL13">
        <v>1994</v>
      </c>
      <c r="NM13">
        <v>1995</v>
      </c>
      <c r="NN13">
        <v>1996</v>
      </c>
      <c r="NO13">
        <v>1997</v>
      </c>
      <c r="NP13">
        <v>1998</v>
      </c>
      <c r="NQ13">
        <v>1999</v>
      </c>
      <c r="NR13">
        <v>2000</v>
      </c>
      <c r="NS13">
        <v>2001</v>
      </c>
      <c r="NT13">
        <v>2002</v>
      </c>
      <c r="NU13">
        <v>2003</v>
      </c>
      <c r="NV13">
        <v>2004</v>
      </c>
      <c r="NW13">
        <v>2005</v>
      </c>
      <c r="NX13">
        <v>2006</v>
      </c>
      <c r="NY13">
        <v>2007</v>
      </c>
      <c r="NZ13">
        <v>2008</v>
      </c>
      <c r="OA13">
        <v>2009</v>
      </c>
      <c r="OB13">
        <v>2010</v>
      </c>
      <c r="OC13">
        <v>2011</v>
      </c>
      <c r="OD13">
        <v>2012</v>
      </c>
      <c r="OE13">
        <v>2013</v>
      </c>
      <c r="OF13">
        <v>2014</v>
      </c>
      <c r="OG13">
        <v>2015</v>
      </c>
      <c r="OH13">
        <v>2016</v>
      </c>
      <c r="OI13">
        <v>2017</v>
      </c>
      <c r="OJ13">
        <v>2018</v>
      </c>
      <c r="OK13">
        <v>2019</v>
      </c>
      <c r="OL13">
        <v>2020</v>
      </c>
      <c r="OM13">
        <v>2021</v>
      </c>
      <c r="ON13">
        <v>2022</v>
      </c>
      <c r="OO13">
        <v>1992</v>
      </c>
      <c r="OP13">
        <v>1993</v>
      </c>
      <c r="OQ13">
        <v>1994</v>
      </c>
      <c r="OR13">
        <v>1995</v>
      </c>
      <c r="OS13">
        <v>1996</v>
      </c>
      <c r="OT13">
        <v>1997</v>
      </c>
      <c r="OU13">
        <v>1998</v>
      </c>
      <c r="OV13">
        <v>1999</v>
      </c>
      <c r="OW13">
        <v>2000</v>
      </c>
      <c r="OX13">
        <v>2001</v>
      </c>
      <c r="OY13">
        <v>2002</v>
      </c>
      <c r="OZ13">
        <v>2003</v>
      </c>
      <c r="PA13">
        <v>2004</v>
      </c>
      <c r="PB13">
        <v>2005</v>
      </c>
      <c r="PC13">
        <v>2006</v>
      </c>
      <c r="PD13">
        <v>2007</v>
      </c>
      <c r="PE13">
        <v>2008</v>
      </c>
      <c r="PF13">
        <v>2009</v>
      </c>
      <c r="PG13">
        <v>2010</v>
      </c>
      <c r="PH13">
        <v>2011</v>
      </c>
      <c r="PI13">
        <v>2012</v>
      </c>
      <c r="PJ13">
        <v>2013</v>
      </c>
      <c r="PK13">
        <v>2014</v>
      </c>
      <c r="PL13">
        <v>2015</v>
      </c>
      <c r="PM13">
        <v>2016</v>
      </c>
      <c r="PN13">
        <v>2017</v>
      </c>
      <c r="PO13">
        <v>2018</v>
      </c>
      <c r="PP13">
        <v>2019</v>
      </c>
      <c r="PQ13">
        <v>2020</v>
      </c>
      <c r="PR13">
        <v>2021</v>
      </c>
      <c r="PS13">
        <v>2022</v>
      </c>
      <c r="PT13">
        <v>1992</v>
      </c>
      <c r="PU13">
        <v>1993</v>
      </c>
      <c r="PV13">
        <v>1994</v>
      </c>
      <c r="PW13">
        <v>1995</v>
      </c>
      <c r="PX13">
        <v>1996</v>
      </c>
      <c r="PY13">
        <v>1997</v>
      </c>
      <c r="PZ13">
        <v>1998</v>
      </c>
      <c r="QA13">
        <v>1999</v>
      </c>
      <c r="QB13">
        <v>2000</v>
      </c>
      <c r="QC13">
        <v>2001</v>
      </c>
      <c r="QD13">
        <v>2002</v>
      </c>
      <c r="QE13">
        <v>2003</v>
      </c>
      <c r="QF13">
        <v>2004</v>
      </c>
      <c r="QG13">
        <v>2005</v>
      </c>
      <c r="QH13">
        <v>2006</v>
      </c>
      <c r="QI13">
        <v>2007</v>
      </c>
      <c r="QJ13">
        <v>2008</v>
      </c>
      <c r="QK13">
        <v>2009</v>
      </c>
      <c r="QL13">
        <v>2010</v>
      </c>
      <c r="QM13">
        <v>2011</v>
      </c>
      <c r="QN13">
        <v>2012</v>
      </c>
      <c r="QO13">
        <v>2013</v>
      </c>
      <c r="QP13">
        <v>2014</v>
      </c>
      <c r="QQ13">
        <v>2015</v>
      </c>
      <c r="QR13">
        <v>2016</v>
      </c>
      <c r="QS13">
        <v>2017</v>
      </c>
      <c r="QT13">
        <v>2018</v>
      </c>
      <c r="QU13">
        <v>2019</v>
      </c>
      <c r="QV13">
        <v>2020</v>
      </c>
      <c r="QW13">
        <v>2021</v>
      </c>
      <c r="QX13">
        <v>2022</v>
      </c>
      <c r="QY13">
        <v>1992</v>
      </c>
      <c r="QZ13">
        <v>1993</v>
      </c>
      <c r="RA13">
        <v>1994</v>
      </c>
      <c r="RB13">
        <v>1995</v>
      </c>
      <c r="RC13">
        <v>1996</v>
      </c>
      <c r="RD13">
        <v>1997</v>
      </c>
      <c r="RE13">
        <v>1998</v>
      </c>
      <c r="RF13">
        <v>1999</v>
      </c>
      <c r="RG13">
        <v>2000</v>
      </c>
      <c r="RH13">
        <v>2001</v>
      </c>
      <c r="RI13">
        <v>2002</v>
      </c>
      <c r="RJ13">
        <v>2003</v>
      </c>
      <c r="RK13">
        <v>2004</v>
      </c>
      <c r="RL13">
        <v>2005</v>
      </c>
      <c r="RM13">
        <v>2006</v>
      </c>
      <c r="RN13">
        <v>2007</v>
      </c>
      <c r="RO13">
        <v>2008</v>
      </c>
      <c r="RP13">
        <v>2009</v>
      </c>
      <c r="RQ13">
        <v>2010</v>
      </c>
      <c r="RR13">
        <v>2011</v>
      </c>
      <c r="RS13">
        <v>2012</v>
      </c>
      <c r="RT13">
        <v>2013</v>
      </c>
      <c r="RU13">
        <v>2014</v>
      </c>
      <c r="RV13">
        <v>2015</v>
      </c>
      <c r="RW13">
        <v>2016</v>
      </c>
      <c r="RX13">
        <v>2017</v>
      </c>
      <c r="RY13">
        <v>2018</v>
      </c>
      <c r="RZ13">
        <v>2019</v>
      </c>
      <c r="SA13">
        <v>2020</v>
      </c>
      <c r="SB13">
        <v>2021</v>
      </c>
      <c r="SC13">
        <v>2022</v>
      </c>
      <c r="SD13">
        <v>1992</v>
      </c>
      <c r="SE13">
        <v>1993</v>
      </c>
      <c r="SF13">
        <v>1994</v>
      </c>
      <c r="SG13">
        <v>1995</v>
      </c>
      <c r="SH13">
        <v>1996</v>
      </c>
      <c r="SI13">
        <v>1997</v>
      </c>
      <c r="SJ13">
        <v>1998</v>
      </c>
      <c r="SK13">
        <v>1999</v>
      </c>
      <c r="SL13">
        <v>2000</v>
      </c>
      <c r="SM13">
        <v>2001</v>
      </c>
      <c r="SN13">
        <v>2002</v>
      </c>
      <c r="SO13">
        <v>2003</v>
      </c>
      <c r="SP13">
        <v>2004</v>
      </c>
      <c r="SQ13">
        <v>2005</v>
      </c>
      <c r="SR13">
        <v>2006</v>
      </c>
      <c r="SS13">
        <v>2007</v>
      </c>
      <c r="ST13">
        <v>2008</v>
      </c>
      <c r="SU13">
        <v>2009</v>
      </c>
      <c r="SV13">
        <v>2010</v>
      </c>
      <c r="SW13">
        <v>2011</v>
      </c>
      <c r="SX13">
        <v>2012</v>
      </c>
      <c r="SY13">
        <v>2013</v>
      </c>
      <c r="SZ13">
        <v>2014</v>
      </c>
      <c r="TA13">
        <v>2015</v>
      </c>
      <c r="TB13">
        <v>2016</v>
      </c>
      <c r="TC13">
        <v>2017</v>
      </c>
      <c r="TD13">
        <v>2018</v>
      </c>
      <c r="TE13">
        <v>2019</v>
      </c>
      <c r="TF13">
        <v>2020</v>
      </c>
      <c r="TG13">
        <v>2021</v>
      </c>
      <c r="TH13">
        <v>2022</v>
      </c>
      <c r="TI13">
        <v>1992</v>
      </c>
      <c r="TJ13">
        <v>1993</v>
      </c>
      <c r="TK13">
        <v>1994</v>
      </c>
      <c r="TL13">
        <v>1995</v>
      </c>
      <c r="TM13">
        <v>1996</v>
      </c>
      <c r="TN13">
        <v>1997</v>
      </c>
      <c r="TO13">
        <v>1998</v>
      </c>
      <c r="TP13">
        <v>1999</v>
      </c>
      <c r="TQ13">
        <v>2000</v>
      </c>
      <c r="TR13">
        <v>2001</v>
      </c>
      <c r="TS13">
        <v>2002</v>
      </c>
      <c r="TT13">
        <v>2003</v>
      </c>
      <c r="TU13">
        <v>2004</v>
      </c>
      <c r="TV13">
        <v>2005</v>
      </c>
      <c r="TW13">
        <v>2006</v>
      </c>
      <c r="TX13">
        <v>2007</v>
      </c>
      <c r="TY13">
        <v>2008</v>
      </c>
      <c r="TZ13">
        <v>2009</v>
      </c>
      <c r="UA13">
        <v>2010</v>
      </c>
      <c r="UB13">
        <v>2011</v>
      </c>
      <c r="UC13">
        <v>2012</v>
      </c>
      <c r="UD13">
        <v>2013</v>
      </c>
      <c r="UE13">
        <v>2014</v>
      </c>
      <c r="UF13">
        <v>2015</v>
      </c>
      <c r="UG13">
        <v>2016</v>
      </c>
      <c r="UH13">
        <v>2017</v>
      </c>
      <c r="UI13">
        <v>2018</v>
      </c>
      <c r="UJ13">
        <v>2019</v>
      </c>
      <c r="UK13">
        <v>2020</v>
      </c>
      <c r="UL13">
        <v>2021</v>
      </c>
      <c r="UM13">
        <v>2022</v>
      </c>
      <c r="UN13">
        <v>1992</v>
      </c>
      <c r="UO13">
        <v>1993</v>
      </c>
      <c r="UP13">
        <v>1994</v>
      </c>
      <c r="UQ13">
        <v>1995</v>
      </c>
      <c r="UR13">
        <v>1996</v>
      </c>
      <c r="US13">
        <v>1997</v>
      </c>
      <c r="UT13">
        <v>1998</v>
      </c>
      <c r="UU13">
        <v>1999</v>
      </c>
      <c r="UV13">
        <v>2000</v>
      </c>
      <c r="UW13">
        <v>2001</v>
      </c>
      <c r="UX13">
        <v>2002</v>
      </c>
      <c r="UY13">
        <v>2003</v>
      </c>
      <c r="UZ13">
        <v>2004</v>
      </c>
      <c r="VA13">
        <v>2005</v>
      </c>
      <c r="VB13">
        <v>2006</v>
      </c>
      <c r="VC13">
        <v>2007</v>
      </c>
      <c r="VD13">
        <v>2008</v>
      </c>
      <c r="VE13">
        <v>2009</v>
      </c>
      <c r="VF13">
        <v>2010</v>
      </c>
      <c r="VG13">
        <v>2011</v>
      </c>
      <c r="VH13">
        <v>2012</v>
      </c>
      <c r="VI13">
        <v>2013</v>
      </c>
      <c r="VJ13">
        <v>2014</v>
      </c>
      <c r="VK13">
        <v>2015</v>
      </c>
      <c r="VL13">
        <v>2016</v>
      </c>
      <c r="VM13">
        <v>2017</v>
      </c>
      <c r="VN13">
        <v>2018</v>
      </c>
      <c r="VO13">
        <v>2019</v>
      </c>
      <c r="VP13">
        <v>2020</v>
      </c>
      <c r="VQ13">
        <v>2021</v>
      </c>
      <c r="VR13">
        <v>2022</v>
      </c>
      <c r="VS13">
        <v>1992</v>
      </c>
      <c r="VT13">
        <v>1993</v>
      </c>
      <c r="VU13">
        <v>1994</v>
      </c>
      <c r="VV13">
        <v>1995</v>
      </c>
      <c r="VW13">
        <v>1996</v>
      </c>
      <c r="VX13">
        <v>1997</v>
      </c>
      <c r="VY13">
        <v>1998</v>
      </c>
      <c r="VZ13">
        <v>1999</v>
      </c>
      <c r="WA13">
        <v>2000</v>
      </c>
      <c r="WB13">
        <v>2001</v>
      </c>
      <c r="WC13">
        <v>2002</v>
      </c>
      <c r="WD13">
        <v>2003</v>
      </c>
      <c r="WE13">
        <v>2004</v>
      </c>
      <c r="WF13">
        <v>2005</v>
      </c>
      <c r="WG13">
        <v>2006</v>
      </c>
      <c r="WH13">
        <v>2007</v>
      </c>
      <c r="WI13">
        <v>2008</v>
      </c>
      <c r="WJ13">
        <v>2009</v>
      </c>
      <c r="WK13">
        <v>2010</v>
      </c>
      <c r="WL13">
        <v>2011</v>
      </c>
      <c r="WM13">
        <v>2012</v>
      </c>
      <c r="WN13">
        <v>2013</v>
      </c>
      <c r="WO13">
        <v>2014</v>
      </c>
      <c r="WP13">
        <v>2015</v>
      </c>
      <c r="WQ13">
        <v>2016</v>
      </c>
      <c r="WR13">
        <v>2017</v>
      </c>
      <c r="WS13">
        <v>2018</v>
      </c>
      <c r="WT13">
        <v>2019</v>
      </c>
      <c r="WU13">
        <v>2020</v>
      </c>
      <c r="WV13">
        <v>2021</v>
      </c>
      <c r="WW13">
        <v>2022</v>
      </c>
      <c r="WX13">
        <v>1992</v>
      </c>
      <c r="WY13">
        <v>1993</v>
      </c>
      <c r="WZ13">
        <v>1994</v>
      </c>
      <c r="XA13">
        <v>1995</v>
      </c>
      <c r="XB13">
        <v>1996</v>
      </c>
      <c r="XC13">
        <v>1997</v>
      </c>
      <c r="XD13">
        <v>1998</v>
      </c>
      <c r="XE13">
        <v>1999</v>
      </c>
      <c r="XF13">
        <v>2000</v>
      </c>
      <c r="XG13">
        <v>2001</v>
      </c>
      <c r="XH13">
        <v>2002</v>
      </c>
      <c r="XI13">
        <v>2003</v>
      </c>
      <c r="XJ13">
        <v>2004</v>
      </c>
      <c r="XK13">
        <v>2005</v>
      </c>
      <c r="XL13">
        <v>2006</v>
      </c>
      <c r="XM13">
        <v>2007</v>
      </c>
      <c r="XN13">
        <v>2008</v>
      </c>
      <c r="XO13">
        <v>2009</v>
      </c>
      <c r="XP13">
        <v>2010</v>
      </c>
      <c r="XQ13">
        <v>2011</v>
      </c>
      <c r="XR13">
        <v>2012</v>
      </c>
      <c r="XS13">
        <v>2013</v>
      </c>
      <c r="XT13">
        <v>2014</v>
      </c>
      <c r="XU13">
        <v>2015</v>
      </c>
      <c r="XV13">
        <v>2016</v>
      </c>
      <c r="XW13">
        <v>2017</v>
      </c>
      <c r="XX13">
        <v>2018</v>
      </c>
      <c r="XY13">
        <v>2019</v>
      </c>
      <c r="XZ13">
        <v>2020</v>
      </c>
      <c r="YA13">
        <v>2021</v>
      </c>
      <c r="YB13">
        <v>2022</v>
      </c>
    </row>
    <row r="14" spans="1:652" x14ac:dyDescent="0.2">
      <c r="B14" t="s">
        <v>34</v>
      </c>
    </row>
    <row r="15" spans="1:652" x14ac:dyDescent="0.2">
      <c r="A15" t="s">
        <v>35</v>
      </c>
      <c r="B15" s="1">
        <v>11366920</v>
      </c>
      <c r="C15" s="1">
        <v>11652250</v>
      </c>
      <c r="D15" s="1">
        <v>11815665</v>
      </c>
      <c r="E15" s="1">
        <v>12008050</v>
      </c>
      <c r="F15" s="1">
        <v>12115855</v>
      </c>
      <c r="G15" s="1">
        <v>12254435</v>
      </c>
      <c r="H15" s="1">
        <v>12344860</v>
      </c>
      <c r="I15" s="1">
        <v>12546600</v>
      </c>
      <c r="J15" s="1">
        <v>12714735</v>
      </c>
      <c r="K15" s="1">
        <v>12788500</v>
      </c>
      <c r="L15" s="1">
        <v>12769940</v>
      </c>
      <c r="M15" s="1">
        <v>13063065</v>
      </c>
      <c r="N15" s="1">
        <v>13262020</v>
      </c>
      <c r="O15" s="1">
        <v>13517060</v>
      </c>
      <c r="P15" s="1">
        <v>13664545</v>
      </c>
      <c r="Q15" s="1">
        <v>13853445</v>
      </c>
      <c r="R15" s="1">
        <v>14061340</v>
      </c>
      <c r="S15" s="1">
        <v>14236700</v>
      </c>
      <c r="T15" s="1">
        <v>14385630</v>
      </c>
      <c r="U15" s="1">
        <v>14599680</v>
      </c>
      <c r="V15" s="1">
        <v>14829510</v>
      </c>
      <c r="W15" s="1">
        <v>15048705</v>
      </c>
      <c r="X15" s="1">
        <v>15252080</v>
      </c>
      <c r="Y15" s="1">
        <v>15428710</v>
      </c>
      <c r="Z15" s="1">
        <v>15606370</v>
      </c>
      <c r="AA15" s="1">
        <v>15902680</v>
      </c>
      <c r="AB15" s="1">
        <v>16223575</v>
      </c>
      <c r="AC15" s="1">
        <v>16498605</v>
      </c>
      <c r="AD15" s="1">
        <v>16602280</v>
      </c>
      <c r="AE15" s="1">
        <v>16875260</v>
      </c>
      <c r="AF15" s="1">
        <v>17383360</v>
      </c>
      <c r="AG15" s="1">
        <v>568290</v>
      </c>
      <c r="AH15" s="1">
        <v>582610</v>
      </c>
      <c r="AI15" s="1">
        <v>590780</v>
      </c>
      <c r="AJ15" s="1">
        <v>600340</v>
      </c>
      <c r="AK15" s="1">
        <v>605620</v>
      </c>
      <c r="AL15" s="1">
        <v>612600</v>
      </c>
      <c r="AM15" s="1">
        <v>617225</v>
      </c>
      <c r="AN15" s="1">
        <v>627325</v>
      </c>
      <c r="AO15" s="1">
        <v>635675</v>
      </c>
      <c r="AP15" s="1">
        <v>639420</v>
      </c>
      <c r="AQ15" s="1">
        <v>638435</v>
      </c>
      <c r="AR15" s="1">
        <v>652585</v>
      </c>
      <c r="AS15" s="1">
        <v>663035</v>
      </c>
      <c r="AT15" s="1">
        <v>675835</v>
      </c>
      <c r="AU15" s="1">
        <v>683130</v>
      </c>
      <c r="AV15" s="1">
        <v>692605</v>
      </c>
      <c r="AW15" s="1">
        <v>702935</v>
      </c>
      <c r="AX15" s="1">
        <v>711810</v>
      </c>
      <c r="AY15" s="1">
        <v>719215</v>
      </c>
      <c r="AZ15" s="1">
        <v>729965</v>
      </c>
      <c r="BA15" s="1">
        <v>741450</v>
      </c>
      <c r="BB15" s="1">
        <v>752350</v>
      </c>
      <c r="BC15" s="1">
        <v>762570</v>
      </c>
      <c r="BD15" s="1">
        <v>771395</v>
      </c>
      <c r="BE15" s="1">
        <v>780250</v>
      </c>
      <c r="BF15" s="1">
        <v>795020</v>
      </c>
      <c r="BG15" s="1">
        <v>811150</v>
      </c>
      <c r="BH15" s="1">
        <v>824830</v>
      </c>
      <c r="BI15" s="1">
        <v>830105</v>
      </c>
      <c r="BJ15" s="1">
        <v>843735</v>
      </c>
      <c r="BK15" s="1">
        <v>869080</v>
      </c>
      <c r="BL15" s="1">
        <v>568375</v>
      </c>
      <c r="BM15" s="1">
        <v>582450</v>
      </c>
      <c r="BN15" s="1">
        <v>590495</v>
      </c>
      <c r="BO15" s="1">
        <v>600405</v>
      </c>
      <c r="BP15" s="1">
        <v>605845</v>
      </c>
      <c r="BQ15" s="1">
        <v>612780</v>
      </c>
      <c r="BR15" s="1">
        <v>617215</v>
      </c>
      <c r="BS15" s="1">
        <v>627215</v>
      </c>
      <c r="BT15" s="1">
        <v>635690</v>
      </c>
      <c r="BU15" s="1">
        <v>639405</v>
      </c>
      <c r="BV15" s="1">
        <v>638430</v>
      </c>
      <c r="BW15" s="1">
        <v>653695</v>
      </c>
      <c r="BX15" s="1">
        <v>663100</v>
      </c>
      <c r="BY15" s="1">
        <v>675865</v>
      </c>
      <c r="BZ15" s="1">
        <v>683300</v>
      </c>
      <c r="CA15" s="1">
        <v>692605</v>
      </c>
      <c r="CB15" s="1">
        <v>703080</v>
      </c>
      <c r="CC15" s="1">
        <v>711755</v>
      </c>
      <c r="CD15" s="1">
        <v>719285</v>
      </c>
      <c r="CE15" s="1">
        <v>729955</v>
      </c>
      <c r="CF15" s="1">
        <v>741390</v>
      </c>
      <c r="CG15" s="1">
        <v>752480</v>
      </c>
      <c r="CH15" s="1">
        <v>762555</v>
      </c>
      <c r="CI15" s="1">
        <v>771405</v>
      </c>
      <c r="CJ15" s="1">
        <v>780365</v>
      </c>
      <c r="CK15" s="1">
        <v>795205</v>
      </c>
      <c r="CL15" s="1">
        <v>811125</v>
      </c>
      <c r="CM15" s="1">
        <v>824995</v>
      </c>
      <c r="CN15" s="1">
        <v>830045</v>
      </c>
      <c r="CO15" s="1">
        <v>843740</v>
      </c>
      <c r="CP15" s="1">
        <v>869170</v>
      </c>
      <c r="CQ15" s="1">
        <v>568340</v>
      </c>
      <c r="CR15" s="1">
        <v>582635</v>
      </c>
      <c r="CS15" s="1">
        <v>590915</v>
      </c>
      <c r="CT15" s="1">
        <v>600415</v>
      </c>
      <c r="CU15" s="1">
        <v>605770</v>
      </c>
      <c r="CV15" s="1">
        <v>612625</v>
      </c>
      <c r="CW15" s="1">
        <v>617290</v>
      </c>
      <c r="CX15" s="1">
        <v>627380</v>
      </c>
      <c r="CY15" s="1">
        <v>635770</v>
      </c>
      <c r="CZ15" s="1">
        <v>639270</v>
      </c>
      <c r="DA15" s="1">
        <v>638430</v>
      </c>
      <c r="DB15" s="1">
        <v>652950</v>
      </c>
      <c r="DC15" s="1">
        <v>662960</v>
      </c>
      <c r="DD15" s="1">
        <v>675810</v>
      </c>
      <c r="DE15" s="1">
        <v>683235</v>
      </c>
      <c r="DF15" s="1">
        <v>692580</v>
      </c>
      <c r="DG15" s="1">
        <v>703125</v>
      </c>
      <c r="DH15" s="1">
        <v>711910</v>
      </c>
      <c r="DI15" s="1">
        <v>719240</v>
      </c>
      <c r="DJ15" s="1">
        <v>730020</v>
      </c>
      <c r="DK15" s="1">
        <v>741435</v>
      </c>
      <c r="DL15" s="1">
        <v>752275</v>
      </c>
      <c r="DM15" s="1">
        <v>762440</v>
      </c>
      <c r="DN15" s="1">
        <v>771410</v>
      </c>
      <c r="DO15" s="1">
        <v>780295</v>
      </c>
      <c r="DP15" s="1">
        <v>794960</v>
      </c>
      <c r="DQ15" s="1">
        <v>811260</v>
      </c>
      <c r="DR15" s="1">
        <v>824815</v>
      </c>
      <c r="DS15" s="1">
        <v>830065</v>
      </c>
      <c r="DT15" s="1">
        <v>843805</v>
      </c>
      <c r="DU15" s="1">
        <v>869135</v>
      </c>
      <c r="DV15" s="1">
        <v>568185</v>
      </c>
      <c r="DW15" s="1">
        <v>582540</v>
      </c>
      <c r="DX15" s="1">
        <v>590825</v>
      </c>
      <c r="DY15" s="1">
        <v>600370</v>
      </c>
      <c r="DZ15" s="1">
        <v>605735</v>
      </c>
      <c r="EA15" s="1">
        <v>612730</v>
      </c>
      <c r="EB15" s="1">
        <v>617235</v>
      </c>
      <c r="EC15" s="1">
        <v>627345</v>
      </c>
      <c r="ED15" s="1">
        <v>635660</v>
      </c>
      <c r="EE15" s="1">
        <v>639605</v>
      </c>
      <c r="EF15" s="1">
        <v>638500</v>
      </c>
      <c r="EG15" s="1">
        <v>653330</v>
      </c>
      <c r="EH15" s="1">
        <v>663150</v>
      </c>
      <c r="EI15" s="1">
        <v>675775</v>
      </c>
      <c r="EJ15" s="1">
        <v>683220</v>
      </c>
      <c r="EK15" s="1">
        <v>692895</v>
      </c>
      <c r="EL15" s="1">
        <v>702960</v>
      </c>
      <c r="EM15" s="1">
        <v>711750</v>
      </c>
      <c r="EN15" s="1">
        <v>719375</v>
      </c>
      <c r="EO15" s="1">
        <v>729985</v>
      </c>
      <c r="EP15" s="1">
        <v>741495</v>
      </c>
      <c r="EQ15" s="1">
        <v>752505</v>
      </c>
      <c r="ER15" s="1">
        <v>762830</v>
      </c>
      <c r="ES15" s="1">
        <v>771370</v>
      </c>
      <c r="ET15" s="1">
        <v>780170</v>
      </c>
      <c r="EU15" s="1">
        <v>795220</v>
      </c>
      <c r="EV15" s="1">
        <v>811070</v>
      </c>
      <c r="EW15" s="1">
        <v>824990</v>
      </c>
      <c r="EX15" s="1">
        <v>830185</v>
      </c>
      <c r="EY15" s="1">
        <v>843645</v>
      </c>
      <c r="EZ15" s="1">
        <v>869225</v>
      </c>
      <c r="FA15" s="1">
        <v>568510</v>
      </c>
      <c r="FB15" s="1">
        <v>582710</v>
      </c>
      <c r="FC15" s="1">
        <v>590800</v>
      </c>
      <c r="FD15" s="1">
        <v>600300</v>
      </c>
      <c r="FE15" s="1">
        <v>605925</v>
      </c>
      <c r="FF15" s="1">
        <v>612705</v>
      </c>
      <c r="FG15" s="1">
        <v>617115</v>
      </c>
      <c r="FH15" s="1">
        <v>627355</v>
      </c>
      <c r="FI15" s="1">
        <v>635710</v>
      </c>
      <c r="FJ15" s="1">
        <v>639290</v>
      </c>
      <c r="FK15" s="1">
        <v>638600</v>
      </c>
      <c r="FL15" s="1">
        <v>653140</v>
      </c>
      <c r="FM15" s="1">
        <v>663150</v>
      </c>
      <c r="FN15" s="1">
        <v>675965</v>
      </c>
      <c r="FO15" s="1">
        <v>683220</v>
      </c>
      <c r="FP15" s="1">
        <v>692555</v>
      </c>
      <c r="FQ15" s="1">
        <v>703095</v>
      </c>
      <c r="FR15" s="1">
        <v>711880</v>
      </c>
      <c r="FS15" s="1">
        <v>719245</v>
      </c>
      <c r="FT15" s="1">
        <v>729950</v>
      </c>
      <c r="FU15" s="1">
        <v>741540</v>
      </c>
      <c r="FV15" s="1">
        <v>752475</v>
      </c>
      <c r="FW15" s="1">
        <v>762535</v>
      </c>
      <c r="FX15" s="1">
        <v>771460</v>
      </c>
      <c r="FY15" s="1">
        <v>780510</v>
      </c>
      <c r="FZ15" s="1">
        <v>795250</v>
      </c>
      <c r="GA15" s="1">
        <v>811225</v>
      </c>
      <c r="GB15" s="1">
        <v>825010</v>
      </c>
      <c r="GC15" s="1">
        <v>830140</v>
      </c>
      <c r="GD15" s="1">
        <v>843880</v>
      </c>
      <c r="GE15" s="1">
        <v>869135</v>
      </c>
      <c r="GF15" s="1">
        <v>568300</v>
      </c>
      <c r="GG15" s="1">
        <v>582635</v>
      </c>
      <c r="GH15" s="1">
        <v>590865</v>
      </c>
      <c r="GI15" s="1">
        <v>600545</v>
      </c>
      <c r="GJ15" s="1">
        <v>605800</v>
      </c>
      <c r="GK15" s="1">
        <v>612685</v>
      </c>
      <c r="GL15" s="1">
        <v>617325</v>
      </c>
      <c r="GM15" s="1">
        <v>627300</v>
      </c>
      <c r="GN15" s="1">
        <v>635785</v>
      </c>
      <c r="GO15" s="1">
        <v>639415</v>
      </c>
      <c r="GP15" s="1">
        <v>638490</v>
      </c>
      <c r="GQ15" s="1">
        <v>653220</v>
      </c>
      <c r="GR15" s="1">
        <v>663140</v>
      </c>
      <c r="GS15" s="1">
        <v>675740</v>
      </c>
      <c r="GT15" s="1">
        <v>683165</v>
      </c>
      <c r="GU15" s="1">
        <v>692790</v>
      </c>
      <c r="GV15" s="1">
        <v>703185</v>
      </c>
      <c r="GW15" s="1">
        <v>711730</v>
      </c>
      <c r="GX15" s="1">
        <v>719315</v>
      </c>
      <c r="GY15" s="1">
        <v>729960</v>
      </c>
      <c r="GZ15" s="1">
        <v>741530</v>
      </c>
      <c r="HA15" s="1">
        <v>752350</v>
      </c>
      <c r="HB15" s="1">
        <v>762655</v>
      </c>
      <c r="HC15" s="1">
        <v>771555</v>
      </c>
      <c r="HD15" s="1">
        <v>780210</v>
      </c>
      <c r="HE15" s="1">
        <v>795030</v>
      </c>
      <c r="HF15" s="1">
        <v>811245</v>
      </c>
      <c r="HG15" s="1">
        <v>824880</v>
      </c>
      <c r="HH15" s="1">
        <v>830000</v>
      </c>
      <c r="HI15" s="1">
        <v>843650</v>
      </c>
      <c r="HJ15" s="1">
        <v>869230</v>
      </c>
      <c r="HK15" s="1">
        <v>568345</v>
      </c>
      <c r="HL15" s="1">
        <v>582560</v>
      </c>
      <c r="HM15" s="1">
        <v>590600</v>
      </c>
      <c r="HN15" s="1">
        <v>600405</v>
      </c>
      <c r="HO15" s="1">
        <v>605815</v>
      </c>
      <c r="HP15" s="1">
        <v>612780</v>
      </c>
      <c r="HQ15" s="1">
        <v>617160</v>
      </c>
      <c r="HR15" s="1">
        <v>627265</v>
      </c>
      <c r="HS15" s="1">
        <v>635800</v>
      </c>
      <c r="HT15" s="1">
        <v>639475</v>
      </c>
      <c r="HU15" s="1">
        <v>638430</v>
      </c>
      <c r="HV15" s="1">
        <v>653060</v>
      </c>
      <c r="HW15" s="1">
        <v>663060</v>
      </c>
      <c r="HX15" s="1">
        <v>675920</v>
      </c>
      <c r="HY15" s="1">
        <v>683270</v>
      </c>
      <c r="HZ15" s="1">
        <v>692585</v>
      </c>
      <c r="IA15" s="1">
        <v>703005</v>
      </c>
      <c r="IB15" s="1">
        <v>711940</v>
      </c>
      <c r="IC15" s="1">
        <v>719275</v>
      </c>
      <c r="ID15" s="1">
        <v>729940</v>
      </c>
      <c r="IE15" s="1">
        <v>741490</v>
      </c>
      <c r="IF15" s="1">
        <v>752550</v>
      </c>
      <c r="IG15" s="1">
        <v>762600</v>
      </c>
      <c r="IH15" s="1">
        <v>771365</v>
      </c>
      <c r="II15" s="1">
        <v>780405</v>
      </c>
      <c r="IJ15" s="1">
        <v>795130</v>
      </c>
      <c r="IK15" s="1">
        <v>811070</v>
      </c>
      <c r="IL15" s="1">
        <v>824985</v>
      </c>
      <c r="IM15" s="1">
        <v>830130</v>
      </c>
      <c r="IN15" s="1">
        <v>843810</v>
      </c>
      <c r="IO15" s="1">
        <v>869175</v>
      </c>
      <c r="IP15" s="1">
        <v>568410</v>
      </c>
      <c r="IQ15" s="1">
        <v>582695</v>
      </c>
      <c r="IR15" s="1">
        <v>590945</v>
      </c>
      <c r="IS15" s="1">
        <v>600390</v>
      </c>
      <c r="IT15" s="1">
        <v>605810</v>
      </c>
      <c r="IU15" s="1">
        <v>612860</v>
      </c>
      <c r="IV15" s="1">
        <v>617245</v>
      </c>
      <c r="IW15" s="1">
        <v>627330</v>
      </c>
      <c r="IX15" s="1">
        <v>635785</v>
      </c>
      <c r="IY15" s="1">
        <v>639395</v>
      </c>
      <c r="IZ15" s="1">
        <v>638605</v>
      </c>
      <c r="JA15" s="1">
        <v>653070</v>
      </c>
      <c r="JB15" s="1">
        <v>663075</v>
      </c>
      <c r="JC15" s="1">
        <v>675775</v>
      </c>
      <c r="JD15" s="1">
        <v>683155</v>
      </c>
      <c r="JE15" s="1">
        <v>692670</v>
      </c>
      <c r="JF15" s="1">
        <v>703060</v>
      </c>
      <c r="JG15" s="1">
        <v>711780</v>
      </c>
      <c r="JH15" s="1">
        <v>719190</v>
      </c>
      <c r="JI15" s="1">
        <v>730010</v>
      </c>
      <c r="JJ15" s="1">
        <v>741430</v>
      </c>
      <c r="JK15" s="1">
        <v>752380</v>
      </c>
      <c r="JL15" s="1">
        <v>762525</v>
      </c>
      <c r="JM15" s="1">
        <v>771435</v>
      </c>
      <c r="JN15" s="1">
        <v>780285</v>
      </c>
      <c r="JO15" s="1">
        <v>795135</v>
      </c>
      <c r="JP15" s="1">
        <v>811215</v>
      </c>
      <c r="JQ15" s="1">
        <v>824835</v>
      </c>
      <c r="JR15" s="1">
        <v>830135</v>
      </c>
      <c r="JS15" s="1">
        <v>843800</v>
      </c>
      <c r="JT15" s="1">
        <v>869105</v>
      </c>
      <c r="JU15" s="1">
        <v>568300</v>
      </c>
      <c r="JV15" s="1">
        <v>582530</v>
      </c>
      <c r="JW15" s="1">
        <v>590725</v>
      </c>
      <c r="JX15" s="1">
        <v>600415</v>
      </c>
      <c r="JY15" s="1">
        <v>605715</v>
      </c>
      <c r="JZ15" s="1">
        <v>612575</v>
      </c>
      <c r="KA15" s="1">
        <v>617235</v>
      </c>
      <c r="KB15" s="1">
        <v>627435</v>
      </c>
      <c r="KC15" s="1">
        <v>635655</v>
      </c>
      <c r="KD15" s="1">
        <v>639475</v>
      </c>
      <c r="KE15" s="1">
        <v>638485</v>
      </c>
      <c r="KF15" s="1">
        <v>653225</v>
      </c>
      <c r="KG15" s="1">
        <v>663165</v>
      </c>
      <c r="KH15" s="1">
        <v>675870</v>
      </c>
      <c r="KI15" s="1">
        <v>683270</v>
      </c>
      <c r="KJ15" s="1">
        <v>692705</v>
      </c>
      <c r="KK15" s="1">
        <v>703160</v>
      </c>
      <c r="KL15" s="1">
        <v>711925</v>
      </c>
      <c r="KM15" s="1">
        <v>719285</v>
      </c>
      <c r="KN15" s="1">
        <v>729950</v>
      </c>
      <c r="KO15" s="1">
        <v>741475</v>
      </c>
      <c r="KP15" s="1">
        <v>752465</v>
      </c>
      <c r="KQ15" s="1">
        <v>762660</v>
      </c>
      <c r="KR15" s="1">
        <v>771455</v>
      </c>
      <c r="KS15" s="1">
        <v>780365</v>
      </c>
      <c r="KT15" s="1">
        <v>795135</v>
      </c>
      <c r="KU15" s="1">
        <v>811205</v>
      </c>
      <c r="KV15" s="1">
        <v>824940</v>
      </c>
      <c r="KW15" s="1">
        <v>830215</v>
      </c>
      <c r="KX15" s="1">
        <v>843730</v>
      </c>
      <c r="KY15" s="1">
        <v>869225</v>
      </c>
      <c r="KZ15" s="1">
        <v>568260</v>
      </c>
      <c r="LA15" s="1">
        <v>582675</v>
      </c>
      <c r="LB15" s="1">
        <v>590855</v>
      </c>
      <c r="LC15" s="1">
        <v>600375</v>
      </c>
      <c r="LD15" s="1">
        <v>605845</v>
      </c>
      <c r="LE15" s="1">
        <v>612770</v>
      </c>
      <c r="LF15" s="1">
        <v>617340</v>
      </c>
      <c r="LG15" s="1">
        <v>627285</v>
      </c>
      <c r="LH15" s="1">
        <v>635755</v>
      </c>
      <c r="LI15" s="1">
        <v>639475</v>
      </c>
      <c r="LJ15" s="1">
        <v>638475</v>
      </c>
      <c r="LK15" s="1">
        <v>653240</v>
      </c>
      <c r="LL15" s="1">
        <v>663155</v>
      </c>
      <c r="LM15" s="1">
        <v>675875</v>
      </c>
      <c r="LN15" s="1">
        <v>683290</v>
      </c>
      <c r="LO15" s="1">
        <v>692690</v>
      </c>
      <c r="LP15" s="1">
        <v>703055</v>
      </c>
      <c r="LQ15" s="1">
        <v>711775</v>
      </c>
      <c r="LR15" s="1">
        <v>719365</v>
      </c>
      <c r="LS15" s="1">
        <v>730025</v>
      </c>
      <c r="LT15" s="1">
        <v>741515</v>
      </c>
      <c r="LU15" s="1">
        <v>752485</v>
      </c>
      <c r="LV15" s="1">
        <v>762660</v>
      </c>
      <c r="LW15" s="1">
        <v>771455</v>
      </c>
      <c r="LX15" s="1">
        <v>780290</v>
      </c>
      <c r="LY15" s="1">
        <v>795165</v>
      </c>
      <c r="LZ15" s="1">
        <v>811150</v>
      </c>
      <c r="MA15" s="1">
        <v>824960</v>
      </c>
      <c r="MB15" s="1">
        <v>830100</v>
      </c>
      <c r="MC15" s="1">
        <v>843730</v>
      </c>
      <c r="MD15" s="1">
        <v>869140</v>
      </c>
      <c r="ME15" s="1">
        <v>568430</v>
      </c>
      <c r="MF15" s="1">
        <v>582580</v>
      </c>
      <c r="MG15" s="1">
        <v>590710</v>
      </c>
      <c r="MH15" s="1">
        <v>600435</v>
      </c>
      <c r="MI15" s="1">
        <v>605720</v>
      </c>
      <c r="MJ15" s="1">
        <v>612710</v>
      </c>
      <c r="MK15" s="1">
        <v>617165</v>
      </c>
      <c r="ML15" s="1">
        <v>627395</v>
      </c>
      <c r="MM15" s="1">
        <v>635735</v>
      </c>
      <c r="MN15" s="1">
        <v>639380</v>
      </c>
      <c r="MO15" s="1">
        <v>638495</v>
      </c>
      <c r="MP15" s="1">
        <v>653095</v>
      </c>
      <c r="MQ15" s="1">
        <v>663050</v>
      </c>
      <c r="MR15" s="1">
        <v>675905</v>
      </c>
      <c r="MS15" s="1">
        <v>683145</v>
      </c>
      <c r="MT15" s="1">
        <v>692660</v>
      </c>
      <c r="MU15" s="1">
        <v>702995</v>
      </c>
      <c r="MV15" s="1">
        <v>711880</v>
      </c>
      <c r="MW15" s="1">
        <v>719230</v>
      </c>
      <c r="MX15" s="1">
        <v>730020</v>
      </c>
      <c r="MY15" s="1">
        <v>741455</v>
      </c>
      <c r="MZ15" s="1">
        <v>752395</v>
      </c>
      <c r="NA15" s="1">
        <v>762565</v>
      </c>
      <c r="NB15" s="1">
        <v>771460</v>
      </c>
      <c r="NC15" s="1">
        <v>780305</v>
      </c>
      <c r="ND15" s="1">
        <v>795215</v>
      </c>
      <c r="NE15" s="1">
        <v>811225</v>
      </c>
      <c r="NF15" s="1">
        <v>824945</v>
      </c>
      <c r="NG15" s="1">
        <v>830100</v>
      </c>
      <c r="NH15" s="1">
        <v>843800</v>
      </c>
      <c r="NI15" s="1">
        <v>869215</v>
      </c>
      <c r="NJ15" s="1">
        <v>568375</v>
      </c>
      <c r="NK15" s="1">
        <v>582575</v>
      </c>
      <c r="NL15" s="1">
        <v>590760</v>
      </c>
      <c r="NM15" s="1">
        <v>600405</v>
      </c>
      <c r="NN15" s="1">
        <v>605860</v>
      </c>
      <c r="NO15" s="1">
        <v>612745</v>
      </c>
      <c r="NP15" s="1">
        <v>617310</v>
      </c>
      <c r="NQ15" s="1">
        <v>627300</v>
      </c>
      <c r="NR15" s="1">
        <v>635785</v>
      </c>
      <c r="NS15" s="1">
        <v>639475</v>
      </c>
      <c r="NT15" s="1">
        <v>638480</v>
      </c>
      <c r="NU15" s="1">
        <v>653190</v>
      </c>
      <c r="NV15" s="1">
        <v>663120</v>
      </c>
      <c r="NW15" s="1">
        <v>675810</v>
      </c>
      <c r="NX15" s="1">
        <v>683250</v>
      </c>
      <c r="NY15" s="1">
        <v>692680</v>
      </c>
      <c r="NZ15" s="1">
        <v>703100</v>
      </c>
      <c r="OA15" s="1">
        <v>711855</v>
      </c>
      <c r="OB15" s="1">
        <v>719330</v>
      </c>
      <c r="OC15" s="1">
        <v>729970</v>
      </c>
      <c r="OD15" s="1">
        <v>741510</v>
      </c>
      <c r="OE15" s="1">
        <v>752485</v>
      </c>
      <c r="OF15" s="1">
        <v>762570</v>
      </c>
      <c r="OG15" s="1">
        <v>771405</v>
      </c>
      <c r="OH15" s="1">
        <v>780285</v>
      </c>
      <c r="OI15" s="1">
        <v>795100</v>
      </c>
      <c r="OJ15" s="1">
        <v>811175</v>
      </c>
      <c r="OK15" s="1">
        <v>824950</v>
      </c>
      <c r="OL15" s="1">
        <v>830150</v>
      </c>
      <c r="OM15" s="1">
        <v>843780</v>
      </c>
      <c r="ON15" s="1">
        <v>869110</v>
      </c>
      <c r="OO15" s="1">
        <v>568285</v>
      </c>
      <c r="OP15" s="1">
        <v>582760</v>
      </c>
      <c r="OQ15" s="1">
        <v>590875</v>
      </c>
      <c r="OR15" s="1">
        <v>600335</v>
      </c>
      <c r="OS15" s="1">
        <v>605810</v>
      </c>
      <c r="OT15" s="1">
        <v>612725</v>
      </c>
      <c r="OU15" s="1">
        <v>617290</v>
      </c>
      <c r="OV15" s="1">
        <v>627265</v>
      </c>
      <c r="OW15" s="1">
        <v>635695</v>
      </c>
      <c r="OX15" s="1">
        <v>639425</v>
      </c>
      <c r="OY15" s="1">
        <v>638525</v>
      </c>
      <c r="OZ15" s="1">
        <v>653115</v>
      </c>
      <c r="PA15" s="1">
        <v>663045</v>
      </c>
      <c r="PB15" s="1">
        <v>675920</v>
      </c>
      <c r="PC15" s="1">
        <v>683290</v>
      </c>
      <c r="PD15" s="1">
        <v>692630</v>
      </c>
      <c r="PE15" s="1">
        <v>703070</v>
      </c>
      <c r="PF15" s="1">
        <v>711860</v>
      </c>
      <c r="PG15" s="1">
        <v>719300</v>
      </c>
      <c r="PH15" s="1">
        <v>730035</v>
      </c>
      <c r="PI15" s="1">
        <v>741430</v>
      </c>
      <c r="PJ15" s="1">
        <v>752410</v>
      </c>
      <c r="PK15" s="1">
        <v>762610</v>
      </c>
      <c r="PL15" s="1">
        <v>771460</v>
      </c>
      <c r="PM15" s="1">
        <v>780365</v>
      </c>
      <c r="PN15" s="1">
        <v>795160</v>
      </c>
      <c r="PO15" s="1">
        <v>811135</v>
      </c>
      <c r="PP15" s="1">
        <v>824915</v>
      </c>
      <c r="PQ15" s="1">
        <v>830090</v>
      </c>
      <c r="PR15" s="1">
        <v>843815</v>
      </c>
      <c r="PS15" s="1">
        <v>869220</v>
      </c>
      <c r="PT15" s="1">
        <v>568420</v>
      </c>
      <c r="PU15" s="1">
        <v>582555</v>
      </c>
      <c r="PV15" s="1">
        <v>590760</v>
      </c>
      <c r="PW15" s="1">
        <v>600435</v>
      </c>
      <c r="PX15" s="1">
        <v>605735</v>
      </c>
      <c r="PY15" s="1">
        <v>612785</v>
      </c>
      <c r="PZ15" s="1">
        <v>617210</v>
      </c>
      <c r="QA15" s="1">
        <v>627415</v>
      </c>
      <c r="QB15" s="1">
        <v>635725</v>
      </c>
      <c r="QC15" s="1">
        <v>639410</v>
      </c>
      <c r="QD15" s="1">
        <v>638525</v>
      </c>
      <c r="QE15" s="1">
        <v>653185</v>
      </c>
      <c r="QF15" s="1">
        <v>663175</v>
      </c>
      <c r="QG15" s="1">
        <v>675855</v>
      </c>
      <c r="QH15" s="1">
        <v>683195</v>
      </c>
      <c r="QI15" s="1">
        <v>692710</v>
      </c>
      <c r="QJ15" s="1">
        <v>703110</v>
      </c>
      <c r="QK15" s="1">
        <v>711795</v>
      </c>
      <c r="QL15" s="1">
        <v>719260</v>
      </c>
      <c r="QM15" s="1">
        <v>729980</v>
      </c>
      <c r="QN15" s="1">
        <v>741475</v>
      </c>
      <c r="QO15" s="1">
        <v>752465</v>
      </c>
      <c r="QP15" s="1">
        <v>762665</v>
      </c>
      <c r="QQ15" s="1">
        <v>771440</v>
      </c>
      <c r="QR15" s="1">
        <v>780335</v>
      </c>
      <c r="QS15" s="1">
        <v>795110</v>
      </c>
      <c r="QT15" s="1">
        <v>811210</v>
      </c>
      <c r="QU15" s="1">
        <v>824910</v>
      </c>
      <c r="QV15" s="1">
        <v>830120</v>
      </c>
      <c r="QW15" s="1">
        <v>843755</v>
      </c>
      <c r="QX15" s="1">
        <v>869150</v>
      </c>
      <c r="QY15" s="1">
        <v>568370</v>
      </c>
      <c r="QZ15" s="1">
        <v>582610</v>
      </c>
      <c r="RA15" s="1">
        <v>590840</v>
      </c>
      <c r="RB15" s="1">
        <v>600395</v>
      </c>
      <c r="RC15" s="1">
        <v>605825</v>
      </c>
      <c r="RD15" s="1">
        <v>612730</v>
      </c>
      <c r="RE15" s="1">
        <v>617175</v>
      </c>
      <c r="RF15" s="1">
        <v>627330</v>
      </c>
      <c r="RG15" s="1">
        <v>635780</v>
      </c>
      <c r="RH15" s="1">
        <v>639385</v>
      </c>
      <c r="RI15" s="1">
        <v>638495</v>
      </c>
      <c r="RJ15" s="1">
        <v>653165</v>
      </c>
      <c r="RK15" s="1">
        <v>663100</v>
      </c>
      <c r="RL15" s="1">
        <v>675845</v>
      </c>
      <c r="RM15" s="1">
        <v>683235</v>
      </c>
      <c r="RN15" s="1">
        <v>692700</v>
      </c>
      <c r="RO15" s="1">
        <v>703035</v>
      </c>
      <c r="RP15" s="1">
        <v>711855</v>
      </c>
      <c r="RQ15" s="1">
        <v>719310</v>
      </c>
      <c r="RR15" s="1">
        <v>729945</v>
      </c>
      <c r="RS15" s="1">
        <v>741490</v>
      </c>
      <c r="RT15" s="1">
        <v>752385</v>
      </c>
      <c r="RU15" s="1">
        <v>762605</v>
      </c>
      <c r="RV15" s="1">
        <v>771420</v>
      </c>
      <c r="RW15" s="1">
        <v>780330</v>
      </c>
      <c r="RX15" s="1">
        <v>795130</v>
      </c>
      <c r="RY15" s="1">
        <v>811205</v>
      </c>
      <c r="RZ15" s="1">
        <v>824970</v>
      </c>
      <c r="SA15" s="1">
        <v>830115</v>
      </c>
      <c r="SB15" s="1">
        <v>843780</v>
      </c>
      <c r="SC15" s="1">
        <v>869150</v>
      </c>
      <c r="SD15" s="1">
        <v>568315</v>
      </c>
      <c r="SE15" s="1">
        <v>582610</v>
      </c>
      <c r="SF15" s="1">
        <v>590785</v>
      </c>
      <c r="SG15" s="1">
        <v>600435</v>
      </c>
      <c r="SH15" s="1">
        <v>605820</v>
      </c>
      <c r="SI15" s="1">
        <v>612675</v>
      </c>
      <c r="SJ15" s="1">
        <v>617300</v>
      </c>
      <c r="SK15" s="1">
        <v>627310</v>
      </c>
      <c r="SL15" s="1">
        <v>635780</v>
      </c>
      <c r="SM15" s="1">
        <v>639465</v>
      </c>
      <c r="SN15" s="1">
        <v>638535</v>
      </c>
      <c r="SO15" s="1">
        <v>653140</v>
      </c>
      <c r="SP15" s="1">
        <v>663095</v>
      </c>
      <c r="SQ15" s="1">
        <v>675815</v>
      </c>
      <c r="SR15" s="1">
        <v>683245</v>
      </c>
      <c r="SS15" s="1">
        <v>692650</v>
      </c>
      <c r="ST15" s="1">
        <v>703095</v>
      </c>
      <c r="SU15" s="1">
        <v>711850</v>
      </c>
      <c r="SV15" s="1">
        <v>719245</v>
      </c>
      <c r="SW15" s="1">
        <v>729985</v>
      </c>
      <c r="SX15" s="1">
        <v>741455</v>
      </c>
      <c r="SY15" s="1">
        <v>752475</v>
      </c>
      <c r="SZ15" s="1">
        <v>762585</v>
      </c>
      <c r="TA15" s="1">
        <v>771460</v>
      </c>
      <c r="TB15" s="1">
        <v>780315</v>
      </c>
      <c r="TC15" s="1">
        <v>795165</v>
      </c>
      <c r="TD15" s="1">
        <v>811160</v>
      </c>
      <c r="TE15" s="1">
        <v>824945</v>
      </c>
      <c r="TF15" s="1">
        <v>830100</v>
      </c>
      <c r="TG15" s="1">
        <v>843745</v>
      </c>
      <c r="TH15" s="1">
        <v>869200</v>
      </c>
      <c r="TI15" s="1">
        <v>568340</v>
      </c>
      <c r="TJ15" s="1">
        <v>582640</v>
      </c>
      <c r="TK15" s="1">
        <v>590755</v>
      </c>
      <c r="TL15" s="1">
        <v>600350</v>
      </c>
      <c r="TM15" s="1">
        <v>605810</v>
      </c>
      <c r="TN15" s="1">
        <v>612765</v>
      </c>
      <c r="TO15" s="1">
        <v>617265</v>
      </c>
      <c r="TP15" s="1">
        <v>627320</v>
      </c>
      <c r="TQ15" s="1">
        <v>635730</v>
      </c>
      <c r="TR15" s="1">
        <v>639425</v>
      </c>
      <c r="TS15" s="1">
        <v>638500</v>
      </c>
      <c r="TT15" s="1">
        <v>653185</v>
      </c>
      <c r="TU15" s="1">
        <v>663095</v>
      </c>
      <c r="TV15" s="1">
        <v>675900</v>
      </c>
      <c r="TW15" s="1">
        <v>683195</v>
      </c>
      <c r="TX15" s="1">
        <v>692700</v>
      </c>
      <c r="TY15" s="1">
        <v>703065</v>
      </c>
      <c r="TZ15" s="1">
        <v>711845</v>
      </c>
      <c r="UA15" s="1">
        <v>719295</v>
      </c>
      <c r="UB15" s="1">
        <v>730000</v>
      </c>
      <c r="UC15" s="1">
        <v>741515</v>
      </c>
      <c r="UD15" s="1">
        <v>752455</v>
      </c>
      <c r="UE15" s="1">
        <v>762625</v>
      </c>
      <c r="UF15" s="1">
        <v>771425</v>
      </c>
      <c r="UG15" s="1">
        <v>780320</v>
      </c>
      <c r="UH15" s="1">
        <v>795135</v>
      </c>
      <c r="UI15" s="1">
        <v>811185</v>
      </c>
      <c r="UJ15" s="1">
        <v>824915</v>
      </c>
      <c r="UK15" s="1">
        <v>830125</v>
      </c>
      <c r="UL15" s="1">
        <v>843775</v>
      </c>
      <c r="UM15" s="1">
        <v>869165</v>
      </c>
      <c r="UN15" s="1">
        <v>568375</v>
      </c>
      <c r="UO15" s="1">
        <v>582640</v>
      </c>
      <c r="UP15" s="1">
        <v>590795</v>
      </c>
      <c r="UQ15" s="1">
        <v>600490</v>
      </c>
      <c r="UR15" s="1">
        <v>605790</v>
      </c>
      <c r="US15" s="1">
        <v>612740</v>
      </c>
      <c r="UT15" s="1">
        <v>617250</v>
      </c>
      <c r="UU15" s="1">
        <v>627365</v>
      </c>
      <c r="UV15" s="1">
        <v>635745</v>
      </c>
      <c r="UW15" s="1">
        <v>639425</v>
      </c>
      <c r="UX15" s="1">
        <v>638475</v>
      </c>
      <c r="UY15" s="1">
        <v>653155</v>
      </c>
      <c r="UZ15" s="1">
        <v>663120</v>
      </c>
      <c r="VA15" s="1">
        <v>675850</v>
      </c>
      <c r="VB15" s="1">
        <v>683270</v>
      </c>
      <c r="VC15" s="1">
        <v>692690</v>
      </c>
      <c r="VD15" s="1">
        <v>703055</v>
      </c>
      <c r="VE15" s="1">
        <v>711830</v>
      </c>
      <c r="VF15" s="1">
        <v>719300</v>
      </c>
      <c r="VG15" s="1">
        <v>730015</v>
      </c>
      <c r="VH15" s="1">
        <v>741465</v>
      </c>
      <c r="VI15" s="1">
        <v>752420</v>
      </c>
      <c r="VJ15" s="1">
        <v>762600</v>
      </c>
      <c r="VK15" s="1">
        <v>771455</v>
      </c>
      <c r="VL15" s="1">
        <v>780325</v>
      </c>
      <c r="VM15" s="1">
        <v>795120</v>
      </c>
      <c r="VN15" s="1">
        <v>811185</v>
      </c>
      <c r="VO15" s="1">
        <v>824955</v>
      </c>
      <c r="VP15" s="1">
        <v>830135</v>
      </c>
      <c r="VQ15" s="1">
        <v>843760</v>
      </c>
      <c r="VR15" s="1">
        <v>869190</v>
      </c>
      <c r="VS15" s="1">
        <v>568350</v>
      </c>
      <c r="VT15" s="1">
        <v>582620</v>
      </c>
      <c r="VU15" s="1">
        <v>590790</v>
      </c>
      <c r="VV15" s="1">
        <v>600410</v>
      </c>
      <c r="VW15" s="1">
        <v>605780</v>
      </c>
      <c r="VX15" s="1">
        <v>612715</v>
      </c>
      <c r="VY15" s="1">
        <v>617250</v>
      </c>
      <c r="VZ15" s="1">
        <v>627340</v>
      </c>
      <c r="WA15" s="1">
        <v>635740</v>
      </c>
      <c r="WB15" s="1">
        <v>639425</v>
      </c>
      <c r="WC15" s="1">
        <v>638515</v>
      </c>
      <c r="WD15" s="1">
        <v>653155</v>
      </c>
      <c r="WE15" s="1">
        <v>663100</v>
      </c>
      <c r="WF15" s="1">
        <v>675855</v>
      </c>
      <c r="WG15" s="1">
        <v>683230</v>
      </c>
      <c r="WH15" s="1">
        <v>692670</v>
      </c>
      <c r="WI15" s="1">
        <v>703080</v>
      </c>
      <c r="WJ15" s="1">
        <v>711835</v>
      </c>
      <c r="WK15" s="1">
        <v>719290</v>
      </c>
      <c r="WL15" s="1">
        <v>729980</v>
      </c>
      <c r="WM15" s="1">
        <v>741485</v>
      </c>
      <c r="WN15" s="1">
        <v>752460</v>
      </c>
      <c r="WO15" s="1">
        <v>762600</v>
      </c>
      <c r="WP15" s="1">
        <v>771440</v>
      </c>
      <c r="WQ15" s="1">
        <v>780335</v>
      </c>
      <c r="WR15" s="1">
        <v>795150</v>
      </c>
      <c r="WS15" s="1">
        <v>811200</v>
      </c>
      <c r="WT15" s="1">
        <v>824930</v>
      </c>
      <c r="WU15" s="1">
        <v>830115</v>
      </c>
      <c r="WV15" s="1">
        <v>843770</v>
      </c>
      <c r="WW15" s="1">
        <v>869160</v>
      </c>
      <c r="WX15" s="1">
        <v>568350</v>
      </c>
      <c r="WY15" s="1">
        <v>582615</v>
      </c>
      <c r="WZ15" s="1">
        <v>590795</v>
      </c>
      <c r="XA15" s="1">
        <v>600405</v>
      </c>
      <c r="XB15" s="1">
        <v>605815</v>
      </c>
      <c r="XC15" s="1">
        <v>612730</v>
      </c>
      <c r="XD15" s="1">
        <v>617260</v>
      </c>
      <c r="XE15" s="1">
        <v>627335</v>
      </c>
      <c r="XF15" s="1">
        <v>635740</v>
      </c>
      <c r="XG15" s="1">
        <v>639440</v>
      </c>
      <c r="XH15" s="1">
        <v>638505</v>
      </c>
      <c r="XI15" s="1">
        <v>653170</v>
      </c>
      <c r="XJ15" s="1">
        <v>663125</v>
      </c>
      <c r="XK15" s="1">
        <v>675870</v>
      </c>
      <c r="XL15" s="1">
        <v>683225</v>
      </c>
      <c r="XM15" s="1">
        <v>692675</v>
      </c>
      <c r="XN15" s="1">
        <v>703075</v>
      </c>
      <c r="XO15" s="1">
        <v>711840</v>
      </c>
      <c r="XP15" s="1">
        <v>719280</v>
      </c>
      <c r="XQ15" s="1">
        <v>729990</v>
      </c>
      <c r="XR15" s="1">
        <v>741485</v>
      </c>
      <c r="XS15" s="1">
        <v>752435</v>
      </c>
      <c r="XT15" s="1">
        <v>762615</v>
      </c>
      <c r="XU15" s="1">
        <v>771435</v>
      </c>
      <c r="XV15" s="1">
        <v>780320</v>
      </c>
      <c r="XW15" s="1">
        <v>795140</v>
      </c>
      <c r="XX15" s="1">
        <v>811180</v>
      </c>
      <c r="XY15" s="1">
        <v>824930</v>
      </c>
      <c r="XZ15" s="1">
        <v>830115</v>
      </c>
      <c r="YA15" s="1">
        <v>843770</v>
      </c>
      <c r="YB15" s="1">
        <v>869175</v>
      </c>
    </row>
    <row r="16" spans="1:652" x14ac:dyDescent="0.2">
      <c r="B16" t="s">
        <v>36</v>
      </c>
    </row>
    <row r="17" spans="1:652" x14ac:dyDescent="0.2">
      <c r="A17" t="s">
        <v>37</v>
      </c>
      <c r="B17" s="1">
        <v>54681115100</v>
      </c>
      <c r="C17" s="1">
        <v>55049730600</v>
      </c>
      <c r="D17" s="1">
        <v>56469042800</v>
      </c>
      <c r="E17" s="1">
        <v>59911866700</v>
      </c>
      <c r="F17" s="1">
        <v>62908877100</v>
      </c>
      <c r="G17" s="1">
        <v>68189790900</v>
      </c>
      <c r="H17" s="1">
        <v>72286856300</v>
      </c>
      <c r="I17" s="1">
        <v>76161492800</v>
      </c>
      <c r="J17" s="1">
        <v>82699651200</v>
      </c>
      <c r="K17" s="1">
        <v>79187646400</v>
      </c>
      <c r="L17" s="1">
        <v>80357552600</v>
      </c>
      <c r="M17" s="1">
        <v>83780108200</v>
      </c>
      <c r="N17" s="1">
        <v>88169360900</v>
      </c>
      <c r="O17" s="1">
        <v>91468211000</v>
      </c>
      <c r="P17" s="1">
        <v>98641782100</v>
      </c>
      <c r="Q17" s="1">
        <v>100985082500</v>
      </c>
      <c r="R17" s="1">
        <v>104497730800</v>
      </c>
      <c r="S17" s="1">
        <v>96168364500</v>
      </c>
      <c r="T17" s="1">
        <v>101155264700</v>
      </c>
      <c r="U17" s="1">
        <v>107787387100</v>
      </c>
      <c r="V17" s="1">
        <v>112254868700</v>
      </c>
      <c r="W17" s="1">
        <v>117464250300</v>
      </c>
      <c r="X17" s="1">
        <v>123038021000</v>
      </c>
      <c r="Y17" s="1">
        <v>131902240800</v>
      </c>
      <c r="Z17" s="1">
        <v>126551648200</v>
      </c>
      <c r="AA17" s="1">
        <v>137191220400</v>
      </c>
      <c r="AB17" s="1">
        <v>145481188100</v>
      </c>
      <c r="AC17" s="1">
        <v>150530074400</v>
      </c>
      <c r="AD17" s="1">
        <v>156822597700</v>
      </c>
      <c r="AE17" s="1">
        <v>174954210400</v>
      </c>
      <c r="AF17" s="1">
        <v>183067557900</v>
      </c>
      <c r="AG17" s="1">
        <v>1838500</v>
      </c>
      <c r="AH17" s="1">
        <v>4205200</v>
      </c>
      <c r="AI17" s="1">
        <v>2678100</v>
      </c>
      <c r="AJ17" s="1">
        <v>2280900</v>
      </c>
      <c r="AK17" s="1">
        <v>2861900</v>
      </c>
      <c r="AL17" s="1">
        <v>3029500</v>
      </c>
      <c r="AM17" s="1">
        <v>2593300</v>
      </c>
      <c r="AN17" s="1">
        <v>3551800</v>
      </c>
      <c r="AO17" s="1">
        <v>3789700</v>
      </c>
      <c r="AP17" s="1">
        <v>6578100</v>
      </c>
      <c r="AQ17" s="1">
        <v>3631800</v>
      </c>
      <c r="AR17" s="1">
        <v>5428100</v>
      </c>
      <c r="AS17" s="1">
        <v>5545400</v>
      </c>
      <c r="AT17" s="1">
        <v>5510000</v>
      </c>
      <c r="AU17" s="1">
        <v>5535600</v>
      </c>
      <c r="AV17" s="1">
        <v>4929400</v>
      </c>
      <c r="AW17" s="1">
        <v>5436200</v>
      </c>
      <c r="AX17" s="1">
        <v>3820300</v>
      </c>
      <c r="AY17" s="1">
        <v>4059000</v>
      </c>
      <c r="AZ17" s="1">
        <v>4353800</v>
      </c>
      <c r="BA17" s="1">
        <v>4388000</v>
      </c>
      <c r="BB17" s="1">
        <v>4401700</v>
      </c>
      <c r="BC17" s="1">
        <v>3108600</v>
      </c>
      <c r="BD17" s="1">
        <v>4642200</v>
      </c>
      <c r="BE17" s="1">
        <v>3526900</v>
      </c>
      <c r="BF17" s="1">
        <v>3863200</v>
      </c>
      <c r="BG17" s="1">
        <v>3905900</v>
      </c>
      <c r="BH17" s="1">
        <v>5855800</v>
      </c>
      <c r="BI17" s="1">
        <v>5291500</v>
      </c>
      <c r="BJ17" s="1">
        <v>5838100</v>
      </c>
      <c r="BK17" s="1">
        <v>6340900</v>
      </c>
      <c r="BL17" s="1">
        <v>20423500</v>
      </c>
      <c r="BM17" s="1">
        <v>13167700</v>
      </c>
      <c r="BN17" s="1">
        <v>12308400</v>
      </c>
      <c r="BO17" s="1">
        <v>13164400</v>
      </c>
      <c r="BP17" s="1">
        <v>13333200</v>
      </c>
      <c r="BQ17" s="1">
        <v>15439200</v>
      </c>
      <c r="BR17" s="1">
        <v>17382100</v>
      </c>
      <c r="BS17" s="1">
        <v>17257000</v>
      </c>
      <c r="BT17" s="1">
        <v>19378900</v>
      </c>
      <c r="BU17" s="1">
        <v>32769000</v>
      </c>
      <c r="BV17" s="1">
        <v>26833900</v>
      </c>
      <c r="BW17" s="1">
        <v>26195900</v>
      </c>
      <c r="BX17" s="1">
        <v>26248400</v>
      </c>
      <c r="BY17" s="1">
        <v>21147500</v>
      </c>
      <c r="BZ17" s="1">
        <v>23868500</v>
      </c>
      <c r="CA17" s="1">
        <v>15051600</v>
      </c>
      <c r="CB17" s="1">
        <v>17881500</v>
      </c>
      <c r="CC17" s="1">
        <v>10550300</v>
      </c>
      <c r="CD17" s="1">
        <v>10644500</v>
      </c>
      <c r="CE17" s="1">
        <v>11430200</v>
      </c>
      <c r="CF17" s="1">
        <v>12322800</v>
      </c>
      <c r="CG17" s="1">
        <v>11425200</v>
      </c>
      <c r="CH17" s="1">
        <v>10848100</v>
      </c>
      <c r="CI17" s="1">
        <v>12412700</v>
      </c>
      <c r="CJ17" s="1">
        <v>13748100</v>
      </c>
      <c r="CK17" s="1">
        <v>14424800</v>
      </c>
      <c r="CL17" s="1">
        <v>18056800</v>
      </c>
      <c r="CM17" s="1">
        <v>16013500</v>
      </c>
      <c r="CN17" s="1">
        <v>73219600</v>
      </c>
      <c r="CO17" s="1">
        <v>42478100</v>
      </c>
      <c r="CP17" s="1">
        <v>17898600</v>
      </c>
      <c r="CQ17" s="1">
        <v>61895200</v>
      </c>
      <c r="CR17" s="1">
        <v>57052900</v>
      </c>
      <c r="CS17" s="1">
        <v>60498100</v>
      </c>
      <c r="CT17" s="1">
        <v>66080400</v>
      </c>
      <c r="CU17" s="1">
        <v>67440100</v>
      </c>
      <c r="CV17" s="1">
        <v>68794600</v>
      </c>
      <c r="CW17" s="1">
        <v>65743600</v>
      </c>
      <c r="CX17" s="1">
        <v>64278000</v>
      </c>
      <c r="CY17" s="1">
        <v>67633200</v>
      </c>
      <c r="CZ17" s="1">
        <v>68354100</v>
      </c>
      <c r="DA17" s="1">
        <v>62960400</v>
      </c>
      <c r="DB17" s="1">
        <v>68560100</v>
      </c>
      <c r="DC17" s="1">
        <v>71542000</v>
      </c>
      <c r="DD17" s="1">
        <v>63864600</v>
      </c>
      <c r="DE17" s="1">
        <v>68830700</v>
      </c>
      <c r="DF17" s="1">
        <v>56832800</v>
      </c>
      <c r="DG17" s="1">
        <v>59931100</v>
      </c>
      <c r="DH17" s="1">
        <v>46210000</v>
      </c>
      <c r="DI17" s="1">
        <v>42765800</v>
      </c>
      <c r="DJ17" s="1">
        <v>46865400</v>
      </c>
      <c r="DK17" s="1">
        <v>50973200</v>
      </c>
      <c r="DL17" s="1">
        <v>50481700</v>
      </c>
      <c r="DM17" s="1">
        <v>51481700</v>
      </c>
      <c r="DN17" s="1">
        <v>54335100</v>
      </c>
      <c r="DO17" s="1">
        <v>60164600</v>
      </c>
      <c r="DP17" s="1">
        <v>70415300</v>
      </c>
      <c r="DQ17" s="1">
        <v>74430400</v>
      </c>
      <c r="DR17" s="1">
        <v>69229600</v>
      </c>
      <c r="DS17" s="1">
        <v>122175900</v>
      </c>
      <c r="DT17" s="1">
        <v>93734600</v>
      </c>
      <c r="DU17" s="1">
        <v>52535600</v>
      </c>
      <c r="DV17" s="1">
        <v>107871000</v>
      </c>
      <c r="DW17" s="1">
        <v>85375700</v>
      </c>
      <c r="DX17" s="1">
        <v>87523200</v>
      </c>
      <c r="DY17" s="1">
        <v>92367000</v>
      </c>
      <c r="DZ17" s="1">
        <v>91282200</v>
      </c>
      <c r="EA17" s="1">
        <v>93660700</v>
      </c>
      <c r="EB17" s="1">
        <v>102329800</v>
      </c>
      <c r="EC17" s="1">
        <v>105656100</v>
      </c>
      <c r="ED17" s="1">
        <v>112657400</v>
      </c>
      <c r="EE17" s="1">
        <v>140128600</v>
      </c>
      <c r="EF17" s="1">
        <v>131188400</v>
      </c>
      <c r="EG17" s="1">
        <v>129440000</v>
      </c>
      <c r="EH17" s="1">
        <v>138479200</v>
      </c>
      <c r="EI17" s="1">
        <v>127914800</v>
      </c>
      <c r="EJ17" s="1">
        <v>133506000</v>
      </c>
      <c r="EK17" s="1">
        <v>122707100</v>
      </c>
      <c r="EL17" s="1">
        <v>129762400</v>
      </c>
      <c r="EM17" s="1">
        <v>110208300</v>
      </c>
      <c r="EN17" s="1">
        <v>105425300</v>
      </c>
      <c r="EO17" s="1">
        <v>110930000</v>
      </c>
      <c r="EP17" s="1">
        <v>113438000</v>
      </c>
      <c r="EQ17" s="1">
        <v>115095900</v>
      </c>
      <c r="ER17" s="1">
        <v>123607500</v>
      </c>
      <c r="ES17" s="1">
        <v>138056300</v>
      </c>
      <c r="ET17" s="1">
        <v>135468700</v>
      </c>
      <c r="EU17" s="1">
        <v>147111200</v>
      </c>
      <c r="EV17" s="1">
        <v>157767600</v>
      </c>
      <c r="EW17" s="1">
        <v>161302600</v>
      </c>
      <c r="EX17" s="1">
        <v>377503600</v>
      </c>
      <c r="EY17" s="1">
        <v>310347800</v>
      </c>
      <c r="EZ17" s="1">
        <v>139235400</v>
      </c>
      <c r="FA17" s="1">
        <v>233137100</v>
      </c>
      <c r="FB17" s="1">
        <v>202884000</v>
      </c>
      <c r="FC17" s="1">
        <v>208604100</v>
      </c>
      <c r="FD17" s="1">
        <v>203990200</v>
      </c>
      <c r="FE17" s="1">
        <v>199458200</v>
      </c>
      <c r="FF17" s="1">
        <v>219872000</v>
      </c>
      <c r="FG17" s="1">
        <v>249068300</v>
      </c>
      <c r="FH17" s="1">
        <v>260210400</v>
      </c>
      <c r="FI17" s="1">
        <v>278937100</v>
      </c>
      <c r="FJ17" s="1">
        <v>325744900</v>
      </c>
      <c r="FK17" s="1">
        <v>313578100</v>
      </c>
      <c r="FL17" s="1">
        <v>321576700</v>
      </c>
      <c r="FM17" s="1">
        <v>337239600</v>
      </c>
      <c r="FN17" s="1">
        <v>311078900</v>
      </c>
      <c r="FO17" s="1">
        <v>311708200</v>
      </c>
      <c r="FP17" s="1">
        <v>295077300</v>
      </c>
      <c r="FQ17" s="1">
        <v>318278200</v>
      </c>
      <c r="FR17" s="1">
        <v>257161600</v>
      </c>
      <c r="FS17" s="1">
        <v>263810700</v>
      </c>
      <c r="FT17" s="1">
        <v>282257900</v>
      </c>
      <c r="FU17" s="1">
        <v>292447700</v>
      </c>
      <c r="FV17" s="1">
        <v>299621800</v>
      </c>
      <c r="FW17" s="1">
        <v>334032300</v>
      </c>
      <c r="FX17" s="1">
        <v>356439300</v>
      </c>
      <c r="FY17" s="1">
        <v>368799400</v>
      </c>
      <c r="FZ17" s="1">
        <v>395264200</v>
      </c>
      <c r="GA17" s="1">
        <v>450694600</v>
      </c>
      <c r="GB17" s="1">
        <v>454266400</v>
      </c>
      <c r="GC17" s="1">
        <v>712383100</v>
      </c>
      <c r="GD17" s="1">
        <v>650034600</v>
      </c>
      <c r="GE17" s="1">
        <v>486295800</v>
      </c>
      <c r="GF17" s="1">
        <v>378184900</v>
      </c>
      <c r="GG17" s="1">
        <v>341553600</v>
      </c>
      <c r="GH17" s="1">
        <v>357302300</v>
      </c>
      <c r="GI17" s="1">
        <v>364242900</v>
      </c>
      <c r="GJ17" s="1">
        <v>372264600</v>
      </c>
      <c r="GK17" s="1">
        <v>399360700</v>
      </c>
      <c r="GL17" s="1">
        <v>427918600</v>
      </c>
      <c r="GM17" s="1">
        <v>442746900</v>
      </c>
      <c r="GN17" s="1">
        <v>470818100</v>
      </c>
      <c r="GO17" s="1">
        <v>497644800</v>
      </c>
      <c r="GP17" s="1">
        <v>485748600</v>
      </c>
      <c r="GQ17" s="1">
        <v>508674900</v>
      </c>
      <c r="GR17" s="1">
        <v>532608200</v>
      </c>
      <c r="GS17" s="1">
        <v>501552400</v>
      </c>
      <c r="GT17" s="1">
        <v>516870500</v>
      </c>
      <c r="GU17" s="1">
        <v>486810300</v>
      </c>
      <c r="GV17" s="1">
        <v>516390900</v>
      </c>
      <c r="GW17" s="1">
        <v>441323600</v>
      </c>
      <c r="GX17" s="1">
        <v>447712800</v>
      </c>
      <c r="GY17" s="1">
        <v>472376100</v>
      </c>
      <c r="GZ17" s="1">
        <v>493345400</v>
      </c>
      <c r="HA17" s="1">
        <v>505109200</v>
      </c>
      <c r="HB17" s="1">
        <v>541129100</v>
      </c>
      <c r="HC17" s="1">
        <v>591478100</v>
      </c>
      <c r="HD17" s="1">
        <v>598520200</v>
      </c>
      <c r="HE17" s="1">
        <v>645953700</v>
      </c>
      <c r="HF17" s="1">
        <v>726281100</v>
      </c>
      <c r="HG17" s="1">
        <v>751638100</v>
      </c>
      <c r="HH17" s="1">
        <v>993220400</v>
      </c>
      <c r="HI17" s="1">
        <v>969970200</v>
      </c>
      <c r="HJ17" s="1">
        <v>829136500</v>
      </c>
      <c r="HK17" s="1">
        <v>536931500</v>
      </c>
      <c r="HL17" s="1">
        <v>485944500</v>
      </c>
      <c r="HM17" s="1">
        <v>502967600</v>
      </c>
      <c r="HN17" s="1">
        <v>517641000</v>
      </c>
      <c r="HO17" s="1">
        <v>534232500</v>
      </c>
      <c r="HP17" s="1">
        <v>570586800</v>
      </c>
      <c r="HQ17" s="1">
        <v>591067800</v>
      </c>
      <c r="HR17" s="1">
        <v>622362200</v>
      </c>
      <c r="HS17" s="1">
        <v>660620800</v>
      </c>
      <c r="HT17" s="1">
        <v>717306800</v>
      </c>
      <c r="HU17" s="1">
        <v>704263100</v>
      </c>
      <c r="HV17" s="1">
        <v>725586700</v>
      </c>
      <c r="HW17" s="1">
        <v>763914700</v>
      </c>
      <c r="HX17" s="1">
        <v>721707200</v>
      </c>
      <c r="HY17" s="1">
        <v>742786800</v>
      </c>
      <c r="HZ17" s="1">
        <v>707957800</v>
      </c>
      <c r="IA17" s="1">
        <v>752388400</v>
      </c>
      <c r="IB17" s="1">
        <v>652271300</v>
      </c>
      <c r="IC17" s="1">
        <v>668150300</v>
      </c>
      <c r="ID17" s="1">
        <v>708527400</v>
      </c>
      <c r="IE17" s="1">
        <v>746779800</v>
      </c>
      <c r="IF17" s="1">
        <v>769258600</v>
      </c>
      <c r="IG17" s="1">
        <v>833619600</v>
      </c>
      <c r="IH17" s="1">
        <v>923091200</v>
      </c>
      <c r="II17" s="1">
        <v>919444500</v>
      </c>
      <c r="IJ17" s="1">
        <v>989856000</v>
      </c>
      <c r="IK17" s="1">
        <v>1099674500</v>
      </c>
      <c r="IL17" s="1">
        <v>1129450600</v>
      </c>
      <c r="IM17" s="1">
        <v>1377997400</v>
      </c>
      <c r="IN17" s="1">
        <v>1402266600</v>
      </c>
      <c r="IO17" s="1">
        <v>1269220300</v>
      </c>
      <c r="IP17" s="1">
        <v>771465300</v>
      </c>
      <c r="IQ17" s="1">
        <v>713381600</v>
      </c>
      <c r="IR17" s="1">
        <v>742805200</v>
      </c>
      <c r="IS17" s="1">
        <v>741072300</v>
      </c>
      <c r="IT17" s="1">
        <v>762925100</v>
      </c>
      <c r="IU17" s="1">
        <v>818852600</v>
      </c>
      <c r="IV17" s="1">
        <v>859108900</v>
      </c>
      <c r="IW17" s="1">
        <v>904309900</v>
      </c>
      <c r="IX17" s="1">
        <v>971171300</v>
      </c>
      <c r="IY17" s="1">
        <v>1041146100</v>
      </c>
      <c r="IZ17" s="1">
        <v>1037144200</v>
      </c>
      <c r="JA17" s="1">
        <v>1067252300</v>
      </c>
      <c r="JB17" s="1">
        <v>1120889300</v>
      </c>
      <c r="JC17" s="1">
        <v>1053939100</v>
      </c>
      <c r="JD17" s="1">
        <v>1088247100</v>
      </c>
      <c r="JE17" s="1">
        <v>1020186100</v>
      </c>
      <c r="JF17" s="1">
        <v>1089055900</v>
      </c>
      <c r="JG17" s="1">
        <v>939958500</v>
      </c>
      <c r="JH17" s="1">
        <v>978706400</v>
      </c>
      <c r="JI17" s="1">
        <v>1039666800</v>
      </c>
      <c r="JJ17" s="1">
        <v>1086980200</v>
      </c>
      <c r="JK17" s="1">
        <v>1131172400</v>
      </c>
      <c r="JL17" s="1">
        <v>1218793700</v>
      </c>
      <c r="JM17" s="1">
        <v>1296617300</v>
      </c>
      <c r="JN17" s="1">
        <v>1323652000</v>
      </c>
      <c r="JO17" s="1">
        <v>1406605800</v>
      </c>
      <c r="JP17" s="1">
        <v>1544968100</v>
      </c>
      <c r="JQ17" s="1">
        <v>1582741400</v>
      </c>
      <c r="JR17" s="1">
        <v>1814201100</v>
      </c>
      <c r="JS17" s="1">
        <v>1859623900</v>
      </c>
      <c r="JT17" s="1">
        <v>1811300200</v>
      </c>
      <c r="JU17" s="1">
        <v>1046133000</v>
      </c>
      <c r="JV17" s="1">
        <v>992280400</v>
      </c>
      <c r="JW17" s="1">
        <v>1043020000</v>
      </c>
      <c r="JX17" s="1">
        <v>1046701900</v>
      </c>
      <c r="JY17" s="1">
        <v>1076248300</v>
      </c>
      <c r="JZ17" s="1">
        <v>1146431700</v>
      </c>
      <c r="KA17" s="1">
        <v>1196579500</v>
      </c>
      <c r="KB17" s="1">
        <v>1247215600</v>
      </c>
      <c r="KC17" s="1">
        <v>1331561700</v>
      </c>
      <c r="KD17" s="1">
        <v>1383323800</v>
      </c>
      <c r="KE17" s="1">
        <v>1385309200</v>
      </c>
      <c r="KF17" s="1">
        <v>1429096300</v>
      </c>
      <c r="KG17" s="1">
        <v>1485001400</v>
      </c>
      <c r="KH17" s="1">
        <v>1413510000</v>
      </c>
      <c r="KI17" s="1">
        <v>1466690100</v>
      </c>
      <c r="KJ17" s="1">
        <v>1389283000</v>
      </c>
      <c r="KK17" s="1">
        <v>1462771600</v>
      </c>
      <c r="KL17" s="1">
        <v>1255555000</v>
      </c>
      <c r="KM17" s="1">
        <v>1311745700</v>
      </c>
      <c r="KN17" s="1">
        <v>1396918200</v>
      </c>
      <c r="KO17" s="1">
        <v>1463635000</v>
      </c>
      <c r="KP17" s="1">
        <v>1522900300</v>
      </c>
      <c r="KQ17" s="1">
        <v>1629977100</v>
      </c>
      <c r="KR17" s="1">
        <v>1762953500</v>
      </c>
      <c r="KS17" s="1">
        <v>1771743200</v>
      </c>
      <c r="KT17" s="1">
        <v>1882549000</v>
      </c>
      <c r="KU17" s="1">
        <v>2043113300</v>
      </c>
      <c r="KV17" s="1">
        <v>2097926900</v>
      </c>
      <c r="KW17" s="1">
        <v>2347059900</v>
      </c>
      <c r="KX17" s="1">
        <v>2449969300</v>
      </c>
      <c r="KY17" s="1">
        <v>2431130900</v>
      </c>
      <c r="KZ17" s="1">
        <v>1324590600</v>
      </c>
      <c r="LA17" s="1">
        <v>1281303400</v>
      </c>
      <c r="LB17" s="1">
        <v>1360048600</v>
      </c>
      <c r="LC17" s="1">
        <v>1363614700</v>
      </c>
      <c r="LD17" s="1">
        <v>1409527500</v>
      </c>
      <c r="LE17" s="1">
        <v>1487231800</v>
      </c>
      <c r="LF17" s="1">
        <v>1549784300</v>
      </c>
      <c r="LG17" s="1">
        <v>1624226200</v>
      </c>
      <c r="LH17" s="1">
        <v>1734772100</v>
      </c>
      <c r="LI17" s="1">
        <v>1771633800</v>
      </c>
      <c r="LJ17" s="1">
        <v>1782122300</v>
      </c>
      <c r="LK17" s="1">
        <v>1846508600</v>
      </c>
      <c r="LL17" s="1">
        <v>1908439700</v>
      </c>
      <c r="LM17" s="1">
        <v>1840762000</v>
      </c>
      <c r="LN17" s="1">
        <v>1928061300</v>
      </c>
      <c r="LO17" s="1">
        <v>1834469400</v>
      </c>
      <c r="LP17" s="1">
        <v>1937089800</v>
      </c>
      <c r="LQ17" s="1">
        <v>1666074400</v>
      </c>
      <c r="LR17" s="1">
        <v>1765034500</v>
      </c>
      <c r="LS17" s="1">
        <v>1888372800</v>
      </c>
      <c r="LT17" s="1">
        <v>1971503300</v>
      </c>
      <c r="LU17" s="1">
        <v>2055161700</v>
      </c>
      <c r="LV17" s="1">
        <v>2203690300</v>
      </c>
      <c r="LW17" s="1">
        <v>2363259900</v>
      </c>
      <c r="LX17" s="1">
        <v>2339552100</v>
      </c>
      <c r="LY17" s="1">
        <v>2485729500</v>
      </c>
      <c r="LZ17" s="1">
        <v>2682763300</v>
      </c>
      <c r="MA17" s="1">
        <v>2748529500</v>
      </c>
      <c r="MB17" s="1">
        <v>3011153800</v>
      </c>
      <c r="MC17" s="1">
        <v>3157133600</v>
      </c>
      <c r="MD17" s="1">
        <v>3209089800</v>
      </c>
      <c r="ME17" s="1">
        <v>1660661700</v>
      </c>
      <c r="MF17" s="1">
        <v>1616166000</v>
      </c>
      <c r="MG17" s="1">
        <v>1733109800</v>
      </c>
      <c r="MH17" s="1">
        <v>1732334900</v>
      </c>
      <c r="MI17" s="1">
        <v>1784752300</v>
      </c>
      <c r="MJ17" s="1">
        <v>1893677900</v>
      </c>
      <c r="MK17" s="1">
        <v>1977887300</v>
      </c>
      <c r="ML17" s="1">
        <v>2071023700</v>
      </c>
      <c r="MM17" s="1">
        <v>2196517900</v>
      </c>
      <c r="MN17" s="1">
        <v>2199111100</v>
      </c>
      <c r="MO17" s="1">
        <v>2227770500</v>
      </c>
      <c r="MP17" s="1">
        <v>2311434500</v>
      </c>
      <c r="MQ17" s="1">
        <v>2388574000</v>
      </c>
      <c r="MR17" s="1">
        <v>2331724400</v>
      </c>
      <c r="MS17" s="1">
        <v>2458475000</v>
      </c>
      <c r="MT17" s="1">
        <v>2367980900</v>
      </c>
      <c r="MU17" s="1">
        <v>2496602800</v>
      </c>
      <c r="MV17" s="1">
        <v>2182831900</v>
      </c>
      <c r="MW17" s="1">
        <v>2313887300</v>
      </c>
      <c r="MX17" s="1">
        <v>2482197900</v>
      </c>
      <c r="MY17" s="1">
        <v>2587357200</v>
      </c>
      <c r="MZ17" s="1">
        <v>2696317000</v>
      </c>
      <c r="NA17" s="1">
        <v>2870168300</v>
      </c>
      <c r="NB17" s="1">
        <v>3069320000</v>
      </c>
      <c r="NC17" s="1">
        <v>3021877300</v>
      </c>
      <c r="ND17" s="1">
        <v>3199283300</v>
      </c>
      <c r="NE17" s="1">
        <v>3443260600</v>
      </c>
      <c r="NF17" s="1">
        <v>3528983500</v>
      </c>
      <c r="NG17" s="1">
        <v>3770229400</v>
      </c>
      <c r="NH17" s="1">
        <v>4002092600</v>
      </c>
      <c r="NI17" s="1">
        <v>4118298300</v>
      </c>
      <c r="NJ17" s="1">
        <v>2046136900</v>
      </c>
      <c r="NK17" s="1">
        <v>2013500000</v>
      </c>
      <c r="NL17" s="1">
        <v>2148678400</v>
      </c>
      <c r="NM17" s="1">
        <v>2149544700</v>
      </c>
      <c r="NN17" s="1">
        <v>2216251800</v>
      </c>
      <c r="NO17" s="1">
        <v>2340549400</v>
      </c>
      <c r="NP17" s="1">
        <v>2441626600</v>
      </c>
      <c r="NQ17" s="1">
        <v>2559697200</v>
      </c>
      <c r="NR17" s="1">
        <v>2711185800</v>
      </c>
      <c r="NS17" s="1">
        <v>2672686700</v>
      </c>
      <c r="NT17" s="1">
        <v>2716177100</v>
      </c>
      <c r="NU17" s="1">
        <v>2831716400</v>
      </c>
      <c r="NV17" s="1">
        <v>2924549800</v>
      </c>
      <c r="NW17" s="1">
        <v>2878331600</v>
      </c>
      <c r="NX17" s="1">
        <v>3031704100</v>
      </c>
      <c r="NY17" s="1">
        <v>2943446800</v>
      </c>
      <c r="NZ17" s="1">
        <v>3094723400</v>
      </c>
      <c r="OA17" s="1">
        <v>2764409800</v>
      </c>
      <c r="OB17" s="1">
        <v>2937846200</v>
      </c>
      <c r="OC17" s="1">
        <v>3139357600</v>
      </c>
      <c r="OD17" s="1">
        <v>3283437800</v>
      </c>
      <c r="OE17" s="1">
        <v>3436122500</v>
      </c>
      <c r="OF17" s="1">
        <v>3632610200</v>
      </c>
      <c r="OG17" s="1">
        <v>3840744200</v>
      </c>
      <c r="OH17" s="1">
        <v>3795398200</v>
      </c>
      <c r="OI17" s="1">
        <v>4019974500</v>
      </c>
      <c r="OJ17" s="1">
        <v>4309330700</v>
      </c>
      <c r="OK17" s="1">
        <v>4428326600</v>
      </c>
      <c r="OL17" s="1">
        <v>4646311400</v>
      </c>
      <c r="OM17" s="1">
        <v>4961633300</v>
      </c>
      <c r="ON17" s="1">
        <v>5144867600</v>
      </c>
      <c r="OO17" s="1">
        <v>2465417600</v>
      </c>
      <c r="OP17" s="1">
        <v>2434786700</v>
      </c>
      <c r="OQ17" s="1">
        <v>2617332600</v>
      </c>
      <c r="OR17" s="1">
        <v>2598153200</v>
      </c>
      <c r="OS17" s="1">
        <v>2681901500</v>
      </c>
      <c r="OT17" s="1">
        <v>2840170300</v>
      </c>
      <c r="OU17" s="1">
        <v>2959442100</v>
      </c>
      <c r="OV17" s="1">
        <v>3082101300</v>
      </c>
      <c r="OW17" s="1">
        <v>3274301600</v>
      </c>
      <c r="OX17" s="1">
        <v>3191649000</v>
      </c>
      <c r="OY17" s="1">
        <v>3261943600</v>
      </c>
      <c r="OZ17" s="1">
        <v>3394209000</v>
      </c>
      <c r="PA17" s="1">
        <v>3523058700</v>
      </c>
      <c r="PB17" s="1">
        <v>3490825100</v>
      </c>
      <c r="PC17" s="1">
        <v>3684944000</v>
      </c>
      <c r="PD17" s="1">
        <v>3601069400</v>
      </c>
      <c r="PE17" s="1">
        <v>3794212300</v>
      </c>
      <c r="PF17" s="1">
        <v>3414868600</v>
      </c>
      <c r="PG17" s="1">
        <v>3652077700</v>
      </c>
      <c r="PH17" s="1">
        <v>3904523300</v>
      </c>
      <c r="PI17" s="1">
        <v>4081819600</v>
      </c>
      <c r="PJ17" s="1">
        <v>4265498100</v>
      </c>
      <c r="PK17" s="1">
        <v>4451116400</v>
      </c>
      <c r="PL17" s="1">
        <v>4701709900</v>
      </c>
      <c r="PM17" s="1">
        <v>4666652300</v>
      </c>
      <c r="PN17" s="1">
        <v>4926376400</v>
      </c>
      <c r="PO17" s="1">
        <v>5256063100</v>
      </c>
      <c r="PP17" s="1">
        <v>5417428700</v>
      </c>
      <c r="PQ17" s="1">
        <v>5599263900</v>
      </c>
      <c r="PR17" s="1">
        <v>5991423100</v>
      </c>
      <c r="PS17" s="1">
        <v>6278879300</v>
      </c>
      <c r="PT17" s="1">
        <v>2927127800</v>
      </c>
      <c r="PU17" s="1">
        <v>2912978100</v>
      </c>
      <c r="PV17" s="1">
        <v>3135392900</v>
      </c>
      <c r="PW17" s="1">
        <v>3123696700</v>
      </c>
      <c r="PX17" s="1">
        <v>3224344500</v>
      </c>
      <c r="PY17" s="1">
        <v>3409120500</v>
      </c>
      <c r="PZ17" s="1">
        <v>3546863600</v>
      </c>
      <c r="QA17" s="1">
        <v>3684507400</v>
      </c>
      <c r="QB17" s="1">
        <v>3907170800</v>
      </c>
      <c r="QC17" s="1">
        <v>3775104200</v>
      </c>
      <c r="QD17" s="1">
        <v>3863447100</v>
      </c>
      <c r="QE17" s="1">
        <v>4028184100</v>
      </c>
      <c r="QF17" s="1">
        <v>4190422400</v>
      </c>
      <c r="QG17" s="1">
        <v>4170228500</v>
      </c>
      <c r="QH17" s="1">
        <v>4424962100</v>
      </c>
      <c r="QI17" s="1">
        <v>4339327400</v>
      </c>
      <c r="QJ17" s="1">
        <v>4574172300</v>
      </c>
      <c r="QK17" s="1">
        <v>4178327900</v>
      </c>
      <c r="QL17" s="1">
        <v>4451444100</v>
      </c>
      <c r="QM17" s="1">
        <v>4759063200</v>
      </c>
      <c r="QN17" s="1">
        <v>4958220100</v>
      </c>
      <c r="QO17" s="1">
        <v>5197673800</v>
      </c>
      <c r="QP17" s="1">
        <v>5380376200</v>
      </c>
      <c r="QQ17" s="1">
        <v>5663575900</v>
      </c>
      <c r="QR17" s="1">
        <v>5629211800</v>
      </c>
      <c r="QS17" s="1">
        <v>5951845500</v>
      </c>
      <c r="QT17" s="1">
        <v>6336594100</v>
      </c>
      <c r="QU17" s="1">
        <v>6530682000</v>
      </c>
      <c r="QV17" s="1">
        <v>6732019300</v>
      </c>
      <c r="QW17" s="1">
        <v>7231004600</v>
      </c>
      <c r="QX17" s="1">
        <v>7627304000</v>
      </c>
      <c r="QY17" s="1">
        <v>3451925000</v>
      </c>
      <c r="QZ17" s="1">
        <v>3458735200</v>
      </c>
      <c r="RA17" s="1">
        <v>3718231300</v>
      </c>
      <c r="RB17" s="1">
        <v>3707748200</v>
      </c>
      <c r="RC17" s="1">
        <v>3823662500</v>
      </c>
      <c r="RD17" s="1">
        <v>4049331500</v>
      </c>
      <c r="RE17" s="1">
        <v>4201838700</v>
      </c>
      <c r="RF17" s="1">
        <v>4374385200</v>
      </c>
      <c r="RG17" s="1">
        <v>4630537900</v>
      </c>
      <c r="RH17" s="1">
        <v>4430697000</v>
      </c>
      <c r="RI17" s="1">
        <v>4561387100</v>
      </c>
      <c r="RJ17" s="1">
        <v>4767702000</v>
      </c>
      <c r="RK17" s="1">
        <v>4944996400</v>
      </c>
      <c r="RL17" s="1">
        <v>4959917400</v>
      </c>
      <c r="RM17" s="1">
        <v>5266653900</v>
      </c>
      <c r="RN17" s="1">
        <v>5227261100</v>
      </c>
      <c r="RO17" s="1">
        <v>5530495500</v>
      </c>
      <c r="RP17" s="1">
        <v>5072670700</v>
      </c>
      <c r="RQ17" s="1">
        <v>5417506100</v>
      </c>
      <c r="RR17" s="1">
        <v>5786030200</v>
      </c>
      <c r="RS17" s="1">
        <v>6041686800</v>
      </c>
      <c r="RT17" s="1">
        <v>6325316100</v>
      </c>
      <c r="RU17" s="1">
        <v>6527916100</v>
      </c>
      <c r="RV17" s="1">
        <v>6841941600</v>
      </c>
      <c r="RW17" s="1">
        <v>6822256500</v>
      </c>
      <c r="RX17" s="1">
        <v>7215434800</v>
      </c>
      <c r="RY17" s="1">
        <v>7646573800</v>
      </c>
      <c r="RZ17" s="1">
        <v>7884224700</v>
      </c>
      <c r="SA17" s="1">
        <v>8079010500</v>
      </c>
      <c r="SB17" s="1">
        <v>8723537300</v>
      </c>
      <c r="SC17" s="1">
        <v>9263546800</v>
      </c>
      <c r="SD17" s="1">
        <v>4036161600</v>
      </c>
      <c r="SE17" s="1">
        <v>4071973800</v>
      </c>
      <c r="SF17" s="1">
        <v>4346510800</v>
      </c>
      <c r="SG17" s="1">
        <v>4360797500</v>
      </c>
      <c r="SH17" s="1">
        <v>4497596600</v>
      </c>
      <c r="SI17" s="1">
        <v>4760005400</v>
      </c>
      <c r="SJ17" s="1">
        <v>4960073700</v>
      </c>
      <c r="SK17" s="1">
        <v>5160820500</v>
      </c>
      <c r="SL17" s="1">
        <v>5457890400</v>
      </c>
      <c r="SM17" s="1">
        <v>5209809200</v>
      </c>
      <c r="SN17" s="1">
        <v>5362700400</v>
      </c>
      <c r="SO17" s="1">
        <v>5613443700</v>
      </c>
      <c r="SP17" s="1">
        <v>5821324200</v>
      </c>
      <c r="SQ17" s="1">
        <v>5895628300</v>
      </c>
      <c r="SR17" s="1">
        <v>6262969600</v>
      </c>
      <c r="SS17" s="1">
        <v>6283948700</v>
      </c>
      <c r="ST17" s="1">
        <v>6660114200</v>
      </c>
      <c r="SU17" s="1">
        <v>6160180300</v>
      </c>
      <c r="SV17" s="1">
        <v>6567171500</v>
      </c>
      <c r="SW17" s="1">
        <v>7015823000</v>
      </c>
      <c r="SX17" s="1">
        <v>7348271400</v>
      </c>
      <c r="SY17" s="1">
        <v>7683080000</v>
      </c>
      <c r="SZ17" s="1">
        <v>7958154400</v>
      </c>
      <c r="TA17" s="1">
        <v>8317691300</v>
      </c>
      <c r="TB17" s="1">
        <v>8262121300</v>
      </c>
      <c r="TC17" s="1">
        <v>8747456000</v>
      </c>
      <c r="TD17" s="1">
        <v>9260707200</v>
      </c>
      <c r="TE17" s="1">
        <v>9568811600</v>
      </c>
      <c r="TF17" s="1">
        <v>9777282800</v>
      </c>
      <c r="TG17" s="1">
        <v>10587278200</v>
      </c>
      <c r="TH17" s="1">
        <v>11305275000</v>
      </c>
      <c r="TI17" s="1">
        <v>4732261800</v>
      </c>
      <c r="TJ17" s="1">
        <v>4793040100</v>
      </c>
      <c r="TK17" s="1">
        <v>5124940800</v>
      </c>
      <c r="TL17" s="1">
        <v>5156538800</v>
      </c>
      <c r="TM17" s="1">
        <v>5308631300</v>
      </c>
      <c r="TN17" s="1">
        <v>5621302500</v>
      </c>
      <c r="TO17" s="1">
        <v>5881965600</v>
      </c>
      <c r="TP17" s="1">
        <v>6144703500</v>
      </c>
      <c r="TQ17" s="1">
        <v>6517034300</v>
      </c>
      <c r="TR17" s="1">
        <v>6193404600</v>
      </c>
      <c r="TS17" s="1">
        <v>6386671800</v>
      </c>
      <c r="TT17" s="1">
        <v>6697958100</v>
      </c>
      <c r="TU17" s="1">
        <v>6947330400</v>
      </c>
      <c r="TV17" s="1">
        <v>7080695100</v>
      </c>
      <c r="TW17" s="1">
        <v>7546250900</v>
      </c>
      <c r="TX17" s="1">
        <v>7664569500</v>
      </c>
      <c r="TY17" s="1">
        <v>8108098300</v>
      </c>
      <c r="TZ17" s="1">
        <v>7564668600</v>
      </c>
      <c r="UA17" s="1">
        <v>8070641000</v>
      </c>
      <c r="UB17" s="1">
        <v>8616545600</v>
      </c>
      <c r="UC17" s="1">
        <v>9039407600</v>
      </c>
      <c r="UD17" s="1">
        <v>9466825400</v>
      </c>
      <c r="UE17" s="1">
        <v>9844757300</v>
      </c>
      <c r="UF17" s="1">
        <v>10257721800</v>
      </c>
      <c r="UG17" s="1">
        <v>10119784900</v>
      </c>
      <c r="UH17" s="1">
        <v>10743429900</v>
      </c>
      <c r="UI17" s="1">
        <v>11342795800</v>
      </c>
      <c r="UJ17" s="1">
        <v>11737444700</v>
      </c>
      <c r="UK17" s="1">
        <v>11972799200</v>
      </c>
      <c r="UL17" s="1">
        <v>13030250800</v>
      </c>
      <c r="UM17" s="1">
        <v>13985100700</v>
      </c>
      <c r="UN17" s="1">
        <v>5680361300</v>
      </c>
      <c r="UO17" s="1">
        <v>5774484300</v>
      </c>
      <c r="UP17" s="1">
        <v>6169330600</v>
      </c>
      <c r="UQ17" s="1">
        <v>6220985700</v>
      </c>
      <c r="UR17" s="1">
        <v>6425408700</v>
      </c>
      <c r="US17" s="1">
        <v>6832240200</v>
      </c>
      <c r="UT17" s="1">
        <v>7184701900</v>
      </c>
      <c r="UU17" s="1">
        <v>7524438600</v>
      </c>
      <c r="UV17" s="1">
        <v>7980149200</v>
      </c>
      <c r="UW17" s="1">
        <v>7559495800</v>
      </c>
      <c r="UX17" s="1">
        <v>7813145500</v>
      </c>
      <c r="UY17" s="1">
        <v>8187517800</v>
      </c>
      <c r="UZ17" s="1">
        <v>8515109800</v>
      </c>
      <c r="VA17" s="1">
        <v>8740046500</v>
      </c>
      <c r="VB17" s="1">
        <v>9341599100</v>
      </c>
      <c r="VC17" s="1">
        <v>9586481600</v>
      </c>
      <c r="VD17" s="1">
        <v>10163180000</v>
      </c>
      <c r="VE17" s="1">
        <v>9552738700</v>
      </c>
      <c r="VF17" s="1">
        <v>10170981300</v>
      </c>
      <c r="VG17" s="1">
        <v>10854627000</v>
      </c>
      <c r="VH17" s="1">
        <v>11405351000</v>
      </c>
      <c r="VI17" s="1">
        <v>11964642800</v>
      </c>
      <c r="VJ17" s="1">
        <v>12497405200</v>
      </c>
      <c r="VK17" s="1">
        <v>13004865000</v>
      </c>
      <c r="VL17" s="1">
        <v>12748914400</v>
      </c>
      <c r="VM17" s="1">
        <v>13541359900</v>
      </c>
      <c r="VN17" s="1">
        <v>14309323700</v>
      </c>
      <c r="VO17" s="1">
        <v>14802818800</v>
      </c>
      <c r="VP17" s="1">
        <v>15084262400</v>
      </c>
      <c r="VQ17" s="1">
        <v>16484976700</v>
      </c>
      <c r="VR17" s="1">
        <v>17801618300</v>
      </c>
      <c r="VS17" s="1">
        <v>7223067300</v>
      </c>
      <c r="VT17" s="1">
        <v>7354456800</v>
      </c>
      <c r="VU17" s="1">
        <v>7659837200</v>
      </c>
      <c r="VV17" s="1">
        <v>7964394700</v>
      </c>
      <c r="VW17" s="1">
        <v>8260187900</v>
      </c>
      <c r="VX17" s="1">
        <v>8858956700</v>
      </c>
      <c r="VY17" s="1">
        <v>9352685600</v>
      </c>
      <c r="VZ17" s="1">
        <v>9842705000</v>
      </c>
      <c r="WA17" s="1">
        <v>10479424500</v>
      </c>
      <c r="WB17" s="1">
        <v>9882356500</v>
      </c>
      <c r="WC17" s="1">
        <v>10212591500</v>
      </c>
      <c r="WD17" s="1">
        <v>10697757800</v>
      </c>
      <c r="WE17" s="1">
        <v>11137144000</v>
      </c>
      <c r="WF17" s="1">
        <v>11584324600</v>
      </c>
      <c r="WG17" s="1">
        <v>12409467000</v>
      </c>
      <c r="WH17" s="1">
        <v>12921285700</v>
      </c>
      <c r="WI17" s="1">
        <v>13665808200</v>
      </c>
      <c r="WJ17" s="1">
        <v>12987343500</v>
      </c>
      <c r="WK17" s="1">
        <v>13774006300</v>
      </c>
      <c r="WL17" s="1">
        <v>14709532800</v>
      </c>
      <c r="WM17" s="1">
        <v>15486450700</v>
      </c>
      <c r="WN17" s="1">
        <v>16254492200</v>
      </c>
      <c r="WO17" s="1">
        <v>16954599100</v>
      </c>
      <c r="WP17" s="1">
        <v>17646078300</v>
      </c>
      <c r="WQ17" s="1">
        <v>17264275300</v>
      </c>
      <c r="WR17" s="1">
        <v>18388870800</v>
      </c>
      <c r="WS17" s="1">
        <v>19411096600</v>
      </c>
      <c r="WT17" s="1">
        <v>20100239900</v>
      </c>
      <c r="WU17" s="1">
        <v>20552656000</v>
      </c>
      <c r="WV17" s="1">
        <v>22667477100</v>
      </c>
      <c r="WW17" s="1">
        <v>24517269800</v>
      </c>
      <c r="WX17" s="1">
        <v>15975523600</v>
      </c>
      <c r="WY17" s="1">
        <v>16442460600</v>
      </c>
      <c r="WZ17" s="1">
        <v>15437922800</v>
      </c>
      <c r="XA17" s="1">
        <v>18486516500</v>
      </c>
      <c r="XB17" s="1">
        <v>20156566600</v>
      </c>
      <c r="XC17" s="1">
        <v>22761177000</v>
      </c>
      <c r="XD17" s="1">
        <v>24718195100</v>
      </c>
      <c r="XE17" s="1">
        <v>26425296200</v>
      </c>
      <c r="XF17" s="1">
        <v>29894098500</v>
      </c>
      <c r="XG17" s="1">
        <v>28088702400</v>
      </c>
      <c r="XH17" s="1">
        <v>28018937900</v>
      </c>
      <c r="XI17" s="1">
        <v>29121865100</v>
      </c>
      <c r="XJ17" s="1">
        <v>31386943100</v>
      </c>
      <c r="XK17" s="1">
        <v>34275503000</v>
      </c>
      <c r="XL17" s="1">
        <v>37928651500</v>
      </c>
      <c r="XM17" s="1">
        <v>40116407000</v>
      </c>
      <c r="XN17" s="1">
        <v>40121338000</v>
      </c>
      <c r="XO17" s="1">
        <v>36907191100</v>
      </c>
      <c r="XP17" s="1">
        <v>38201647900</v>
      </c>
      <c r="XQ17" s="1">
        <v>40557987900</v>
      </c>
      <c r="XR17" s="1">
        <v>41787053000</v>
      </c>
      <c r="XS17" s="1">
        <v>43709653900</v>
      </c>
      <c r="XT17" s="1">
        <v>45970629800</v>
      </c>
      <c r="XU17" s="1">
        <v>51055307100</v>
      </c>
      <c r="XV17" s="1">
        <v>46686536400</v>
      </c>
      <c r="XW17" s="1">
        <v>52415416600</v>
      </c>
      <c r="XX17" s="1">
        <v>55363786600</v>
      </c>
      <c r="XY17" s="1">
        <v>57514159500</v>
      </c>
      <c r="XZ17" s="1">
        <v>59774556600</v>
      </c>
      <c r="YA17" s="1">
        <v>70333139800</v>
      </c>
      <c r="YB17" s="1">
        <v>72773214000</v>
      </c>
    </row>
    <row r="18" spans="1:652" x14ac:dyDescent="0.2">
      <c r="A18" t="s">
        <v>38</v>
      </c>
      <c r="B18" s="1">
        <v>483085561700</v>
      </c>
      <c r="C18" s="1">
        <v>501775046700</v>
      </c>
      <c r="D18" s="1">
        <v>551960364500</v>
      </c>
      <c r="E18" s="1">
        <v>523575566300</v>
      </c>
      <c r="F18" s="1">
        <v>540443620400</v>
      </c>
      <c r="G18" s="1">
        <v>568211222200</v>
      </c>
      <c r="H18" s="1">
        <v>594845541500</v>
      </c>
      <c r="I18" s="1">
        <v>630410150800</v>
      </c>
      <c r="J18" s="1">
        <v>686454130600</v>
      </c>
      <c r="K18" s="1">
        <v>716193730800</v>
      </c>
      <c r="L18" s="1">
        <v>730557488900</v>
      </c>
      <c r="M18" s="1">
        <v>761214831300</v>
      </c>
      <c r="N18" s="1">
        <v>809659243000</v>
      </c>
      <c r="O18" s="1">
        <v>864297809100</v>
      </c>
      <c r="P18" s="1">
        <v>927218996100</v>
      </c>
      <c r="Q18" s="1">
        <v>988808978700</v>
      </c>
      <c r="R18" s="1">
        <v>1010723760800</v>
      </c>
      <c r="S18" s="1">
        <v>1006534137700</v>
      </c>
      <c r="T18" s="1">
        <v>1041509944600</v>
      </c>
      <c r="U18" s="1">
        <v>1092894156600</v>
      </c>
      <c r="V18" s="1">
        <v>1136299261100</v>
      </c>
      <c r="W18" s="1">
        <v>1185555953100</v>
      </c>
      <c r="X18" s="1">
        <v>1242553949700</v>
      </c>
      <c r="Y18" s="1">
        <v>1297640311500</v>
      </c>
      <c r="Z18" s="1">
        <v>1294133917400</v>
      </c>
      <c r="AA18" s="1">
        <v>1379059719000</v>
      </c>
      <c r="AB18" s="1">
        <v>1442769777300</v>
      </c>
      <c r="AC18" s="1">
        <v>1497273709100</v>
      </c>
      <c r="AD18" s="1">
        <v>1602916090000</v>
      </c>
      <c r="AE18" s="1">
        <v>1730477039300</v>
      </c>
      <c r="AF18" s="1">
        <v>1797548769600</v>
      </c>
      <c r="AG18" s="1">
        <v>1760233500</v>
      </c>
      <c r="AH18" s="1">
        <v>1366540000</v>
      </c>
      <c r="AI18" s="1">
        <v>1384672700</v>
      </c>
      <c r="AJ18" s="1">
        <v>1505533600</v>
      </c>
      <c r="AK18" s="1">
        <v>1431882500</v>
      </c>
      <c r="AL18" s="1">
        <v>1529645500</v>
      </c>
      <c r="AM18" s="1">
        <v>1640044900</v>
      </c>
      <c r="AN18" s="1">
        <v>1638297000</v>
      </c>
      <c r="AO18" s="1">
        <v>1735399100</v>
      </c>
      <c r="AP18" s="1">
        <v>2206795000</v>
      </c>
      <c r="AQ18" s="1">
        <v>2172156200</v>
      </c>
      <c r="AR18" s="1">
        <v>2118665400</v>
      </c>
      <c r="AS18" s="1">
        <v>2191784900</v>
      </c>
      <c r="AT18" s="1">
        <v>2193826100</v>
      </c>
      <c r="AU18" s="1">
        <v>2486359400</v>
      </c>
      <c r="AV18" s="1">
        <v>2690755000</v>
      </c>
      <c r="AW18" s="1">
        <v>2776183800</v>
      </c>
      <c r="AX18" s="1">
        <v>2682658700</v>
      </c>
      <c r="AY18" s="1">
        <v>2836889100</v>
      </c>
      <c r="AZ18" s="1">
        <v>2988314900</v>
      </c>
      <c r="BA18" s="1">
        <v>3093637700</v>
      </c>
      <c r="BB18" s="1">
        <v>3139992200</v>
      </c>
      <c r="BC18" s="1">
        <v>3298497200</v>
      </c>
      <c r="BD18" s="1">
        <v>3434068800</v>
      </c>
      <c r="BE18" s="1">
        <v>3541245700</v>
      </c>
      <c r="BF18" s="1">
        <v>3568890100</v>
      </c>
      <c r="BG18" s="1">
        <v>3813443700</v>
      </c>
      <c r="BH18" s="1">
        <v>3878532200</v>
      </c>
      <c r="BI18" s="1">
        <v>6480151500</v>
      </c>
      <c r="BJ18" s="1">
        <v>4849972800</v>
      </c>
      <c r="BK18" s="1">
        <v>3931415700</v>
      </c>
      <c r="BL18" s="1">
        <v>4342535400</v>
      </c>
      <c r="BM18" s="1">
        <v>4232079700</v>
      </c>
      <c r="BN18" s="1">
        <v>4266535900</v>
      </c>
      <c r="BO18" s="1">
        <v>4336294900</v>
      </c>
      <c r="BP18" s="1">
        <v>4280488900</v>
      </c>
      <c r="BQ18" s="1">
        <v>4421308800</v>
      </c>
      <c r="BR18" s="1">
        <v>4727966800</v>
      </c>
      <c r="BS18" s="1">
        <v>4956142500</v>
      </c>
      <c r="BT18" s="1">
        <v>5174760200</v>
      </c>
      <c r="BU18" s="1">
        <v>5820192200</v>
      </c>
      <c r="BV18" s="1">
        <v>5881982700</v>
      </c>
      <c r="BW18" s="1">
        <v>5976532800</v>
      </c>
      <c r="BX18" s="1">
        <v>6225397100</v>
      </c>
      <c r="BY18" s="1">
        <v>6485910300</v>
      </c>
      <c r="BZ18" s="1">
        <v>6929422200</v>
      </c>
      <c r="CA18" s="1">
        <v>7450038000</v>
      </c>
      <c r="CB18" s="1">
        <v>7711940600</v>
      </c>
      <c r="CC18" s="1">
        <v>7800932900</v>
      </c>
      <c r="CD18" s="1">
        <v>8049861900</v>
      </c>
      <c r="CE18" s="1">
        <v>8448534000</v>
      </c>
      <c r="CF18" s="1">
        <v>8843905600</v>
      </c>
      <c r="CG18" s="1">
        <v>9090825400</v>
      </c>
      <c r="CH18" s="1">
        <v>9434985200</v>
      </c>
      <c r="CI18" s="1">
        <v>9787753700</v>
      </c>
      <c r="CJ18" s="1">
        <v>10119282600</v>
      </c>
      <c r="CK18" s="1">
        <v>10478298200</v>
      </c>
      <c r="CL18" s="1">
        <v>11226473800</v>
      </c>
      <c r="CM18" s="1">
        <v>11573717500</v>
      </c>
      <c r="CN18" s="1">
        <v>15757096500</v>
      </c>
      <c r="CO18" s="1">
        <v>14587051400</v>
      </c>
      <c r="CP18" s="1">
        <v>13246421200</v>
      </c>
      <c r="CQ18" s="1">
        <v>5931454500</v>
      </c>
      <c r="CR18" s="1">
        <v>5943516000</v>
      </c>
      <c r="CS18" s="1">
        <v>6065151100</v>
      </c>
      <c r="CT18" s="1">
        <v>6201625500</v>
      </c>
      <c r="CU18" s="1">
        <v>6247297600</v>
      </c>
      <c r="CV18" s="1">
        <v>6423350700</v>
      </c>
      <c r="CW18" s="1">
        <v>6808853700</v>
      </c>
      <c r="CX18" s="1">
        <v>7121235100</v>
      </c>
      <c r="CY18" s="1">
        <v>7450648800</v>
      </c>
      <c r="CZ18" s="1">
        <v>8088476100</v>
      </c>
      <c r="DA18" s="1">
        <v>8198708000</v>
      </c>
      <c r="DB18" s="1">
        <v>8451684000</v>
      </c>
      <c r="DC18" s="1">
        <v>8815361100</v>
      </c>
      <c r="DD18" s="1">
        <v>9192545500</v>
      </c>
      <c r="DE18" s="1">
        <v>9822254600</v>
      </c>
      <c r="DF18" s="1">
        <v>10444102600</v>
      </c>
      <c r="DG18" s="1">
        <v>10840411600</v>
      </c>
      <c r="DH18" s="1">
        <v>11037324700</v>
      </c>
      <c r="DI18" s="1">
        <v>11262427700</v>
      </c>
      <c r="DJ18" s="1">
        <v>11874793200</v>
      </c>
      <c r="DK18" s="1">
        <v>12560183300</v>
      </c>
      <c r="DL18" s="1">
        <v>12926286500</v>
      </c>
      <c r="DM18" s="1">
        <v>13395531800</v>
      </c>
      <c r="DN18" s="1">
        <v>13910690300</v>
      </c>
      <c r="DO18" s="1">
        <v>14445003600</v>
      </c>
      <c r="DP18" s="1">
        <v>15093856300</v>
      </c>
      <c r="DQ18" s="1">
        <v>15916006200</v>
      </c>
      <c r="DR18" s="1">
        <v>16487276200</v>
      </c>
      <c r="DS18" s="1">
        <v>19498066800</v>
      </c>
      <c r="DT18" s="1">
        <v>18960367000</v>
      </c>
      <c r="DU18" s="1">
        <v>19298074200</v>
      </c>
      <c r="DV18" s="1">
        <v>7001068900</v>
      </c>
      <c r="DW18" s="1">
        <v>7063582400</v>
      </c>
      <c r="DX18" s="1">
        <v>7257299200</v>
      </c>
      <c r="DY18" s="1">
        <v>7463245500</v>
      </c>
      <c r="DZ18" s="1">
        <v>7569315100</v>
      </c>
      <c r="EA18" s="1">
        <v>7761865700</v>
      </c>
      <c r="EB18" s="1">
        <v>8155313900</v>
      </c>
      <c r="EC18" s="1">
        <v>8551073300</v>
      </c>
      <c r="ED18" s="1">
        <v>8977254400</v>
      </c>
      <c r="EE18" s="1">
        <v>9718766400</v>
      </c>
      <c r="EF18" s="1">
        <v>9870842000</v>
      </c>
      <c r="EG18" s="1">
        <v>10214285200</v>
      </c>
      <c r="EH18" s="1">
        <v>10694735100</v>
      </c>
      <c r="EI18" s="1">
        <v>11168902000</v>
      </c>
      <c r="EJ18" s="1">
        <v>11922253200</v>
      </c>
      <c r="EK18" s="1">
        <v>12707517200</v>
      </c>
      <c r="EL18" s="1">
        <v>13186295700</v>
      </c>
      <c r="EM18" s="1">
        <v>13392362000</v>
      </c>
      <c r="EN18" s="1">
        <v>13613201400</v>
      </c>
      <c r="EO18" s="1">
        <v>14280901300</v>
      </c>
      <c r="EP18" s="1">
        <v>14988138300</v>
      </c>
      <c r="EQ18" s="1">
        <v>15446791100</v>
      </c>
      <c r="ER18" s="1">
        <v>16006555100</v>
      </c>
      <c r="ES18" s="1">
        <v>16682181700</v>
      </c>
      <c r="ET18" s="1">
        <v>17133947700</v>
      </c>
      <c r="EU18" s="1">
        <v>17865456000</v>
      </c>
      <c r="EV18" s="1">
        <v>18753680300</v>
      </c>
      <c r="EW18" s="1">
        <v>19440562300</v>
      </c>
      <c r="EX18" s="1">
        <v>23011101400</v>
      </c>
      <c r="EY18" s="1">
        <v>22656498700</v>
      </c>
      <c r="EZ18" s="1">
        <v>22867535000</v>
      </c>
      <c r="FA18" s="1">
        <v>8315919100</v>
      </c>
      <c r="FB18" s="1">
        <v>8348247200</v>
      </c>
      <c r="FC18" s="1">
        <v>8568648400</v>
      </c>
      <c r="FD18" s="1">
        <v>8777812600</v>
      </c>
      <c r="FE18" s="1">
        <v>8868632600</v>
      </c>
      <c r="FF18" s="1">
        <v>9099037900</v>
      </c>
      <c r="FG18" s="1">
        <v>9613212300</v>
      </c>
      <c r="FH18" s="1">
        <v>10134674500</v>
      </c>
      <c r="FI18" s="1">
        <v>10685435100</v>
      </c>
      <c r="FJ18" s="1">
        <v>11653954500</v>
      </c>
      <c r="FK18" s="1">
        <v>11866778200</v>
      </c>
      <c r="FL18" s="1">
        <v>12236519700</v>
      </c>
      <c r="FM18" s="1">
        <v>12837457300</v>
      </c>
      <c r="FN18" s="1">
        <v>13433923400</v>
      </c>
      <c r="FO18" s="1">
        <v>14316414800</v>
      </c>
      <c r="FP18" s="1">
        <v>15342301100</v>
      </c>
      <c r="FQ18" s="1">
        <v>15945027100</v>
      </c>
      <c r="FR18" s="1">
        <v>16147953700</v>
      </c>
      <c r="FS18" s="1">
        <v>16415256400</v>
      </c>
      <c r="FT18" s="1">
        <v>17204219200</v>
      </c>
      <c r="FU18" s="1">
        <v>18017657700</v>
      </c>
      <c r="FV18" s="1">
        <v>18607875700</v>
      </c>
      <c r="FW18" s="1">
        <v>19382035600</v>
      </c>
      <c r="FX18" s="1">
        <v>20238333700</v>
      </c>
      <c r="FY18" s="1">
        <v>20728228700</v>
      </c>
      <c r="FZ18" s="1">
        <v>21621824400</v>
      </c>
      <c r="GA18" s="1">
        <v>22827295300</v>
      </c>
      <c r="GB18" s="1">
        <v>23603960200</v>
      </c>
      <c r="GC18" s="1">
        <v>27652079400</v>
      </c>
      <c r="GD18" s="1">
        <v>27562855500</v>
      </c>
      <c r="GE18" s="1">
        <v>27709799800</v>
      </c>
      <c r="GF18" s="1">
        <v>9916400900</v>
      </c>
      <c r="GG18" s="1">
        <v>9970917300</v>
      </c>
      <c r="GH18" s="1">
        <v>10237860000</v>
      </c>
      <c r="GI18" s="1">
        <v>10410102500</v>
      </c>
      <c r="GJ18" s="1">
        <v>10537199100</v>
      </c>
      <c r="GK18" s="1">
        <v>10874600700</v>
      </c>
      <c r="GL18" s="1">
        <v>11515293200</v>
      </c>
      <c r="GM18" s="1">
        <v>12155075900</v>
      </c>
      <c r="GN18" s="1">
        <v>12853175600</v>
      </c>
      <c r="GO18" s="1">
        <v>14010219100</v>
      </c>
      <c r="GP18" s="1">
        <v>14257215900</v>
      </c>
      <c r="GQ18" s="1">
        <v>14750382300</v>
      </c>
      <c r="GR18" s="1">
        <v>15477904800</v>
      </c>
      <c r="GS18" s="1">
        <v>16186441200</v>
      </c>
      <c r="GT18" s="1">
        <v>17246765800</v>
      </c>
      <c r="GU18" s="1">
        <v>18417371100</v>
      </c>
      <c r="GV18" s="1">
        <v>19145772800</v>
      </c>
      <c r="GW18" s="1">
        <v>19367935600</v>
      </c>
      <c r="GX18" s="1">
        <v>19705177600</v>
      </c>
      <c r="GY18" s="1">
        <v>20614736600</v>
      </c>
      <c r="GZ18" s="1">
        <v>21586961700</v>
      </c>
      <c r="HA18" s="1">
        <v>22299767500</v>
      </c>
      <c r="HB18" s="1">
        <v>23248244600</v>
      </c>
      <c r="HC18" s="1">
        <v>24225184600</v>
      </c>
      <c r="HD18" s="1">
        <v>24797184200</v>
      </c>
      <c r="HE18" s="1">
        <v>25884850700</v>
      </c>
      <c r="HF18" s="1">
        <v>27261223700</v>
      </c>
      <c r="HG18" s="1">
        <v>28214770000</v>
      </c>
      <c r="HH18" s="1">
        <v>32173899000</v>
      </c>
      <c r="HI18" s="1">
        <v>32385997600</v>
      </c>
      <c r="HJ18" s="1">
        <v>33189700600</v>
      </c>
      <c r="HK18" s="1">
        <v>11632294300</v>
      </c>
      <c r="HL18" s="1">
        <v>11728580700</v>
      </c>
      <c r="HM18" s="1">
        <v>12081164600</v>
      </c>
      <c r="HN18" s="1">
        <v>12261902900</v>
      </c>
      <c r="HO18" s="1">
        <v>12476976600</v>
      </c>
      <c r="HP18" s="1">
        <v>12900068700</v>
      </c>
      <c r="HQ18" s="1">
        <v>13569032800</v>
      </c>
      <c r="HR18" s="1">
        <v>14332171600</v>
      </c>
      <c r="HS18" s="1">
        <v>15160474700</v>
      </c>
      <c r="HT18" s="1">
        <v>16425088700</v>
      </c>
      <c r="HU18" s="1">
        <v>16705295800</v>
      </c>
      <c r="HV18" s="1">
        <v>17319609700</v>
      </c>
      <c r="HW18" s="1">
        <v>18181625000</v>
      </c>
      <c r="HX18" s="1">
        <v>19035364600</v>
      </c>
      <c r="HY18" s="1">
        <v>20233506600</v>
      </c>
      <c r="HZ18" s="1">
        <v>21555604800</v>
      </c>
      <c r="IA18" s="1">
        <v>22383131900</v>
      </c>
      <c r="IB18" s="1">
        <v>22639611200</v>
      </c>
      <c r="IC18" s="1">
        <v>23041136700</v>
      </c>
      <c r="ID18" s="1">
        <v>24070904500</v>
      </c>
      <c r="IE18" s="1">
        <v>25167217200</v>
      </c>
      <c r="IF18" s="1">
        <v>26031279300</v>
      </c>
      <c r="IG18" s="1">
        <v>27134916700</v>
      </c>
      <c r="IH18" s="1">
        <v>28277492200</v>
      </c>
      <c r="II18" s="1">
        <v>28886346800</v>
      </c>
      <c r="IJ18" s="1">
        <v>30206560600</v>
      </c>
      <c r="IK18" s="1">
        <v>31753156200</v>
      </c>
      <c r="IL18" s="1">
        <v>32861712400</v>
      </c>
      <c r="IM18" s="1">
        <v>36864595100</v>
      </c>
      <c r="IN18" s="1">
        <v>37449651000</v>
      </c>
      <c r="IO18" s="1">
        <v>38649582600</v>
      </c>
      <c r="IP18" s="1">
        <v>13464839600</v>
      </c>
      <c r="IQ18" s="1">
        <v>13599809200</v>
      </c>
      <c r="IR18" s="1">
        <v>14063033400</v>
      </c>
      <c r="IS18" s="1">
        <v>14223062700</v>
      </c>
      <c r="IT18" s="1">
        <v>14511899000</v>
      </c>
      <c r="IU18" s="1">
        <v>15021126200</v>
      </c>
      <c r="IV18" s="1">
        <v>15716804300</v>
      </c>
      <c r="IW18" s="1">
        <v>16601722100</v>
      </c>
      <c r="IX18" s="1">
        <v>17567198900</v>
      </c>
      <c r="IY18" s="1">
        <v>18922661600</v>
      </c>
      <c r="IZ18" s="1">
        <v>19282364400</v>
      </c>
      <c r="JA18" s="1">
        <v>19979895700</v>
      </c>
      <c r="JB18" s="1">
        <v>20967359400</v>
      </c>
      <c r="JC18" s="1">
        <v>21971455800</v>
      </c>
      <c r="JD18" s="1">
        <v>23288475900</v>
      </c>
      <c r="JE18" s="1">
        <v>24780263600</v>
      </c>
      <c r="JF18" s="1">
        <v>25708213200</v>
      </c>
      <c r="JG18" s="1">
        <v>25972748700</v>
      </c>
      <c r="JH18" s="1">
        <v>26505727200</v>
      </c>
      <c r="JI18" s="1">
        <v>27662020600</v>
      </c>
      <c r="JJ18" s="1">
        <v>28877943800</v>
      </c>
      <c r="JK18" s="1">
        <v>29927224200</v>
      </c>
      <c r="JL18" s="1">
        <v>31206906600</v>
      </c>
      <c r="JM18" s="1">
        <v>32443142700</v>
      </c>
      <c r="JN18" s="1">
        <v>33152064400</v>
      </c>
      <c r="JO18" s="1">
        <v>34687010800</v>
      </c>
      <c r="JP18" s="1">
        <v>36427622400</v>
      </c>
      <c r="JQ18" s="1">
        <v>37682915400</v>
      </c>
      <c r="JR18" s="1">
        <v>41941713500</v>
      </c>
      <c r="JS18" s="1">
        <v>42872704600</v>
      </c>
      <c r="JT18" s="1">
        <v>44398521400</v>
      </c>
      <c r="JU18" s="1">
        <v>15421876200</v>
      </c>
      <c r="JV18" s="1">
        <v>15615200400</v>
      </c>
      <c r="JW18" s="1">
        <v>16196636300</v>
      </c>
      <c r="JX18" s="1">
        <v>16338819400</v>
      </c>
      <c r="JY18" s="1">
        <v>16692797100</v>
      </c>
      <c r="JZ18" s="1">
        <v>17267278600</v>
      </c>
      <c r="KA18" s="1">
        <v>17987573600</v>
      </c>
      <c r="KB18" s="1">
        <v>18982643500</v>
      </c>
      <c r="KC18" s="1">
        <v>20078118200</v>
      </c>
      <c r="KD18" s="1">
        <v>21523349900</v>
      </c>
      <c r="KE18" s="1">
        <v>21968312300</v>
      </c>
      <c r="KF18" s="1">
        <v>22780461800</v>
      </c>
      <c r="KG18" s="1">
        <v>23917210800</v>
      </c>
      <c r="KH18" s="1">
        <v>25094877200</v>
      </c>
      <c r="KI18" s="1">
        <v>26568988800</v>
      </c>
      <c r="KJ18" s="1">
        <v>28214865500</v>
      </c>
      <c r="KK18" s="1">
        <v>29272693600</v>
      </c>
      <c r="KL18" s="1">
        <v>29532667500</v>
      </c>
      <c r="KM18" s="1">
        <v>30229236000</v>
      </c>
      <c r="KN18" s="1">
        <v>31539817900</v>
      </c>
      <c r="KO18" s="1">
        <v>32905448500</v>
      </c>
      <c r="KP18" s="1">
        <v>34134723500</v>
      </c>
      <c r="KQ18" s="1">
        <v>35625279800</v>
      </c>
      <c r="KR18" s="1">
        <v>36954219000</v>
      </c>
      <c r="KS18" s="1">
        <v>37798638900</v>
      </c>
      <c r="KT18" s="1">
        <v>39569795100</v>
      </c>
      <c r="KU18" s="1">
        <v>41543091400</v>
      </c>
      <c r="KV18" s="1">
        <v>42949060000</v>
      </c>
      <c r="KW18" s="1">
        <v>47443007900</v>
      </c>
      <c r="KX18" s="1">
        <v>48757702600</v>
      </c>
      <c r="KY18" s="1">
        <v>50639609700</v>
      </c>
      <c r="KZ18" s="1">
        <v>17423553100</v>
      </c>
      <c r="LA18" s="1">
        <v>17706857000</v>
      </c>
      <c r="LB18" s="1">
        <v>18445287300</v>
      </c>
      <c r="LC18" s="1">
        <v>18538604100</v>
      </c>
      <c r="LD18" s="1">
        <v>18963531200</v>
      </c>
      <c r="LE18" s="1">
        <v>19608052500</v>
      </c>
      <c r="LF18" s="1">
        <v>20347042500</v>
      </c>
      <c r="LG18" s="1">
        <v>21474886500</v>
      </c>
      <c r="LH18" s="1">
        <v>22770431600</v>
      </c>
      <c r="LI18" s="1">
        <v>24301420100</v>
      </c>
      <c r="LJ18" s="1">
        <v>24854211100</v>
      </c>
      <c r="LK18" s="1">
        <v>25792563800</v>
      </c>
      <c r="LL18" s="1">
        <v>27113023800</v>
      </c>
      <c r="LM18" s="1">
        <v>28481611500</v>
      </c>
      <c r="LN18" s="1">
        <v>30138696100</v>
      </c>
      <c r="LO18" s="1">
        <v>31994890900</v>
      </c>
      <c r="LP18" s="1">
        <v>33170073200</v>
      </c>
      <c r="LQ18" s="1">
        <v>33429529100</v>
      </c>
      <c r="LR18" s="1">
        <v>34296653200</v>
      </c>
      <c r="LS18" s="1">
        <v>35819030400</v>
      </c>
      <c r="LT18" s="1">
        <v>37335908400</v>
      </c>
      <c r="LU18" s="1">
        <v>38765394300</v>
      </c>
      <c r="LV18" s="1">
        <v>40484666300</v>
      </c>
      <c r="LW18" s="1">
        <v>41950855200</v>
      </c>
      <c r="LX18" s="1">
        <v>42877242800</v>
      </c>
      <c r="LY18" s="1">
        <v>44973354900</v>
      </c>
      <c r="LZ18" s="1">
        <v>47190039400</v>
      </c>
      <c r="MA18" s="1">
        <v>48796711500</v>
      </c>
      <c r="MB18" s="1">
        <v>53414438700</v>
      </c>
      <c r="MC18" s="1">
        <v>55208205500</v>
      </c>
      <c r="MD18" s="1">
        <v>57462406400</v>
      </c>
      <c r="ME18" s="1">
        <v>19556071000</v>
      </c>
      <c r="MF18" s="1">
        <v>19937221800</v>
      </c>
      <c r="MG18" s="1">
        <v>20866401500</v>
      </c>
      <c r="MH18" s="1">
        <v>20891679000</v>
      </c>
      <c r="MI18" s="1">
        <v>21394791800</v>
      </c>
      <c r="MJ18" s="1">
        <v>22125156500</v>
      </c>
      <c r="MK18" s="1">
        <v>22924422600</v>
      </c>
      <c r="ML18" s="1">
        <v>24217785300</v>
      </c>
      <c r="MM18" s="1">
        <v>25723533500</v>
      </c>
      <c r="MN18" s="1">
        <v>27322889100</v>
      </c>
      <c r="MO18" s="1">
        <v>27998543200</v>
      </c>
      <c r="MP18" s="1">
        <v>29079163600</v>
      </c>
      <c r="MQ18" s="1">
        <v>30587654000</v>
      </c>
      <c r="MR18" s="1">
        <v>32167633700</v>
      </c>
      <c r="MS18" s="1">
        <v>34040697400</v>
      </c>
      <c r="MT18" s="1">
        <v>36126825700</v>
      </c>
      <c r="MU18" s="1">
        <v>37443768900</v>
      </c>
      <c r="MV18" s="1">
        <v>37721909900</v>
      </c>
      <c r="MW18" s="1">
        <v>38752058600</v>
      </c>
      <c r="MX18" s="1">
        <v>40514892700</v>
      </c>
      <c r="MY18" s="1">
        <v>42219984700</v>
      </c>
      <c r="MZ18" s="1">
        <v>43892400300</v>
      </c>
      <c r="NA18" s="1">
        <v>45844694500</v>
      </c>
      <c r="NB18" s="1">
        <v>47447922800</v>
      </c>
      <c r="NC18" s="1">
        <v>48463431200</v>
      </c>
      <c r="ND18" s="1">
        <v>50900891300</v>
      </c>
      <c r="NE18" s="1">
        <v>53388900500</v>
      </c>
      <c r="NF18" s="1">
        <v>55225382700</v>
      </c>
      <c r="NG18" s="1">
        <v>59933902300</v>
      </c>
      <c r="NH18" s="1">
        <v>62295739900</v>
      </c>
      <c r="NI18" s="1">
        <v>65002906700</v>
      </c>
      <c r="NJ18" s="1">
        <v>21853255000</v>
      </c>
      <c r="NK18" s="1">
        <v>22353156700</v>
      </c>
      <c r="NL18" s="1">
        <v>23509961200</v>
      </c>
      <c r="NM18" s="1">
        <v>23442903300</v>
      </c>
      <c r="NN18" s="1">
        <v>24037618400</v>
      </c>
      <c r="NO18" s="1">
        <v>24875488500</v>
      </c>
      <c r="NP18" s="1">
        <v>25752237200</v>
      </c>
      <c r="NQ18" s="1">
        <v>27191237600</v>
      </c>
      <c r="NR18" s="1">
        <v>28949055300</v>
      </c>
      <c r="NS18" s="1">
        <v>30653259100</v>
      </c>
      <c r="NT18" s="1">
        <v>31435262400</v>
      </c>
      <c r="NU18" s="1">
        <v>32679798300</v>
      </c>
      <c r="NV18" s="1">
        <v>34404939300</v>
      </c>
      <c r="NW18" s="1">
        <v>36216029000</v>
      </c>
      <c r="NX18" s="1">
        <v>38333524100</v>
      </c>
      <c r="NY18" s="1">
        <v>40683279100</v>
      </c>
      <c r="NZ18" s="1">
        <v>42181064200</v>
      </c>
      <c r="OA18" s="1">
        <v>42454204200</v>
      </c>
      <c r="OB18" s="1">
        <v>43684948900</v>
      </c>
      <c r="OC18" s="1">
        <v>45692602400</v>
      </c>
      <c r="OD18" s="1">
        <v>47625903300</v>
      </c>
      <c r="OE18" s="1">
        <v>49562870400</v>
      </c>
      <c r="OF18" s="1">
        <v>51786558300</v>
      </c>
      <c r="OG18" s="1">
        <v>53519672000</v>
      </c>
      <c r="OH18" s="1">
        <v>54630015200</v>
      </c>
      <c r="OI18" s="1">
        <v>57400739500</v>
      </c>
      <c r="OJ18" s="1">
        <v>60221163500</v>
      </c>
      <c r="OK18" s="1">
        <v>62318489000</v>
      </c>
      <c r="OL18" s="1">
        <v>67073193000</v>
      </c>
      <c r="OM18" s="1">
        <v>70049717500</v>
      </c>
      <c r="ON18" s="1">
        <v>73331563400</v>
      </c>
      <c r="OO18" s="1">
        <v>24363874000</v>
      </c>
      <c r="OP18" s="1">
        <v>25012597600</v>
      </c>
      <c r="OQ18" s="1">
        <v>26453494800</v>
      </c>
      <c r="OR18" s="1">
        <v>26244147400</v>
      </c>
      <c r="OS18" s="1">
        <v>26929426900</v>
      </c>
      <c r="OT18" s="1">
        <v>27903647500</v>
      </c>
      <c r="OU18" s="1">
        <v>28867070600</v>
      </c>
      <c r="OV18" s="1">
        <v>30472182900</v>
      </c>
      <c r="OW18" s="1">
        <v>32512032900</v>
      </c>
      <c r="OX18" s="1">
        <v>34297489800</v>
      </c>
      <c r="OY18" s="1">
        <v>35226990100</v>
      </c>
      <c r="OZ18" s="1">
        <v>36652460900</v>
      </c>
      <c r="PA18" s="1">
        <v>38618835300</v>
      </c>
      <c r="PB18" s="1">
        <v>40693487800</v>
      </c>
      <c r="PC18" s="1">
        <v>43093155400</v>
      </c>
      <c r="PD18" s="1">
        <v>45713725000</v>
      </c>
      <c r="PE18" s="1">
        <v>47430512200</v>
      </c>
      <c r="PF18" s="1">
        <v>47718955700</v>
      </c>
      <c r="PG18" s="1">
        <v>49169568500</v>
      </c>
      <c r="PH18" s="1">
        <v>51468590900</v>
      </c>
      <c r="PI18" s="1">
        <v>53631176400</v>
      </c>
      <c r="PJ18" s="1">
        <v>55859914400</v>
      </c>
      <c r="PK18" s="1">
        <v>58365140300</v>
      </c>
      <c r="PL18" s="1">
        <v>60238816100</v>
      </c>
      <c r="PM18" s="1">
        <v>61447203700</v>
      </c>
      <c r="PN18" s="1">
        <v>64553411200</v>
      </c>
      <c r="PO18" s="1">
        <v>67702656700</v>
      </c>
      <c r="PP18" s="1">
        <v>70103587000</v>
      </c>
      <c r="PQ18" s="1">
        <v>74918000700</v>
      </c>
      <c r="PR18" s="1">
        <v>78599106400</v>
      </c>
      <c r="PS18" s="1">
        <v>82639271100</v>
      </c>
      <c r="PT18" s="1">
        <v>27156885400</v>
      </c>
      <c r="PU18" s="1">
        <v>27947367700</v>
      </c>
      <c r="PV18" s="1">
        <v>29717514300</v>
      </c>
      <c r="PW18" s="1">
        <v>29368400500</v>
      </c>
      <c r="PX18" s="1">
        <v>30140282900</v>
      </c>
      <c r="PY18" s="1">
        <v>31270052200</v>
      </c>
      <c r="PZ18" s="1">
        <v>32364463000</v>
      </c>
      <c r="QA18" s="1">
        <v>34148657100</v>
      </c>
      <c r="QB18" s="1">
        <v>36470387200</v>
      </c>
      <c r="QC18" s="1">
        <v>38321665000</v>
      </c>
      <c r="QD18" s="1">
        <v>39426449400</v>
      </c>
      <c r="QE18" s="1">
        <v>41075136500</v>
      </c>
      <c r="QF18" s="1">
        <v>43290894700</v>
      </c>
      <c r="QG18" s="1">
        <v>45636199300</v>
      </c>
      <c r="QH18" s="1">
        <v>48348336300</v>
      </c>
      <c r="QI18" s="1">
        <v>51280225800</v>
      </c>
      <c r="QJ18" s="1">
        <v>53249708600</v>
      </c>
      <c r="QK18" s="1">
        <v>53580924400</v>
      </c>
      <c r="QL18" s="1">
        <v>55271150700</v>
      </c>
      <c r="QM18" s="1">
        <v>57894480400</v>
      </c>
      <c r="QN18" s="1">
        <v>60318765300</v>
      </c>
      <c r="QO18" s="1">
        <v>62876423800</v>
      </c>
      <c r="QP18" s="1">
        <v>65712478100</v>
      </c>
      <c r="QQ18" s="1">
        <v>67745127500</v>
      </c>
      <c r="QR18" s="1">
        <v>69035796100</v>
      </c>
      <c r="QS18" s="1">
        <v>72557124500</v>
      </c>
      <c r="QT18" s="1">
        <v>76081933600</v>
      </c>
      <c r="QU18" s="1">
        <v>78835718700</v>
      </c>
      <c r="QV18" s="1">
        <v>83720438800</v>
      </c>
      <c r="QW18" s="1">
        <v>88180220800</v>
      </c>
      <c r="QX18" s="1">
        <v>93053153700</v>
      </c>
      <c r="QY18" s="1">
        <v>30250620800</v>
      </c>
      <c r="QZ18" s="1">
        <v>31234605300</v>
      </c>
      <c r="RA18" s="1">
        <v>33372775700</v>
      </c>
      <c r="RB18" s="1">
        <v>32844408800</v>
      </c>
      <c r="RC18" s="1">
        <v>33720357000</v>
      </c>
      <c r="RD18" s="1">
        <v>35022278700</v>
      </c>
      <c r="RE18" s="1">
        <v>36267693100</v>
      </c>
      <c r="RF18" s="1">
        <v>38239595700</v>
      </c>
      <c r="RG18" s="1">
        <v>40887966100</v>
      </c>
      <c r="RH18" s="1">
        <v>42840892800</v>
      </c>
      <c r="RI18" s="1">
        <v>44125417100</v>
      </c>
      <c r="RJ18" s="1">
        <v>46025057800</v>
      </c>
      <c r="RK18" s="1">
        <v>48526868200</v>
      </c>
      <c r="RL18" s="1">
        <v>51250342400</v>
      </c>
      <c r="RM18" s="1">
        <v>54309035300</v>
      </c>
      <c r="RN18" s="1">
        <v>57608692600</v>
      </c>
      <c r="RO18" s="1">
        <v>59865404500</v>
      </c>
      <c r="RP18" s="1">
        <v>60271762300</v>
      </c>
      <c r="RQ18" s="1">
        <v>62230510100</v>
      </c>
      <c r="RR18" s="1">
        <v>65210179900</v>
      </c>
      <c r="RS18" s="1">
        <v>67994832000</v>
      </c>
      <c r="RT18" s="1">
        <v>70859802300</v>
      </c>
      <c r="RU18" s="1">
        <v>74064802100</v>
      </c>
      <c r="RV18" s="1">
        <v>76307338400</v>
      </c>
      <c r="RW18" s="1">
        <v>77753016800</v>
      </c>
      <c r="RX18" s="1">
        <v>81714724900</v>
      </c>
      <c r="RY18" s="1">
        <v>85647436500</v>
      </c>
      <c r="RZ18" s="1">
        <v>88842286400</v>
      </c>
      <c r="SA18" s="1">
        <v>93862601500</v>
      </c>
      <c r="SB18" s="1">
        <v>99307524800</v>
      </c>
      <c r="SC18" s="1">
        <v>105221400300</v>
      </c>
      <c r="SD18" s="1">
        <v>33773136300</v>
      </c>
      <c r="SE18" s="1">
        <v>34963694800</v>
      </c>
      <c r="SF18" s="1">
        <v>37590815900</v>
      </c>
      <c r="SG18" s="1">
        <v>36803791000</v>
      </c>
      <c r="SH18" s="1">
        <v>37799188400</v>
      </c>
      <c r="SI18" s="1">
        <v>39287692300</v>
      </c>
      <c r="SJ18" s="1">
        <v>40750575700</v>
      </c>
      <c r="SK18" s="1">
        <v>42972902800</v>
      </c>
      <c r="SL18" s="1">
        <v>46042425100</v>
      </c>
      <c r="SM18" s="1">
        <v>48162665200</v>
      </c>
      <c r="SN18" s="1">
        <v>49621665200</v>
      </c>
      <c r="SO18" s="1">
        <v>51781402700</v>
      </c>
      <c r="SP18" s="1">
        <v>54615667700</v>
      </c>
      <c r="SQ18" s="1">
        <v>57784053200</v>
      </c>
      <c r="SR18" s="1">
        <v>61293898000</v>
      </c>
      <c r="SS18" s="1">
        <v>65058675000</v>
      </c>
      <c r="ST18" s="1">
        <v>67633677500</v>
      </c>
      <c r="SU18" s="1">
        <v>68107825700</v>
      </c>
      <c r="SV18" s="1">
        <v>70395217200</v>
      </c>
      <c r="SW18" s="1">
        <v>73820790800</v>
      </c>
      <c r="SX18" s="1">
        <v>77040544100</v>
      </c>
      <c r="SY18" s="1">
        <v>80360192400</v>
      </c>
      <c r="SZ18" s="1">
        <v>84005223800</v>
      </c>
      <c r="TA18" s="1">
        <v>86511733300</v>
      </c>
      <c r="TB18" s="1">
        <v>88119204700</v>
      </c>
      <c r="TC18" s="1">
        <v>92711372500</v>
      </c>
      <c r="TD18" s="1">
        <v>97123689700</v>
      </c>
      <c r="TE18" s="1">
        <v>100834073000</v>
      </c>
      <c r="TF18" s="1">
        <v>106077838100</v>
      </c>
      <c r="TG18" s="1">
        <v>112696658100</v>
      </c>
      <c r="TH18" s="1">
        <v>119782373800</v>
      </c>
      <c r="TI18" s="1">
        <v>38030304800</v>
      </c>
      <c r="TJ18" s="1">
        <v>39442891300</v>
      </c>
      <c r="TK18" s="1">
        <v>42793919200</v>
      </c>
      <c r="TL18" s="1">
        <v>41543716500</v>
      </c>
      <c r="TM18" s="1">
        <v>42720992600</v>
      </c>
      <c r="TN18" s="1">
        <v>44494856100</v>
      </c>
      <c r="TO18" s="1">
        <v>46222573100</v>
      </c>
      <c r="TP18" s="1">
        <v>48780131300</v>
      </c>
      <c r="TQ18" s="1">
        <v>52413387600</v>
      </c>
      <c r="TR18" s="1">
        <v>54700199900</v>
      </c>
      <c r="TS18" s="1">
        <v>56390991200</v>
      </c>
      <c r="TT18" s="1">
        <v>58881807300</v>
      </c>
      <c r="TU18" s="1">
        <v>62142224500</v>
      </c>
      <c r="TV18" s="1">
        <v>65849942400</v>
      </c>
      <c r="TW18" s="1">
        <v>69951741600</v>
      </c>
      <c r="TX18" s="1">
        <v>74336090000</v>
      </c>
      <c r="TY18" s="1">
        <v>77286651000</v>
      </c>
      <c r="TZ18" s="1">
        <v>77901173600</v>
      </c>
      <c r="UA18" s="1">
        <v>80587677900</v>
      </c>
      <c r="UB18" s="1">
        <v>84595823400</v>
      </c>
      <c r="UC18" s="1">
        <v>88347206400</v>
      </c>
      <c r="UD18" s="1">
        <v>92253459600</v>
      </c>
      <c r="UE18" s="1">
        <v>96423206900</v>
      </c>
      <c r="UF18" s="1">
        <v>99300404200</v>
      </c>
      <c r="UG18" s="1">
        <v>101095524400</v>
      </c>
      <c r="UH18" s="1">
        <v>106413962100</v>
      </c>
      <c r="UI18" s="1">
        <v>111467008100</v>
      </c>
      <c r="UJ18" s="1">
        <v>115770792700</v>
      </c>
      <c r="UK18" s="1">
        <v>121367239500</v>
      </c>
      <c r="UL18" s="1">
        <v>129503581700</v>
      </c>
      <c r="UM18" s="1">
        <v>137871642800</v>
      </c>
      <c r="UN18" s="1">
        <v>43649132500</v>
      </c>
      <c r="UO18" s="1">
        <v>45370277500</v>
      </c>
      <c r="UP18" s="1">
        <v>49991759300</v>
      </c>
      <c r="UQ18" s="1">
        <v>47760528200</v>
      </c>
      <c r="UR18" s="1">
        <v>49195857700</v>
      </c>
      <c r="US18" s="1">
        <v>51379540200</v>
      </c>
      <c r="UT18" s="1">
        <v>53479649800</v>
      </c>
      <c r="UU18" s="1">
        <v>56498134800</v>
      </c>
      <c r="UV18" s="1">
        <v>60911697800</v>
      </c>
      <c r="UW18" s="1">
        <v>63390028300</v>
      </c>
      <c r="UX18" s="1">
        <v>65422157700</v>
      </c>
      <c r="UY18" s="1">
        <v>68363687800</v>
      </c>
      <c r="UZ18" s="1">
        <v>72247771300</v>
      </c>
      <c r="VA18" s="1">
        <v>76677378600</v>
      </c>
      <c r="VB18" s="1">
        <v>81644467500</v>
      </c>
      <c r="VC18" s="1">
        <v>86868765000</v>
      </c>
      <c r="VD18" s="1">
        <v>90266008000</v>
      </c>
      <c r="VE18" s="1">
        <v>91105405300</v>
      </c>
      <c r="VF18" s="1">
        <v>94341804100</v>
      </c>
      <c r="VG18" s="1">
        <v>99094457900</v>
      </c>
      <c r="VH18" s="1">
        <v>103485984500</v>
      </c>
      <c r="VI18" s="1">
        <v>108189738400</v>
      </c>
      <c r="VJ18" s="1">
        <v>113073586400</v>
      </c>
      <c r="VK18" s="1">
        <v>116492339000</v>
      </c>
      <c r="VL18" s="1">
        <v>118557839100</v>
      </c>
      <c r="VM18" s="1">
        <v>124916639500</v>
      </c>
      <c r="VN18" s="1">
        <v>130810761000</v>
      </c>
      <c r="VO18" s="1">
        <v>135875803200</v>
      </c>
      <c r="VP18" s="1">
        <v>142060741700</v>
      </c>
      <c r="VQ18" s="1">
        <v>152294947300</v>
      </c>
      <c r="VR18" s="1">
        <v>162241653800</v>
      </c>
      <c r="VS18" s="1">
        <v>52442004900</v>
      </c>
      <c r="VT18" s="1">
        <v>54754794000</v>
      </c>
      <c r="VU18" s="1">
        <v>62433417400</v>
      </c>
      <c r="VV18" s="1">
        <v>57431796200</v>
      </c>
      <c r="VW18" s="1">
        <v>59272543600</v>
      </c>
      <c r="VX18" s="1">
        <v>62200511500</v>
      </c>
      <c r="VY18" s="1">
        <v>64941309600</v>
      </c>
      <c r="VZ18" s="1">
        <v>68700673700</v>
      </c>
      <c r="WA18" s="1">
        <v>74547733500</v>
      </c>
      <c r="WB18" s="1">
        <v>77348062100</v>
      </c>
      <c r="WC18" s="1">
        <v>79814467400</v>
      </c>
      <c r="WD18" s="1">
        <v>83457149800</v>
      </c>
      <c r="WE18" s="1">
        <v>88405199200</v>
      </c>
      <c r="WF18" s="1">
        <v>94157677700</v>
      </c>
      <c r="WG18" s="1">
        <v>100642012600</v>
      </c>
      <c r="WH18" s="1">
        <v>107356726900</v>
      </c>
      <c r="WI18" s="1">
        <v>111221717100</v>
      </c>
      <c r="WJ18" s="1">
        <v>112245380800</v>
      </c>
      <c r="WK18" s="1">
        <v>116353293800</v>
      </c>
      <c r="WL18" s="1">
        <v>122310447300</v>
      </c>
      <c r="WM18" s="1">
        <v>127818097400</v>
      </c>
      <c r="WN18" s="1">
        <v>133802395700</v>
      </c>
      <c r="WO18" s="1">
        <v>139885408000</v>
      </c>
      <c r="WP18" s="1">
        <v>144187838300</v>
      </c>
      <c r="WQ18" s="1">
        <v>146349010100</v>
      </c>
      <c r="WR18" s="1">
        <v>154617792700</v>
      </c>
      <c r="WS18" s="1">
        <v>161731587100</v>
      </c>
      <c r="WT18" s="1">
        <v>168026107000</v>
      </c>
      <c r="WU18" s="1">
        <v>175312636800</v>
      </c>
      <c r="WV18" s="1">
        <v>189818715400</v>
      </c>
      <c r="WW18" s="1">
        <v>201621530000</v>
      </c>
      <c r="WX18" s="1">
        <v>96800101500</v>
      </c>
      <c r="WY18" s="1">
        <v>105183110000</v>
      </c>
      <c r="WZ18" s="1">
        <v>126664016300</v>
      </c>
      <c r="XA18" s="1">
        <v>107187191700</v>
      </c>
      <c r="XB18" s="1">
        <v>113652541400</v>
      </c>
      <c r="XC18" s="1">
        <v>124745663300</v>
      </c>
      <c r="XD18" s="1">
        <v>133194408900</v>
      </c>
      <c r="XE18" s="1">
        <v>143240927800</v>
      </c>
      <c r="XF18" s="1">
        <v>165543015100</v>
      </c>
      <c r="XG18" s="1">
        <v>166485655900</v>
      </c>
      <c r="XH18" s="1">
        <v>166037678800</v>
      </c>
      <c r="XI18" s="1">
        <v>173598566100</v>
      </c>
      <c r="XJ18" s="1">
        <v>190397329500</v>
      </c>
      <c r="XK18" s="1">
        <v>210620207500</v>
      </c>
      <c r="XL18" s="1">
        <v>232608990400</v>
      </c>
      <c r="XM18" s="1">
        <v>250178263800</v>
      </c>
      <c r="XN18" s="1">
        <v>244005505200</v>
      </c>
      <c r="XO18" s="1">
        <v>233422871800</v>
      </c>
      <c r="XP18" s="1">
        <v>244768147500</v>
      </c>
      <c r="XQ18" s="1">
        <v>257788618500</v>
      </c>
      <c r="XR18" s="1">
        <v>264439765000</v>
      </c>
      <c r="XS18" s="1">
        <v>277528596100</v>
      </c>
      <c r="XT18" s="1">
        <v>294175232300</v>
      </c>
      <c r="XU18" s="1">
        <v>317985198100</v>
      </c>
      <c r="XV18" s="1">
        <v>295203690700</v>
      </c>
      <c r="XW18" s="1">
        <v>329323163700</v>
      </c>
      <c r="XX18" s="1">
        <v>341882607900</v>
      </c>
      <c r="XY18" s="1">
        <v>355952251700</v>
      </c>
      <c r="XZ18" s="1">
        <v>374353348100</v>
      </c>
      <c r="YA18" s="1">
        <v>442439820600</v>
      </c>
      <c r="YB18" s="1">
        <v>445390207600</v>
      </c>
    </row>
    <row r="19" spans="1:652" x14ac:dyDescent="0.2">
      <c r="B19" t="s">
        <v>39</v>
      </c>
    </row>
    <row r="20" spans="1:652" x14ac:dyDescent="0.2">
      <c r="A20" t="s">
        <v>40</v>
      </c>
      <c r="B20">
        <v>7.6</v>
      </c>
      <c r="C20">
        <v>7.2</v>
      </c>
      <c r="D20">
        <v>7</v>
      </c>
      <c r="E20">
        <v>7.4</v>
      </c>
      <c r="F20">
        <v>7.5</v>
      </c>
      <c r="G20">
        <v>7.6</v>
      </c>
      <c r="H20">
        <v>7.7</v>
      </c>
      <c r="I20">
        <v>7.6</v>
      </c>
      <c r="J20">
        <v>7.6</v>
      </c>
      <c r="K20">
        <v>7.1</v>
      </c>
      <c r="L20">
        <v>7</v>
      </c>
      <c r="M20">
        <v>7</v>
      </c>
      <c r="N20">
        <v>6.9</v>
      </c>
      <c r="O20">
        <v>6.5</v>
      </c>
      <c r="P20">
        <v>6.5</v>
      </c>
      <c r="Q20">
        <v>6.1</v>
      </c>
      <c r="R20">
        <v>6.2</v>
      </c>
      <c r="S20">
        <v>5.6</v>
      </c>
      <c r="T20">
        <v>5.7</v>
      </c>
      <c r="U20">
        <v>5.8</v>
      </c>
      <c r="V20">
        <v>5.8</v>
      </c>
      <c r="W20">
        <v>5.9</v>
      </c>
      <c r="X20">
        <v>5.9</v>
      </c>
      <c r="Y20">
        <v>6</v>
      </c>
      <c r="Z20">
        <v>5.9</v>
      </c>
      <c r="AA20">
        <v>5.9</v>
      </c>
      <c r="AB20">
        <v>6</v>
      </c>
      <c r="AC20">
        <v>6</v>
      </c>
      <c r="AD20">
        <v>6</v>
      </c>
      <c r="AE20">
        <v>6.1</v>
      </c>
      <c r="AF20">
        <v>5.9</v>
      </c>
      <c r="AG20">
        <v>0.1</v>
      </c>
      <c r="AH20">
        <v>0.3</v>
      </c>
      <c r="AI20">
        <v>0.2</v>
      </c>
      <c r="AJ20">
        <v>0.1</v>
      </c>
      <c r="AK20">
        <v>0.2</v>
      </c>
      <c r="AL20">
        <v>0.2</v>
      </c>
      <c r="AM20">
        <v>0.1</v>
      </c>
      <c r="AN20">
        <v>0.2</v>
      </c>
      <c r="AO20">
        <v>0.2</v>
      </c>
      <c r="AP20">
        <v>0.3</v>
      </c>
      <c r="AQ20">
        <v>0.1</v>
      </c>
      <c r="AR20">
        <v>0.2</v>
      </c>
      <c r="AS20">
        <v>0.2</v>
      </c>
      <c r="AT20">
        <v>0.2</v>
      </c>
      <c r="AU20">
        <v>0.2</v>
      </c>
      <c r="AV20">
        <v>0.2</v>
      </c>
      <c r="AW20">
        <v>0.2</v>
      </c>
      <c r="AX20">
        <v>0.1</v>
      </c>
      <c r="AY20">
        <v>0.1</v>
      </c>
      <c r="AZ20">
        <v>0.1</v>
      </c>
      <c r="BA20">
        <v>0.1</v>
      </c>
      <c r="BB20">
        <v>0.1</v>
      </c>
      <c r="BC20">
        <v>0.1</v>
      </c>
      <c r="BD20">
        <v>0.1</v>
      </c>
      <c r="BE20">
        <v>0.1</v>
      </c>
      <c r="BF20">
        <v>0.1</v>
      </c>
      <c r="BG20">
        <v>0.1</v>
      </c>
      <c r="BH20">
        <v>0.1</v>
      </c>
      <c r="BI20">
        <v>0.1</v>
      </c>
      <c r="BJ20">
        <v>0.1</v>
      </c>
      <c r="BK20">
        <v>0.1</v>
      </c>
      <c r="BL20">
        <v>0.4</v>
      </c>
      <c r="BM20">
        <v>0.3</v>
      </c>
      <c r="BN20">
        <v>0.3</v>
      </c>
      <c r="BO20">
        <v>0.3</v>
      </c>
      <c r="BP20">
        <v>0.3</v>
      </c>
      <c r="BQ20">
        <v>0.3</v>
      </c>
      <c r="BR20">
        <v>0.3</v>
      </c>
      <c r="BS20">
        <v>0.3</v>
      </c>
      <c r="BT20">
        <v>0.3</v>
      </c>
      <c r="BU20">
        <v>0.5</v>
      </c>
      <c r="BV20">
        <v>0.4</v>
      </c>
      <c r="BW20">
        <v>0.4</v>
      </c>
      <c r="BX20">
        <v>0.4</v>
      </c>
      <c r="BY20">
        <v>0.3</v>
      </c>
      <c r="BZ20">
        <v>0.3</v>
      </c>
      <c r="CA20">
        <v>0.2</v>
      </c>
      <c r="CB20">
        <v>0.2</v>
      </c>
      <c r="CC20">
        <v>0.1</v>
      </c>
      <c r="CD20">
        <v>0.1</v>
      </c>
      <c r="CE20">
        <v>0.1</v>
      </c>
      <c r="CF20">
        <v>0.1</v>
      </c>
      <c r="CG20">
        <v>0.1</v>
      </c>
      <c r="CH20">
        <v>0.1</v>
      </c>
      <c r="CI20">
        <v>0.1</v>
      </c>
      <c r="CJ20">
        <v>0.1</v>
      </c>
      <c r="CK20">
        <v>0.1</v>
      </c>
      <c r="CL20">
        <v>0.2</v>
      </c>
      <c r="CM20">
        <v>0.1</v>
      </c>
      <c r="CN20">
        <v>0.4</v>
      </c>
      <c r="CO20">
        <v>0.3</v>
      </c>
      <c r="CP20">
        <v>0.1</v>
      </c>
      <c r="CQ20">
        <v>1</v>
      </c>
      <c r="CR20">
        <v>1</v>
      </c>
      <c r="CS20">
        <v>1</v>
      </c>
      <c r="CT20">
        <v>1.1000000000000001</v>
      </c>
      <c r="CU20">
        <v>1.1000000000000001</v>
      </c>
      <c r="CV20">
        <v>1.1000000000000001</v>
      </c>
      <c r="CW20">
        <v>1</v>
      </c>
      <c r="CX20">
        <v>0.9</v>
      </c>
      <c r="CY20">
        <v>0.9</v>
      </c>
      <c r="CZ20">
        <v>0.8</v>
      </c>
      <c r="DA20">
        <v>0.8</v>
      </c>
      <c r="DB20">
        <v>0.8</v>
      </c>
      <c r="DC20">
        <v>0.8</v>
      </c>
      <c r="DD20">
        <v>0.7</v>
      </c>
      <c r="DE20">
        <v>0.7</v>
      </c>
      <c r="DF20">
        <v>0.5</v>
      </c>
      <c r="DG20">
        <v>0.6</v>
      </c>
      <c r="DH20">
        <v>0.4</v>
      </c>
      <c r="DI20">
        <v>0.4</v>
      </c>
      <c r="DJ20">
        <v>0.4</v>
      </c>
      <c r="DK20">
        <v>0.4</v>
      </c>
      <c r="DL20">
        <v>0.4</v>
      </c>
      <c r="DM20">
        <v>0.4</v>
      </c>
      <c r="DN20">
        <v>0.4</v>
      </c>
      <c r="DO20">
        <v>0.4</v>
      </c>
      <c r="DP20">
        <v>0.5</v>
      </c>
      <c r="DQ20">
        <v>0.5</v>
      </c>
      <c r="DR20">
        <v>0.4</v>
      </c>
      <c r="DS20">
        <v>0.6</v>
      </c>
      <c r="DT20">
        <v>0.5</v>
      </c>
      <c r="DU20">
        <v>0.3</v>
      </c>
      <c r="DV20">
        <v>1.5</v>
      </c>
      <c r="DW20">
        <v>1.2</v>
      </c>
      <c r="DX20">
        <v>1.2</v>
      </c>
      <c r="DY20">
        <v>1.2</v>
      </c>
      <c r="DZ20">
        <v>1.2</v>
      </c>
      <c r="EA20">
        <v>1.2</v>
      </c>
      <c r="EB20">
        <v>1.2</v>
      </c>
      <c r="EC20">
        <v>1.2</v>
      </c>
      <c r="ED20">
        <v>1.2</v>
      </c>
      <c r="EE20">
        <v>1.4</v>
      </c>
      <c r="EF20">
        <v>1.3</v>
      </c>
      <c r="EG20">
        <v>1.3</v>
      </c>
      <c r="EH20">
        <v>1.3</v>
      </c>
      <c r="EI20">
        <v>1.1000000000000001</v>
      </c>
      <c r="EJ20">
        <v>1.1000000000000001</v>
      </c>
      <c r="EK20">
        <v>1</v>
      </c>
      <c r="EL20">
        <v>1</v>
      </c>
      <c r="EM20">
        <v>0.8</v>
      </c>
      <c r="EN20">
        <v>0.8</v>
      </c>
      <c r="EO20">
        <v>0.8</v>
      </c>
      <c r="EP20">
        <v>0.7</v>
      </c>
      <c r="EQ20">
        <v>0.7</v>
      </c>
      <c r="ER20">
        <v>0.8</v>
      </c>
      <c r="ES20">
        <v>0.8</v>
      </c>
      <c r="ET20">
        <v>0.8</v>
      </c>
      <c r="EU20">
        <v>0.8</v>
      </c>
      <c r="EV20">
        <v>0.8</v>
      </c>
      <c r="EW20">
        <v>0.8</v>
      </c>
      <c r="EX20">
        <v>1.6</v>
      </c>
      <c r="EY20">
        <v>1.3</v>
      </c>
      <c r="EZ20">
        <v>0.6</v>
      </c>
      <c r="FA20">
        <v>2.8</v>
      </c>
      <c r="FB20">
        <v>2.4</v>
      </c>
      <c r="FC20">
        <v>2.4</v>
      </c>
      <c r="FD20">
        <v>2.2999999999999998</v>
      </c>
      <c r="FE20">
        <v>2.2000000000000002</v>
      </c>
      <c r="FF20">
        <v>2.4</v>
      </c>
      <c r="FG20">
        <v>2.6</v>
      </c>
      <c r="FH20">
        <v>2.5</v>
      </c>
      <c r="FI20">
        <v>2.6</v>
      </c>
      <c r="FJ20">
        <v>2.8</v>
      </c>
      <c r="FK20">
        <v>2.6</v>
      </c>
      <c r="FL20">
        <v>2.6</v>
      </c>
      <c r="FM20">
        <v>2.6</v>
      </c>
      <c r="FN20">
        <v>2.2999999999999998</v>
      </c>
      <c r="FO20">
        <v>2.2000000000000002</v>
      </c>
      <c r="FP20">
        <v>1.9</v>
      </c>
      <c r="FQ20">
        <v>2</v>
      </c>
      <c r="FR20">
        <v>1.6</v>
      </c>
      <c r="FS20">
        <v>1.6</v>
      </c>
      <c r="FT20">
        <v>1.6</v>
      </c>
      <c r="FU20">
        <v>1.6</v>
      </c>
      <c r="FV20">
        <v>1.6</v>
      </c>
      <c r="FW20">
        <v>1.7</v>
      </c>
      <c r="FX20">
        <v>1.7</v>
      </c>
      <c r="FY20">
        <v>1.8</v>
      </c>
      <c r="FZ20">
        <v>1.8</v>
      </c>
      <c r="GA20">
        <v>2</v>
      </c>
      <c r="GB20">
        <v>1.9</v>
      </c>
      <c r="GC20">
        <v>2.6</v>
      </c>
      <c r="GD20">
        <v>2.4</v>
      </c>
      <c r="GE20">
        <v>1.7</v>
      </c>
      <c r="GF20">
        <v>3.8</v>
      </c>
      <c r="GG20">
        <v>3.4</v>
      </c>
      <c r="GH20">
        <v>3.5</v>
      </c>
      <c r="GI20">
        <v>3.5</v>
      </c>
      <c r="GJ20">
        <v>3.5</v>
      </c>
      <c r="GK20">
        <v>3.7</v>
      </c>
      <c r="GL20">
        <v>3.7</v>
      </c>
      <c r="GM20">
        <v>3.6</v>
      </c>
      <c r="GN20">
        <v>3.7</v>
      </c>
      <c r="GO20">
        <v>3.5</v>
      </c>
      <c r="GP20">
        <v>3.4</v>
      </c>
      <c r="GQ20">
        <v>3.4</v>
      </c>
      <c r="GR20">
        <v>3.4</v>
      </c>
      <c r="GS20">
        <v>3.1</v>
      </c>
      <c r="GT20">
        <v>3</v>
      </c>
      <c r="GU20">
        <v>2.6</v>
      </c>
      <c r="GV20">
        <v>2.7</v>
      </c>
      <c r="GW20">
        <v>2.2999999999999998</v>
      </c>
      <c r="GX20">
        <v>2.2999999999999998</v>
      </c>
      <c r="GY20">
        <v>2.2999999999999998</v>
      </c>
      <c r="GZ20">
        <v>2.2999999999999998</v>
      </c>
      <c r="HA20">
        <v>2.2999999999999998</v>
      </c>
      <c r="HB20">
        <v>2.2999999999999998</v>
      </c>
      <c r="HC20">
        <v>2.4</v>
      </c>
      <c r="HD20">
        <v>2.4</v>
      </c>
      <c r="HE20">
        <v>2.5</v>
      </c>
      <c r="HF20">
        <v>2.7</v>
      </c>
      <c r="HG20">
        <v>2.7</v>
      </c>
      <c r="HH20">
        <v>3.1</v>
      </c>
      <c r="HI20">
        <v>3</v>
      </c>
      <c r="HJ20">
        <v>2.5</v>
      </c>
      <c r="HK20">
        <v>4.5999999999999996</v>
      </c>
      <c r="HL20">
        <v>4.0999999999999996</v>
      </c>
      <c r="HM20">
        <v>4.2</v>
      </c>
      <c r="HN20">
        <v>4.2</v>
      </c>
      <c r="HO20">
        <v>4.3</v>
      </c>
      <c r="HP20">
        <v>4.4000000000000004</v>
      </c>
      <c r="HQ20">
        <v>4.3</v>
      </c>
      <c r="HR20">
        <v>4.3</v>
      </c>
      <c r="HS20">
        <v>4.3</v>
      </c>
      <c r="HT20">
        <v>4.4000000000000004</v>
      </c>
      <c r="HU20">
        <v>4.2</v>
      </c>
      <c r="HV20">
        <v>4.2</v>
      </c>
      <c r="HW20">
        <v>4.2</v>
      </c>
      <c r="HX20">
        <v>3.8</v>
      </c>
      <c r="HY20">
        <v>3.7</v>
      </c>
      <c r="HZ20">
        <v>3.3</v>
      </c>
      <c r="IA20">
        <v>3.4</v>
      </c>
      <c r="IB20">
        <v>2.9</v>
      </c>
      <c r="IC20">
        <v>2.9</v>
      </c>
      <c r="ID20">
        <v>2.9</v>
      </c>
      <c r="IE20">
        <v>3</v>
      </c>
      <c r="IF20">
        <v>2.9</v>
      </c>
      <c r="IG20">
        <v>3.1</v>
      </c>
      <c r="IH20">
        <v>3.3</v>
      </c>
      <c r="II20">
        <v>3.2</v>
      </c>
      <c r="IJ20">
        <v>3.3</v>
      </c>
      <c r="IK20">
        <v>3.5</v>
      </c>
      <c r="IL20">
        <v>3.4</v>
      </c>
      <c r="IM20">
        <v>3.7</v>
      </c>
      <c r="IN20">
        <v>3.7</v>
      </c>
      <c r="IO20">
        <v>3.3</v>
      </c>
      <c r="IP20">
        <v>5.7</v>
      </c>
      <c r="IQ20">
        <v>5.2</v>
      </c>
      <c r="IR20">
        <v>5.3</v>
      </c>
      <c r="IS20">
        <v>5.2</v>
      </c>
      <c r="IT20">
        <v>5.2</v>
      </c>
      <c r="IU20">
        <v>5.4</v>
      </c>
      <c r="IV20">
        <v>5.5</v>
      </c>
      <c r="IW20">
        <v>5.4</v>
      </c>
      <c r="IX20">
        <v>5.5</v>
      </c>
      <c r="IY20">
        <v>5.5</v>
      </c>
      <c r="IZ20">
        <v>5.4</v>
      </c>
      <c r="JA20">
        <v>5.3</v>
      </c>
      <c r="JB20">
        <v>5.3</v>
      </c>
      <c r="JC20">
        <v>4.8</v>
      </c>
      <c r="JD20">
        <v>4.7</v>
      </c>
      <c r="JE20">
        <v>4.0999999999999996</v>
      </c>
      <c r="JF20">
        <v>4.2</v>
      </c>
      <c r="JG20">
        <v>3.6</v>
      </c>
      <c r="JH20">
        <v>3.7</v>
      </c>
      <c r="JI20">
        <v>3.8</v>
      </c>
      <c r="JJ20">
        <v>3.8</v>
      </c>
      <c r="JK20">
        <v>3.8</v>
      </c>
      <c r="JL20">
        <v>3.9</v>
      </c>
      <c r="JM20">
        <v>4</v>
      </c>
      <c r="JN20">
        <v>4</v>
      </c>
      <c r="JO20">
        <v>4</v>
      </c>
      <c r="JP20">
        <v>4.2</v>
      </c>
      <c r="JQ20">
        <v>4.2</v>
      </c>
      <c r="JR20">
        <v>4.3</v>
      </c>
      <c r="JS20">
        <v>4.3</v>
      </c>
      <c r="JT20">
        <v>4.0999999999999996</v>
      </c>
      <c r="JU20">
        <v>6.8</v>
      </c>
      <c r="JV20">
        <v>6.3</v>
      </c>
      <c r="JW20">
        <v>6.4</v>
      </c>
      <c r="JX20">
        <v>6.4</v>
      </c>
      <c r="JY20">
        <v>6.4</v>
      </c>
      <c r="JZ20">
        <v>6.6</v>
      </c>
      <c r="KA20">
        <v>6.6</v>
      </c>
      <c r="KB20">
        <v>6.6</v>
      </c>
      <c r="KC20">
        <v>6.6</v>
      </c>
      <c r="KD20">
        <v>6.4</v>
      </c>
      <c r="KE20">
        <v>6.3</v>
      </c>
      <c r="KF20">
        <v>6.3</v>
      </c>
      <c r="KG20">
        <v>6.2</v>
      </c>
      <c r="KH20">
        <v>5.6</v>
      </c>
      <c r="KI20">
        <v>5.5</v>
      </c>
      <c r="KJ20">
        <v>4.9000000000000004</v>
      </c>
      <c r="KK20">
        <v>5</v>
      </c>
      <c r="KL20">
        <v>4.2</v>
      </c>
      <c r="KM20">
        <v>4.3</v>
      </c>
      <c r="KN20">
        <v>4.4000000000000004</v>
      </c>
      <c r="KO20">
        <v>4.4000000000000004</v>
      </c>
      <c r="KP20">
        <v>4.5</v>
      </c>
      <c r="KQ20">
        <v>4.5999999999999996</v>
      </c>
      <c r="KR20">
        <v>4.8</v>
      </c>
      <c r="KS20">
        <v>4.7</v>
      </c>
      <c r="KT20">
        <v>4.7</v>
      </c>
      <c r="KU20">
        <v>4.9000000000000004</v>
      </c>
      <c r="KV20">
        <v>4.9000000000000004</v>
      </c>
      <c r="KW20">
        <v>4.9000000000000004</v>
      </c>
      <c r="KX20">
        <v>5</v>
      </c>
      <c r="KY20">
        <v>4.8</v>
      </c>
      <c r="KZ20">
        <v>7.6</v>
      </c>
      <c r="LA20">
        <v>7.2</v>
      </c>
      <c r="LB20">
        <v>7.4</v>
      </c>
      <c r="LC20">
        <v>7.3</v>
      </c>
      <c r="LD20">
        <v>7.4</v>
      </c>
      <c r="LE20">
        <v>7.6</v>
      </c>
      <c r="LF20">
        <v>7.6</v>
      </c>
      <c r="LG20">
        <v>7.6</v>
      </c>
      <c r="LH20">
        <v>7.6</v>
      </c>
      <c r="LI20">
        <v>7.3</v>
      </c>
      <c r="LJ20">
        <v>7.2</v>
      </c>
      <c r="LK20">
        <v>7.2</v>
      </c>
      <c r="LL20">
        <v>7</v>
      </c>
      <c r="LM20">
        <v>6.5</v>
      </c>
      <c r="LN20">
        <v>6.4</v>
      </c>
      <c r="LO20">
        <v>5.7</v>
      </c>
      <c r="LP20">
        <v>5.8</v>
      </c>
      <c r="LQ20">
        <v>5</v>
      </c>
      <c r="LR20">
        <v>5.0999999999999996</v>
      </c>
      <c r="LS20">
        <v>5.3</v>
      </c>
      <c r="LT20">
        <v>5.3</v>
      </c>
      <c r="LU20">
        <v>5.3</v>
      </c>
      <c r="LV20">
        <v>5.4</v>
      </c>
      <c r="LW20">
        <v>5.6</v>
      </c>
      <c r="LX20">
        <v>5.4</v>
      </c>
      <c r="LY20">
        <v>5.5</v>
      </c>
      <c r="LZ20">
        <v>5.7</v>
      </c>
      <c r="MA20">
        <v>5.6</v>
      </c>
      <c r="MB20">
        <v>5.6</v>
      </c>
      <c r="MC20">
        <v>5.7</v>
      </c>
      <c r="MD20">
        <v>5.6</v>
      </c>
      <c r="ME20">
        <v>8.5</v>
      </c>
      <c r="MF20">
        <v>8.1</v>
      </c>
      <c r="MG20">
        <v>8.3000000000000007</v>
      </c>
      <c r="MH20">
        <v>8.3000000000000007</v>
      </c>
      <c r="MI20">
        <v>8.3000000000000007</v>
      </c>
      <c r="MJ20">
        <v>8.5</v>
      </c>
      <c r="MK20">
        <v>8.6</v>
      </c>
      <c r="ML20">
        <v>8.5</v>
      </c>
      <c r="MM20">
        <v>8.5</v>
      </c>
      <c r="MN20">
        <v>8</v>
      </c>
      <c r="MO20">
        <v>7.9</v>
      </c>
      <c r="MP20">
        <v>7.9</v>
      </c>
      <c r="MQ20">
        <v>7.8</v>
      </c>
      <c r="MR20">
        <v>7.2</v>
      </c>
      <c r="MS20">
        <v>7.2</v>
      </c>
      <c r="MT20">
        <v>6.5</v>
      </c>
      <c r="MU20">
        <v>6.7</v>
      </c>
      <c r="MV20">
        <v>5.8</v>
      </c>
      <c r="MW20">
        <v>6</v>
      </c>
      <c r="MX20">
        <v>6.1</v>
      </c>
      <c r="MY20">
        <v>6.1</v>
      </c>
      <c r="MZ20">
        <v>6.1</v>
      </c>
      <c r="NA20">
        <v>6.3</v>
      </c>
      <c r="NB20">
        <v>6.5</v>
      </c>
      <c r="NC20">
        <v>6.2</v>
      </c>
      <c r="ND20">
        <v>6.3</v>
      </c>
      <c r="NE20">
        <v>6.4</v>
      </c>
      <c r="NF20">
        <v>6.4</v>
      </c>
      <c r="NG20">
        <v>6.3</v>
      </c>
      <c r="NH20">
        <v>6.4</v>
      </c>
      <c r="NI20">
        <v>6.3</v>
      </c>
      <c r="NJ20">
        <v>9.4</v>
      </c>
      <c r="NK20">
        <v>9</v>
      </c>
      <c r="NL20">
        <v>9.1</v>
      </c>
      <c r="NM20">
        <v>9.1999999999999993</v>
      </c>
      <c r="NN20">
        <v>9.1999999999999993</v>
      </c>
      <c r="NO20">
        <v>9.4</v>
      </c>
      <c r="NP20">
        <v>9.5</v>
      </c>
      <c r="NQ20">
        <v>9.4</v>
      </c>
      <c r="NR20">
        <v>9.4</v>
      </c>
      <c r="NS20">
        <v>8.6999999999999993</v>
      </c>
      <c r="NT20">
        <v>8.6</v>
      </c>
      <c r="NU20">
        <v>8.6999999999999993</v>
      </c>
      <c r="NV20">
        <v>8.5</v>
      </c>
      <c r="NW20">
        <v>7.9</v>
      </c>
      <c r="NX20">
        <v>7.9</v>
      </c>
      <c r="NY20">
        <v>7.2</v>
      </c>
      <c r="NZ20">
        <v>7.3</v>
      </c>
      <c r="OA20">
        <v>6.5</v>
      </c>
      <c r="OB20">
        <v>6.7</v>
      </c>
      <c r="OC20">
        <v>6.9</v>
      </c>
      <c r="OD20">
        <v>6.9</v>
      </c>
      <c r="OE20">
        <v>6.9</v>
      </c>
      <c r="OF20">
        <v>7</v>
      </c>
      <c r="OG20">
        <v>7.2</v>
      </c>
      <c r="OH20">
        <v>6.9</v>
      </c>
      <c r="OI20">
        <v>7</v>
      </c>
      <c r="OJ20">
        <v>7.1</v>
      </c>
      <c r="OK20">
        <v>7.1</v>
      </c>
      <c r="OL20">
        <v>6.9</v>
      </c>
      <c r="OM20">
        <v>7.1</v>
      </c>
      <c r="ON20">
        <v>7</v>
      </c>
      <c r="OO20">
        <v>10.1</v>
      </c>
      <c r="OP20">
        <v>9.6999999999999993</v>
      </c>
      <c r="OQ20">
        <v>9.9</v>
      </c>
      <c r="OR20">
        <v>9.9</v>
      </c>
      <c r="OS20">
        <v>10</v>
      </c>
      <c r="OT20">
        <v>10.199999999999999</v>
      </c>
      <c r="OU20">
        <v>10.199999999999999</v>
      </c>
      <c r="OV20">
        <v>10.1</v>
      </c>
      <c r="OW20">
        <v>10.1</v>
      </c>
      <c r="OX20">
        <v>9.3000000000000007</v>
      </c>
      <c r="OY20">
        <v>9.3000000000000007</v>
      </c>
      <c r="OZ20">
        <v>9.3000000000000007</v>
      </c>
      <c r="PA20">
        <v>9.1</v>
      </c>
      <c r="PB20">
        <v>8.6</v>
      </c>
      <c r="PC20">
        <v>8.5</v>
      </c>
      <c r="PD20">
        <v>7.9</v>
      </c>
      <c r="PE20">
        <v>8</v>
      </c>
      <c r="PF20">
        <v>7.1</v>
      </c>
      <c r="PG20">
        <v>7.4</v>
      </c>
      <c r="PH20">
        <v>7.6</v>
      </c>
      <c r="PI20">
        <v>7.6</v>
      </c>
      <c r="PJ20">
        <v>7.6</v>
      </c>
      <c r="PK20">
        <v>7.6</v>
      </c>
      <c r="PL20">
        <v>7.8</v>
      </c>
      <c r="PM20">
        <v>7.6</v>
      </c>
      <c r="PN20">
        <v>7.6</v>
      </c>
      <c r="PO20">
        <v>7.8</v>
      </c>
      <c r="PP20">
        <v>7.7</v>
      </c>
      <c r="PQ20">
        <v>7.5</v>
      </c>
      <c r="PR20">
        <v>7.6</v>
      </c>
      <c r="PS20">
        <v>7.6</v>
      </c>
      <c r="PT20">
        <v>10.8</v>
      </c>
      <c r="PU20">
        <v>10.4</v>
      </c>
      <c r="PV20">
        <v>10.5</v>
      </c>
      <c r="PW20">
        <v>10.6</v>
      </c>
      <c r="PX20">
        <v>10.7</v>
      </c>
      <c r="PY20">
        <v>10.9</v>
      </c>
      <c r="PZ20">
        <v>11</v>
      </c>
      <c r="QA20">
        <v>10.8</v>
      </c>
      <c r="QB20">
        <v>10.7</v>
      </c>
      <c r="QC20">
        <v>9.8000000000000007</v>
      </c>
      <c r="QD20">
        <v>9.8000000000000007</v>
      </c>
      <c r="QE20">
        <v>9.8000000000000007</v>
      </c>
      <c r="QF20">
        <v>9.6999999999999993</v>
      </c>
      <c r="QG20">
        <v>9.1</v>
      </c>
      <c r="QH20">
        <v>9.1</v>
      </c>
      <c r="QI20">
        <v>8.5</v>
      </c>
      <c r="QJ20">
        <v>8.6</v>
      </c>
      <c r="QK20">
        <v>7.8</v>
      </c>
      <c r="QL20">
        <v>8</v>
      </c>
      <c r="QM20">
        <v>8.1999999999999993</v>
      </c>
      <c r="QN20">
        <v>8.1999999999999993</v>
      </c>
      <c r="QO20">
        <v>8.3000000000000007</v>
      </c>
      <c r="QP20">
        <v>8.1999999999999993</v>
      </c>
      <c r="QQ20">
        <v>8.4</v>
      </c>
      <c r="QR20">
        <v>8.1</v>
      </c>
      <c r="QS20">
        <v>8.1999999999999993</v>
      </c>
      <c r="QT20">
        <v>8.3000000000000007</v>
      </c>
      <c r="QU20">
        <v>8.3000000000000007</v>
      </c>
      <c r="QV20">
        <v>8</v>
      </c>
      <c r="QW20">
        <v>8.1999999999999993</v>
      </c>
      <c r="QX20">
        <v>8.1999999999999993</v>
      </c>
      <c r="QY20">
        <v>11.4</v>
      </c>
      <c r="QZ20">
        <v>11.1</v>
      </c>
      <c r="RA20">
        <v>11.1</v>
      </c>
      <c r="RB20">
        <v>11.3</v>
      </c>
      <c r="RC20">
        <v>11.3</v>
      </c>
      <c r="RD20">
        <v>11.6</v>
      </c>
      <c r="RE20">
        <v>11.6</v>
      </c>
      <c r="RF20">
        <v>11.4</v>
      </c>
      <c r="RG20">
        <v>11.3</v>
      </c>
      <c r="RH20">
        <v>10.3</v>
      </c>
      <c r="RI20">
        <v>10.3</v>
      </c>
      <c r="RJ20">
        <v>10.4</v>
      </c>
      <c r="RK20">
        <v>10.199999999999999</v>
      </c>
      <c r="RL20">
        <v>9.6999999999999993</v>
      </c>
      <c r="RM20">
        <v>9.6999999999999993</v>
      </c>
      <c r="RN20">
        <v>9.1</v>
      </c>
      <c r="RO20">
        <v>9.1999999999999993</v>
      </c>
      <c r="RP20">
        <v>8.4</v>
      </c>
      <c r="RQ20">
        <v>8.6999999999999993</v>
      </c>
      <c r="RR20">
        <v>8.9</v>
      </c>
      <c r="RS20">
        <v>8.9</v>
      </c>
      <c r="RT20">
        <v>8.9</v>
      </c>
      <c r="RU20">
        <v>8.8000000000000007</v>
      </c>
      <c r="RV20">
        <v>9</v>
      </c>
      <c r="RW20">
        <v>8.8000000000000007</v>
      </c>
      <c r="RX20">
        <v>8.8000000000000007</v>
      </c>
      <c r="RY20">
        <v>8.9</v>
      </c>
      <c r="RZ20">
        <v>8.9</v>
      </c>
      <c r="SA20">
        <v>8.6</v>
      </c>
      <c r="SB20">
        <v>8.8000000000000007</v>
      </c>
      <c r="SC20">
        <v>8.8000000000000007</v>
      </c>
      <c r="SD20">
        <v>11.9</v>
      </c>
      <c r="SE20">
        <v>11.6</v>
      </c>
      <c r="SF20">
        <v>11.6</v>
      </c>
      <c r="SG20">
        <v>11.8</v>
      </c>
      <c r="SH20">
        <v>11.9</v>
      </c>
      <c r="SI20">
        <v>12.1</v>
      </c>
      <c r="SJ20">
        <v>12.2</v>
      </c>
      <c r="SK20">
        <v>12</v>
      </c>
      <c r="SL20">
        <v>11.8</v>
      </c>
      <c r="SM20">
        <v>10.8</v>
      </c>
      <c r="SN20">
        <v>10.8</v>
      </c>
      <c r="SO20">
        <v>10.8</v>
      </c>
      <c r="SP20">
        <v>10.7</v>
      </c>
      <c r="SQ20">
        <v>10.199999999999999</v>
      </c>
      <c r="SR20">
        <v>10.199999999999999</v>
      </c>
      <c r="SS20">
        <v>9.6999999999999993</v>
      </c>
      <c r="ST20">
        <v>9.8000000000000007</v>
      </c>
      <c r="SU20">
        <v>9</v>
      </c>
      <c r="SV20">
        <v>9.3000000000000007</v>
      </c>
      <c r="SW20">
        <v>9.5</v>
      </c>
      <c r="SX20">
        <v>9.5</v>
      </c>
      <c r="SY20">
        <v>9.6</v>
      </c>
      <c r="SZ20">
        <v>9.5</v>
      </c>
      <c r="TA20">
        <v>9.6</v>
      </c>
      <c r="TB20">
        <v>9.4</v>
      </c>
      <c r="TC20">
        <v>9.4</v>
      </c>
      <c r="TD20">
        <v>9.5</v>
      </c>
      <c r="TE20">
        <v>9.5</v>
      </c>
      <c r="TF20">
        <v>9.1999999999999993</v>
      </c>
      <c r="TG20">
        <v>9.4</v>
      </c>
      <c r="TH20">
        <v>9.4</v>
      </c>
      <c r="TI20">
        <v>12.4</v>
      </c>
      <c r="TJ20">
        <v>12.1</v>
      </c>
      <c r="TK20">
        <v>12</v>
      </c>
      <c r="TL20">
        <v>12.4</v>
      </c>
      <c r="TM20">
        <v>12.4</v>
      </c>
      <c r="TN20">
        <v>12.6</v>
      </c>
      <c r="TO20">
        <v>12.7</v>
      </c>
      <c r="TP20">
        <v>12.6</v>
      </c>
      <c r="TQ20">
        <v>12.4</v>
      </c>
      <c r="TR20">
        <v>11.3</v>
      </c>
      <c r="TS20">
        <v>11.3</v>
      </c>
      <c r="TT20">
        <v>11.4</v>
      </c>
      <c r="TU20">
        <v>11.2</v>
      </c>
      <c r="TV20">
        <v>10.7</v>
      </c>
      <c r="TW20">
        <v>10.8</v>
      </c>
      <c r="TX20">
        <v>10.3</v>
      </c>
      <c r="TY20">
        <v>10.5</v>
      </c>
      <c r="TZ20">
        <v>9.6999999999999993</v>
      </c>
      <c r="UA20">
        <v>10</v>
      </c>
      <c r="UB20">
        <v>10.199999999999999</v>
      </c>
      <c r="UC20">
        <v>10.199999999999999</v>
      </c>
      <c r="UD20">
        <v>10.3</v>
      </c>
      <c r="UE20">
        <v>10.199999999999999</v>
      </c>
      <c r="UF20">
        <v>10.3</v>
      </c>
      <c r="UG20">
        <v>10</v>
      </c>
      <c r="UH20">
        <v>10.1</v>
      </c>
      <c r="UI20">
        <v>10.199999999999999</v>
      </c>
      <c r="UJ20">
        <v>10.1</v>
      </c>
      <c r="UK20">
        <v>9.9</v>
      </c>
      <c r="UL20">
        <v>10.1</v>
      </c>
      <c r="UM20">
        <v>10.1</v>
      </c>
      <c r="UN20">
        <v>13</v>
      </c>
      <c r="UO20">
        <v>12.7</v>
      </c>
      <c r="UP20">
        <v>12.3</v>
      </c>
      <c r="UQ20">
        <v>13</v>
      </c>
      <c r="UR20">
        <v>13.1</v>
      </c>
      <c r="US20">
        <v>13.3</v>
      </c>
      <c r="UT20">
        <v>13.4</v>
      </c>
      <c r="UU20">
        <v>13.3</v>
      </c>
      <c r="UV20">
        <v>13.1</v>
      </c>
      <c r="UW20">
        <v>11.9</v>
      </c>
      <c r="UX20">
        <v>11.9</v>
      </c>
      <c r="UY20">
        <v>12</v>
      </c>
      <c r="UZ20">
        <v>11.8</v>
      </c>
      <c r="VA20">
        <v>11.4</v>
      </c>
      <c r="VB20">
        <v>11.4</v>
      </c>
      <c r="VC20">
        <v>11</v>
      </c>
      <c r="VD20">
        <v>11.2</v>
      </c>
      <c r="VE20">
        <v>10.5</v>
      </c>
      <c r="VF20">
        <v>10.8</v>
      </c>
      <c r="VG20">
        <v>10.9</v>
      </c>
      <c r="VH20">
        <v>11</v>
      </c>
      <c r="VI20">
        <v>11</v>
      </c>
      <c r="VJ20">
        <v>11</v>
      </c>
      <c r="VK20">
        <v>11.2</v>
      </c>
      <c r="VL20">
        <v>10.7</v>
      </c>
      <c r="VM20">
        <v>10.8</v>
      </c>
      <c r="VN20">
        <v>10.9</v>
      </c>
      <c r="VO20">
        <v>10.9</v>
      </c>
      <c r="VP20">
        <v>10.6</v>
      </c>
      <c r="VQ20">
        <v>10.8</v>
      </c>
      <c r="VR20">
        <v>11</v>
      </c>
      <c r="VS20">
        <v>13.8</v>
      </c>
      <c r="VT20">
        <v>13.4</v>
      </c>
      <c r="VU20">
        <v>12.3</v>
      </c>
      <c r="VV20">
        <v>13.8</v>
      </c>
      <c r="VW20">
        <v>13.9</v>
      </c>
      <c r="VX20">
        <v>14.2</v>
      </c>
      <c r="VY20">
        <v>14.4</v>
      </c>
      <c r="VZ20">
        <v>14.3</v>
      </c>
      <c r="WA20">
        <v>14</v>
      </c>
      <c r="WB20">
        <v>12.8</v>
      </c>
      <c r="WC20">
        <v>12.8</v>
      </c>
      <c r="WD20">
        <v>12.8</v>
      </c>
      <c r="WE20">
        <v>12.6</v>
      </c>
      <c r="WF20">
        <v>12.3</v>
      </c>
      <c r="WG20">
        <v>12.3</v>
      </c>
      <c r="WH20">
        <v>12</v>
      </c>
      <c r="WI20">
        <v>12.3</v>
      </c>
      <c r="WJ20">
        <v>11.5</v>
      </c>
      <c r="WK20">
        <v>11.8</v>
      </c>
      <c r="WL20">
        <v>12</v>
      </c>
      <c r="WM20">
        <v>12.1</v>
      </c>
      <c r="WN20">
        <v>12.1</v>
      </c>
      <c r="WO20">
        <v>12.1</v>
      </c>
      <c r="WP20">
        <v>12.2</v>
      </c>
      <c r="WQ20">
        <v>11.8</v>
      </c>
      <c r="WR20">
        <v>11.9</v>
      </c>
      <c r="WS20">
        <v>12</v>
      </c>
      <c r="WT20">
        <v>11.9</v>
      </c>
      <c r="WU20">
        <v>11.7</v>
      </c>
      <c r="WV20">
        <v>11.9</v>
      </c>
      <c r="WW20">
        <v>12.1</v>
      </c>
      <c r="WX20">
        <v>15.6</v>
      </c>
      <c r="WY20">
        <v>14.9</v>
      </c>
      <c r="WZ20">
        <v>11.4</v>
      </c>
      <c r="XA20">
        <v>16.2</v>
      </c>
      <c r="XB20">
        <v>16.399999999999999</v>
      </c>
      <c r="XC20">
        <v>16.8</v>
      </c>
      <c r="XD20">
        <v>17.100000000000001</v>
      </c>
      <c r="XE20">
        <v>17</v>
      </c>
      <c r="XF20">
        <v>16.7</v>
      </c>
      <c r="XG20">
        <v>15.4</v>
      </c>
      <c r="XH20">
        <v>15.4</v>
      </c>
      <c r="XI20">
        <v>15.3</v>
      </c>
      <c r="XJ20">
        <v>15.1</v>
      </c>
      <c r="XK20">
        <v>14.8</v>
      </c>
      <c r="XL20">
        <v>14.8</v>
      </c>
      <c r="XM20">
        <v>14.7</v>
      </c>
      <c r="XN20">
        <v>15</v>
      </c>
      <c r="XO20">
        <v>14.4</v>
      </c>
      <c r="XP20">
        <v>14.5</v>
      </c>
      <c r="XQ20">
        <v>14.6</v>
      </c>
      <c r="XR20">
        <v>14.7</v>
      </c>
      <c r="XS20">
        <v>14.7</v>
      </c>
      <c r="XT20">
        <v>14.7</v>
      </c>
      <c r="XU20">
        <v>14.9</v>
      </c>
      <c r="XV20">
        <v>14.6</v>
      </c>
      <c r="XW20">
        <v>14.7</v>
      </c>
      <c r="XX20">
        <v>14.9</v>
      </c>
      <c r="XY20">
        <v>14.9</v>
      </c>
      <c r="XZ20">
        <v>14.7</v>
      </c>
      <c r="YA20">
        <v>14.8</v>
      </c>
      <c r="YB20">
        <v>15.2</v>
      </c>
    </row>
    <row r="21" spans="1:652" x14ac:dyDescent="0.2">
      <c r="A21" t="s">
        <v>41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0.5</v>
      </c>
      <c r="LA21">
        <v>0.1</v>
      </c>
      <c r="LB21">
        <v>0.1</v>
      </c>
      <c r="LC21">
        <v>0.2</v>
      </c>
      <c r="LD21">
        <v>0.2</v>
      </c>
      <c r="LE21">
        <v>0.5</v>
      </c>
      <c r="LF21">
        <v>0.6</v>
      </c>
      <c r="LG21">
        <v>0.5</v>
      </c>
      <c r="LH21">
        <v>0.7</v>
      </c>
      <c r="LI21">
        <v>0.7</v>
      </c>
      <c r="LJ21">
        <v>0.5</v>
      </c>
      <c r="LK21">
        <v>0.4</v>
      </c>
      <c r="LL21">
        <v>0.3</v>
      </c>
      <c r="LM21">
        <v>0.1</v>
      </c>
      <c r="LN21">
        <v>0</v>
      </c>
      <c r="LO21">
        <v>0</v>
      </c>
      <c r="LP21">
        <v>0</v>
      </c>
      <c r="LQ21">
        <v>0</v>
      </c>
      <c r="LR21">
        <v>0</v>
      </c>
      <c r="LS21">
        <v>0</v>
      </c>
      <c r="LT21">
        <v>0</v>
      </c>
      <c r="LU21">
        <v>0</v>
      </c>
      <c r="LV21">
        <v>0</v>
      </c>
      <c r="LW21">
        <v>0</v>
      </c>
      <c r="LX21">
        <v>0</v>
      </c>
      <c r="LY21">
        <v>0</v>
      </c>
      <c r="LZ21">
        <v>0</v>
      </c>
      <c r="MA21">
        <v>0</v>
      </c>
      <c r="MB21">
        <v>0</v>
      </c>
      <c r="MC21">
        <v>0</v>
      </c>
      <c r="MD21">
        <v>0</v>
      </c>
      <c r="ME21">
        <v>1.9</v>
      </c>
      <c r="MF21">
        <v>1.4</v>
      </c>
      <c r="MG21">
        <v>1.4</v>
      </c>
      <c r="MH21">
        <v>1.6</v>
      </c>
      <c r="MI21">
        <v>1.7</v>
      </c>
      <c r="MJ21">
        <v>1.9</v>
      </c>
      <c r="MK21">
        <v>2</v>
      </c>
      <c r="ML21">
        <v>1.8</v>
      </c>
      <c r="MM21">
        <v>1.8</v>
      </c>
      <c r="MN21">
        <v>1.7</v>
      </c>
      <c r="MO21">
        <v>1.6</v>
      </c>
      <c r="MP21">
        <v>1.5</v>
      </c>
      <c r="MQ21">
        <v>1.4</v>
      </c>
      <c r="MR21">
        <v>1</v>
      </c>
      <c r="MS21">
        <v>0.8</v>
      </c>
      <c r="MT21">
        <v>0.1</v>
      </c>
      <c r="MU21">
        <v>0.1</v>
      </c>
      <c r="MV21">
        <v>0</v>
      </c>
      <c r="MW21">
        <v>0</v>
      </c>
      <c r="MX21">
        <v>0</v>
      </c>
      <c r="MY21">
        <v>0</v>
      </c>
      <c r="MZ21">
        <v>0</v>
      </c>
      <c r="NA21">
        <v>0</v>
      </c>
      <c r="NB21">
        <v>0</v>
      </c>
      <c r="NC21">
        <v>0</v>
      </c>
      <c r="ND21">
        <v>0</v>
      </c>
      <c r="NE21">
        <v>0</v>
      </c>
      <c r="NF21">
        <v>0</v>
      </c>
      <c r="NG21">
        <v>0</v>
      </c>
      <c r="NH21">
        <v>0</v>
      </c>
      <c r="NI21">
        <v>0</v>
      </c>
      <c r="NJ21">
        <v>3.1</v>
      </c>
      <c r="NK21">
        <v>2.7</v>
      </c>
      <c r="NL21">
        <v>2.5</v>
      </c>
      <c r="NM21">
        <v>2.9</v>
      </c>
      <c r="NN21">
        <v>2.8</v>
      </c>
      <c r="NO21">
        <v>3</v>
      </c>
      <c r="NP21">
        <v>3</v>
      </c>
      <c r="NQ21">
        <v>2.8</v>
      </c>
      <c r="NR21">
        <v>2.9</v>
      </c>
      <c r="NS21">
        <v>2.6</v>
      </c>
      <c r="NT21">
        <v>2.5</v>
      </c>
      <c r="NU21">
        <v>2.5</v>
      </c>
      <c r="NV21">
        <v>2.4</v>
      </c>
      <c r="NW21">
        <v>1.9</v>
      </c>
      <c r="NX21">
        <v>1.7</v>
      </c>
      <c r="NY21">
        <v>1</v>
      </c>
      <c r="NZ21">
        <v>1</v>
      </c>
      <c r="OA21">
        <v>0.2</v>
      </c>
      <c r="OB21">
        <v>0.3</v>
      </c>
      <c r="OC21">
        <v>0.4</v>
      </c>
      <c r="OD21">
        <v>0.4</v>
      </c>
      <c r="OE21">
        <v>0.5</v>
      </c>
      <c r="OF21">
        <v>0.6</v>
      </c>
      <c r="OG21">
        <v>0.8</v>
      </c>
      <c r="OH21">
        <v>0.7</v>
      </c>
      <c r="OI21">
        <v>0.6</v>
      </c>
      <c r="OJ21">
        <v>0.8</v>
      </c>
      <c r="OK21">
        <v>0.7</v>
      </c>
      <c r="OL21">
        <v>0.7</v>
      </c>
      <c r="OM21">
        <v>0.9</v>
      </c>
      <c r="ON21">
        <v>0.6</v>
      </c>
      <c r="OO21">
        <v>4</v>
      </c>
      <c r="OP21">
        <v>3.6</v>
      </c>
      <c r="OQ21">
        <v>3.3</v>
      </c>
      <c r="OR21">
        <v>3.7</v>
      </c>
      <c r="OS21">
        <v>3.7</v>
      </c>
      <c r="OT21">
        <v>3.9</v>
      </c>
      <c r="OU21">
        <v>4</v>
      </c>
      <c r="OV21">
        <v>3.7</v>
      </c>
      <c r="OW21">
        <v>3.8</v>
      </c>
      <c r="OX21">
        <v>3.4</v>
      </c>
      <c r="OY21">
        <v>3.4</v>
      </c>
      <c r="OZ21">
        <v>3.3</v>
      </c>
      <c r="PA21">
        <v>3.2</v>
      </c>
      <c r="PB21">
        <v>2.7</v>
      </c>
      <c r="PC21">
        <v>2.5</v>
      </c>
      <c r="PD21">
        <v>1.8</v>
      </c>
      <c r="PE21">
        <v>1.9</v>
      </c>
      <c r="PF21">
        <v>1</v>
      </c>
      <c r="PG21">
        <v>1.3</v>
      </c>
      <c r="PH21">
        <v>1.4</v>
      </c>
      <c r="PI21">
        <v>1.4</v>
      </c>
      <c r="PJ21">
        <v>1.4</v>
      </c>
      <c r="PK21">
        <v>1.5</v>
      </c>
      <c r="PL21">
        <v>1.8</v>
      </c>
      <c r="PM21">
        <v>1.6</v>
      </c>
      <c r="PN21">
        <v>1.6</v>
      </c>
      <c r="PO21">
        <v>1.8</v>
      </c>
      <c r="PP21">
        <v>1.7</v>
      </c>
      <c r="PQ21">
        <v>1.6</v>
      </c>
      <c r="PR21">
        <v>1.7</v>
      </c>
      <c r="PS21">
        <v>1.6</v>
      </c>
      <c r="PT21">
        <v>4.8</v>
      </c>
      <c r="PU21">
        <v>4.4000000000000004</v>
      </c>
      <c r="PV21">
        <v>3.9</v>
      </c>
      <c r="PW21">
        <v>4.5</v>
      </c>
      <c r="PX21">
        <v>4.5</v>
      </c>
      <c r="PY21">
        <v>4.7</v>
      </c>
      <c r="PZ21">
        <v>4.8</v>
      </c>
      <c r="QA21">
        <v>4.5</v>
      </c>
      <c r="QB21">
        <v>4.5999999999999996</v>
      </c>
      <c r="QC21">
        <v>4.2</v>
      </c>
      <c r="QD21">
        <v>4.0999999999999996</v>
      </c>
      <c r="QE21">
        <v>4.0999999999999996</v>
      </c>
      <c r="QF21">
        <v>4</v>
      </c>
      <c r="QG21">
        <v>3.5</v>
      </c>
      <c r="QH21">
        <v>3.3</v>
      </c>
      <c r="QI21">
        <v>2.7</v>
      </c>
      <c r="QJ21">
        <v>2.8</v>
      </c>
      <c r="QK21">
        <v>2</v>
      </c>
      <c r="QL21">
        <v>2.2000000000000002</v>
      </c>
      <c r="QM21">
        <v>2.2999999999999998</v>
      </c>
      <c r="QN21">
        <v>2.2999999999999998</v>
      </c>
      <c r="QO21">
        <v>2.2999999999999998</v>
      </c>
      <c r="QP21">
        <v>2.5</v>
      </c>
      <c r="QQ21">
        <v>2.7</v>
      </c>
      <c r="QR21">
        <v>2.5</v>
      </c>
      <c r="QS21">
        <v>2.5</v>
      </c>
      <c r="QT21">
        <v>2.7</v>
      </c>
      <c r="QU21">
        <v>2.6</v>
      </c>
      <c r="QV21">
        <v>2.4</v>
      </c>
      <c r="QW21">
        <v>2.6</v>
      </c>
      <c r="QX21">
        <v>2.5</v>
      </c>
      <c r="QY21">
        <v>5.5</v>
      </c>
      <c r="QZ21">
        <v>5.2</v>
      </c>
      <c r="RA21">
        <v>4.4000000000000004</v>
      </c>
      <c r="RB21">
        <v>5.4</v>
      </c>
      <c r="RC21">
        <v>5.3</v>
      </c>
      <c r="RD21">
        <v>5.5</v>
      </c>
      <c r="RE21">
        <v>5.6</v>
      </c>
      <c r="RF21">
        <v>5.4</v>
      </c>
      <c r="RG21">
        <v>5.4</v>
      </c>
      <c r="RH21">
        <v>4.9000000000000004</v>
      </c>
      <c r="RI21">
        <v>4.9000000000000004</v>
      </c>
      <c r="RJ21">
        <v>4.8</v>
      </c>
      <c r="RK21">
        <v>4.7</v>
      </c>
      <c r="RL21">
        <v>4.0999999999999996</v>
      </c>
      <c r="RM21">
        <v>4</v>
      </c>
      <c r="RN21">
        <v>3.4</v>
      </c>
      <c r="RO21">
        <v>3.6</v>
      </c>
      <c r="RP21">
        <v>2.8</v>
      </c>
      <c r="RQ21">
        <v>3.1</v>
      </c>
      <c r="RR21">
        <v>3.2</v>
      </c>
      <c r="RS21">
        <v>3.2</v>
      </c>
      <c r="RT21">
        <v>3.2</v>
      </c>
      <c r="RU21">
        <v>3.3</v>
      </c>
      <c r="RV21">
        <v>3.5</v>
      </c>
      <c r="RW21">
        <v>3.3</v>
      </c>
      <c r="RX21">
        <v>3.3</v>
      </c>
      <c r="RY21">
        <v>3.5</v>
      </c>
      <c r="RZ21">
        <v>3.4</v>
      </c>
      <c r="SA21">
        <v>3.1</v>
      </c>
      <c r="SB21">
        <v>3.4</v>
      </c>
      <c r="SC21">
        <v>3.3</v>
      </c>
      <c r="SD21">
        <v>6.2</v>
      </c>
      <c r="SE21">
        <v>5.8</v>
      </c>
      <c r="SF21">
        <v>4.3</v>
      </c>
      <c r="SG21">
        <v>6</v>
      </c>
      <c r="SH21">
        <v>6</v>
      </c>
      <c r="SI21">
        <v>6.2</v>
      </c>
      <c r="SJ21">
        <v>6.3</v>
      </c>
      <c r="SK21">
        <v>6</v>
      </c>
      <c r="SL21">
        <v>6.1</v>
      </c>
      <c r="SM21">
        <v>5.5</v>
      </c>
      <c r="SN21">
        <v>5.5</v>
      </c>
      <c r="SO21">
        <v>5.4</v>
      </c>
      <c r="SP21">
        <v>5.3</v>
      </c>
      <c r="SQ21">
        <v>4.8</v>
      </c>
      <c r="SR21">
        <v>4.7</v>
      </c>
      <c r="SS21">
        <v>4.0999999999999996</v>
      </c>
      <c r="ST21">
        <v>4.3</v>
      </c>
      <c r="SU21">
        <v>3.5</v>
      </c>
      <c r="SV21">
        <v>3.8</v>
      </c>
      <c r="SW21">
        <v>3.9</v>
      </c>
      <c r="SX21">
        <v>3.9</v>
      </c>
      <c r="SY21">
        <v>3.9</v>
      </c>
      <c r="SZ21">
        <v>4.0999999999999996</v>
      </c>
      <c r="TA21">
        <v>4.2</v>
      </c>
      <c r="TB21">
        <v>4.0999999999999996</v>
      </c>
      <c r="TC21">
        <v>4.0999999999999996</v>
      </c>
      <c r="TD21">
        <v>4.2</v>
      </c>
      <c r="TE21">
        <v>4.2</v>
      </c>
      <c r="TF21">
        <v>3.9</v>
      </c>
      <c r="TG21">
        <v>4.0999999999999996</v>
      </c>
      <c r="TH21">
        <v>4.0999999999999996</v>
      </c>
      <c r="TI21">
        <v>6.8</v>
      </c>
      <c r="TJ21">
        <v>6.4</v>
      </c>
      <c r="TK21">
        <v>4.2</v>
      </c>
      <c r="TL21">
        <v>6.8</v>
      </c>
      <c r="TM21">
        <v>6.7</v>
      </c>
      <c r="TN21">
        <v>6.9</v>
      </c>
      <c r="TO21">
        <v>7</v>
      </c>
      <c r="TP21">
        <v>6.7</v>
      </c>
      <c r="TQ21">
        <v>6.8</v>
      </c>
      <c r="TR21">
        <v>6.1</v>
      </c>
      <c r="TS21">
        <v>6.1</v>
      </c>
      <c r="TT21">
        <v>6.1</v>
      </c>
      <c r="TU21">
        <v>5.9</v>
      </c>
      <c r="TV21">
        <v>5.4</v>
      </c>
      <c r="TW21">
        <v>5.3</v>
      </c>
      <c r="TX21">
        <v>4.8</v>
      </c>
      <c r="TY21">
        <v>5</v>
      </c>
      <c r="TZ21">
        <v>4.3</v>
      </c>
      <c r="UA21">
        <v>4.5</v>
      </c>
      <c r="UB21">
        <v>4.7</v>
      </c>
      <c r="UC21">
        <v>4.8</v>
      </c>
      <c r="UD21">
        <v>4.7</v>
      </c>
      <c r="UE21">
        <v>4.8</v>
      </c>
      <c r="UF21">
        <v>4.9000000000000004</v>
      </c>
      <c r="UG21">
        <v>4.8</v>
      </c>
      <c r="UH21">
        <v>4.8</v>
      </c>
      <c r="UI21">
        <v>5</v>
      </c>
      <c r="UJ21">
        <v>5</v>
      </c>
      <c r="UK21">
        <v>4.5999999999999996</v>
      </c>
      <c r="UL21">
        <v>4.8</v>
      </c>
      <c r="UM21">
        <v>4.9000000000000004</v>
      </c>
      <c r="UN21">
        <v>7.4</v>
      </c>
      <c r="UO21">
        <v>6.9</v>
      </c>
      <c r="UP21">
        <v>3.7</v>
      </c>
      <c r="UQ21">
        <v>7.5</v>
      </c>
      <c r="UR21">
        <v>7.4</v>
      </c>
      <c r="US21">
        <v>7.6</v>
      </c>
      <c r="UT21">
        <v>7.7</v>
      </c>
      <c r="UU21">
        <v>7.5</v>
      </c>
      <c r="UV21">
        <v>7.4</v>
      </c>
      <c r="UW21">
        <v>6.7</v>
      </c>
      <c r="UX21">
        <v>6.8</v>
      </c>
      <c r="UY21">
        <v>6.7</v>
      </c>
      <c r="UZ21">
        <v>6.5</v>
      </c>
      <c r="VA21">
        <v>6</v>
      </c>
      <c r="VB21">
        <v>5.9</v>
      </c>
      <c r="VC21">
        <v>5.5</v>
      </c>
      <c r="VD21">
        <v>5.8</v>
      </c>
      <c r="VE21">
        <v>5</v>
      </c>
      <c r="VF21">
        <v>5.3</v>
      </c>
      <c r="VG21">
        <v>5.4</v>
      </c>
      <c r="VH21">
        <v>5.5</v>
      </c>
      <c r="VI21">
        <v>5.5</v>
      </c>
      <c r="VJ21">
        <v>5.6</v>
      </c>
      <c r="VK21">
        <v>5.7</v>
      </c>
      <c r="VL21">
        <v>5.5</v>
      </c>
      <c r="VM21">
        <v>5.5</v>
      </c>
      <c r="VN21">
        <v>5.7</v>
      </c>
      <c r="VO21">
        <v>5.7</v>
      </c>
      <c r="VP21">
        <v>5.3</v>
      </c>
      <c r="VQ21">
        <v>5.5</v>
      </c>
      <c r="VR21">
        <v>5.7</v>
      </c>
      <c r="VS21">
        <v>7.8</v>
      </c>
      <c r="VT21">
        <v>7.1</v>
      </c>
      <c r="VU21">
        <v>2</v>
      </c>
      <c r="VV21">
        <v>8.1999999999999993</v>
      </c>
      <c r="VW21">
        <v>8.1999999999999993</v>
      </c>
      <c r="VX21">
        <v>8.4</v>
      </c>
      <c r="VY21">
        <v>8.5</v>
      </c>
      <c r="VZ21">
        <v>8.3000000000000007</v>
      </c>
      <c r="WA21">
        <v>8.3000000000000007</v>
      </c>
      <c r="WB21">
        <v>7.4</v>
      </c>
      <c r="WC21">
        <v>7.4</v>
      </c>
      <c r="WD21">
        <v>7.3</v>
      </c>
      <c r="WE21">
        <v>7.1</v>
      </c>
      <c r="WF21">
        <v>6.7</v>
      </c>
      <c r="WG21">
        <v>6.5</v>
      </c>
      <c r="WH21">
        <v>6.2</v>
      </c>
      <c r="WI21">
        <v>6.5</v>
      </c>
      <c r="WJ21">
        <v>5.9</v>
      </c>
      <c r="WK21">
        <v>6.1</v>
      </c>
      <c r="WL21">
        <v>6.2</v>
      </c>
      <c r="WM21">
        <v>6.3</v>
      </c>
      <c r="WN21">
        <v>6.3</v>
      </c>
      <c r="WO21">
        <v>6.4</v>
      </c>
      <c r="WP21">
        <v>6.5</v>
      </c>
      <c r="WQ21">
        <v>6.1</v>
      </c>
      <c r="WR21">
        <v>6.2</v>
      </c>
      <c r="WS21">
        <v>6.4</v>
      </c>
      <c r="WT21">
        <v>6.3</v>
      </c>
      <c r="WU21">
        <v>6.1</v>
      </c>
      <c r="WV21">
        <v>6</v>
      </c>
      <c r="WW21">
        <v>6.3</v>
      </c>
      <c r="WX21">
        <v>5.7</v>
      </c>
      <c r="WY21">
        <v>4.3</v>
      </c>
      <c r="WZ21">
        <v>1.5</v>
      </c>
      <c r="XA21">
        <v>7.8</v>
      </c>
      <c r="XB21">
        <v>8.1999999999999993</v>
      </c>
      <c r="XC21">
        <v>8.4</v>
      </c>
      <c r="XD21">
        <v>8.3000000000000007</v>
      </c>
      <c r="XE21">
        <v>8.1999999999999993</v>
      </c>
      <c r="XF21">
        <v>8.3000000000000007</v>
      </c>
      <c r="XG21">
        <v>7.6</v>
      </c>
      <c r="XH21">
        <v>7.5</v>
      </c>
      <c r="XI21">
        <v>7.3</v>
      </c>
      <c r="XJ21">
        <v>7.1</v>
      </c>
      <c r="XK21">
        <v>6.6</v>
      </c>
      <c r="XL21">
        <v>6.4</v>
      </c>
      <c r="XM21">
        <v>6.2</v>
      </c>
      <c r="XN21">
        <v>6.7</v>
      </c>
      <c r="XO21">
        <v>6.3</v>
      </c>
      <c r="XP21">
        <v>6.2</v>
      </c>
      <c r="XQ21">
        <v>6.4</v>
      </c>
      <c r="XR21">
        <v>6.4</v>
      </c>
      <c r="XS21">
        <v>6.3</v>
      </c>
      <c r="XT21">
        <v>6.2</v>
      </c>
      <c r="XU21">
        <v>6.4</v>
      </c>
      <c r="XV21">
        <v>5.9</v>
      </c>
      <c r="XW21">
        <v>5.6</v>
      </c>
      <c r="XX21">
        <v>6</v>
      </c>
      <c r="XY21">
        <v>5.9</v>
      </c>
      <c r="XZ21">
        <v>5.9</v>
      </c>
      <c r="YA21">
        <v>5.3</v>
      </c>
      <c r="YB21">
        <v>5.8</v>
      </c>
    </row>
    <row r="22" spans="1:652" x14ac:dyDescent="0.2">
      <c r="A22" t="s">
        <v>42</v>
      </c>
      <c r="B22">
        <v>0.9</v>
      </c>
      <c r="C22">
        <v>0.2</v>
      </c>
      <c r="D22">
        <v>0.2</v>
      </c>
      <c r="E22">
        <v>0.4</v>
      </c>
      <c r="F22">
        <v>0.4</v>
      </c>
      <c r="G22">
        <v>0.6</v>
      </c>
      <c r="H22">
        <v>0.7</v>
      </c>
      <c r="I22">
        <v>0.7</v>
      </c>
      <c r="J22">
        <v>0.8</v>
      </c>
      <c r="K22">
        <v>1.2</v>
      </c>
      <c r="L22">
        <v>0.9</v>
      </c>
      <c r="M22">
        <v>0.9</v>
      </c>
      <c r="N22">
        <v>0.9</v>
      </c>
      <c r="O22">
        <v>0.5</v>
      </c>
      <c r="P22">
        <v>0.2</v>
      </c>
      <c r="Q22">
        <v>0</v>
      </c>
      <c r="R22">
        <v>0</v>
      </c>
      <c r="S22">
        <v>0</v>
      </c>
      <c r="T22">
        <v>0</v>
      </c>
      <c r="U22">
        <v>0</v>
      </c>
      <c r="V22">
        <v>0</v>
      </c>
      <c r="W22">
        <v>0</v>
      </c>
      <c r="X22">
        <v>0</v>
      </c>
      <c r="Y22">
        <v>0</v>
      </c>
      <c r="Z22">
        <v>0</v>
      </c>
      <c r="AA22">
        <v>0</v>
      </c>
      <c r="AB22">
        <v>0</v>
      </c>
      <c r="AC22">
        <v>0</v>
      </c>
      <c r="AD22">
        <v>0.1</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0.3</v>
      </c>
      <c r="HU22">
        <v>0.2</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1.8</v>
      </c>
      <c r="IQ22">
        <v>1.1000000000000001</v>
      </c>
      <c r="IR22">
        <v>1.2</v>
      </c>
      <c r="IS22">
        <v>1</v>
      </c>
      <c r="IT22">
        <v>1.2</v>
      </c>
      <c r="IU22">
        <v>1.6</v>
      </c>
      <c r="IV22">
        <v>1.7</v>
      </c>
      <c r="IW22">
        <v>1.9</v>
      </c>
      <c r="IX22">
        <v>2.1</v>
      </c>
      <c r="IY22">
        <v>2.5</v>
      </c>
      <c r="IZ22">
        <v>2.2999999999999998</v>
      </c>
      <c r="JA22">
        <v>2.2000000000000002</v>
      </c>
      <c r="JB22">
        <v>2.2000000000000002</v>
      </c>
      <c r="JC22">
        <v>1.7</v>
      </c>
      <c r="JD22">
        <v>1.2</v>
      </c>
      <c r="JE22">
        <v>0.3</v>
      </c>
      <c r="JF22">
        <v>0.4</v>
      </c>
      <c r="JG22">
        <v>0</v>
      </c>
      <c r="JH22">
        <v>0</v>
      </c>
      <c r="JI22">
        <v>0</v>
      </c>
      <c r="JJ22">
        <v>0</v>
      </c>
      <c r="JK22">
        <v>0</v>
      </c>
      <c r="JL22">
        <v>0</v>
      </c>
      <c r="JM22">
        <v>0</v>
      </c>
      <c r="JN22">
        <v>0</v>
      </c>
      <c r="JO22">
        <v>0</v>
      </c>
      <c r="JP22">
        <v>0</v>
      </c>
      <c r="JQ22">
        <v>0</v>
      </c>
      <c r="JR22">
        <v>0.4</v>
      </c>
      <c r="JS22">
        <v>0.4</v>
      </c>
      <c r="JT22">
        <v>0</v>
      </c>
      <c r="JU22">
        <v>3.9</v>
      </c>
      <c r="JV22">
        <v>3.4</v>
      </c>
      <c r="JW22">
        <v>3.5</v>
      </c>
      <c r="JX22">
        <v>3.4</v>
      </c>
      <c r="JY22">
        <v>3.5</v>
      </c>
      <c r="JZ22">
        <v>3.8</v>
      </c>
      <c r="KA22">
        <v>3.8</v>
      </c>
      <c r="KB22">
        <v>3.8</v>
      </c>
      <c r="KC22">
        <v>3.9</v>
      </c>
      <c r="KD22">
        <v>3.9</v>
      </c>
      <c r="KE22">
        <v>3.8</v>
      </c>
      <c r="KF22">
        <v>3.7</v>
      </c>
      <c r="KG22">
        <v>3.7</v>
      </c>
      <c r="KH22">
        <v>3.1</v>
      </c>
      <c r="KI22">
        <v>2.7</v>
      </c>
      <c r="KJ22">
        <v>1.7</v>
      </c>
      <c r="KK22">
        <v>1.8</v>
      </c>
      <c r="KL22">
        <v>0.6</v>
      </c>
      <c r="KM22">
        <v>0.7</v>
      </c>
      <c r="KN22">
        <v>0.9</v>
      </c>
      <c r="KO22">
        <v>0.9</v>
      </c>
      <c r="KP22">
        <v>0.9</v>
      </c>
      <c r="KQ22">
        <v>1.1000000000000001</v>
      </c>
      <c r="KR22">
        <v>1.4</v>
      </c>
      <c r="KS22">
        <v>1.3</v>
      </c>
      <c r="KT22">
        <v>1.3</v>
      </c>
      <c r="KU22">
        <v>1.4</v>
      </c>
      <c r="KV22">
        <v>1.4</v>
      </c>
      <c r="KW22">
        <v>1.6</v>
      </c>
      <c r="KX22">
        <v>1.7</v>
      </c>
      <c r="KY22">
        <v>1.2</v>
      </c>
      <c r="KZ22">
        <v>5.2</v>
      </c>
      <c r="LA22">
        <v>4.9000000000000004</v>
      </c>
      <c r="LB22">
        <v>5</v>
      </c>
      <c r="LC22">
        <v>4.9000000000000004</v>
      </c>
      <c r="LD22">
        <v>5</v>
      </c>
      <c r="LE22">
        <v>5.2</v>
      </c>
      <c r="LF22">
        <v>5.2</v>
      </c>
      <c r="LG22">
        <v>5.0999999999999996</v>
      </c>
      <c r="LH22">
        <v>5.0999999999999996</v>
      </c>
      <c r="LI22">
        <v>5</v>
      </c>
      <c r="LJ22">
        <v>4.9000000000000004</v>
      </c>
      <c r="LK22">
        <v>4.8</v>
      </c>
      <c r="LL22">
        <v>4.8</v>
      </c>
      <c r="LM22">
        <v>4.0999999999999996</v>
      </c>
      <c r="LN22">
        <v>3.8</v>
      </c>
      <c r="LO22">
        <v>2.9</v>
      </c>
      <c r="LP22">
        <v>3</v>
      </c>
      <c r="LQ22">
        <v>1.9</v>
      </c>
      <c r="LR22">
        <v>2.1</v>
      </c>
      <c r="LS22">
        <v>2.2000000000000002</v>
      </c>
      <c r="LT22">
        <v>2.2000000000000002</v>
      </c>
      <c r="LU22">
        <v>2.2000000000000002</v>
      </c>
      <c r="LV22">
        <v>2.4</v>
      </c>
      <c r="LW22">
        <v>2.7</v>
      </c>
      <c r="LX22">
        <v>2.5</v>
      </c>
      <c r="LY22">
        <v>2.5</v>
      </c>
      <c r="LZ22">
        <v>2.7</v>
      </c>
      <c r="MA22">
        <v>2.6</v>
      </c>
      <c r="MB22">
        <v>2.7</v>
      </c>
      <c r="MC22">
        <v>2.8</v>
      </c>
      <c r="MD22">
        <v>2.4</v>
      </c>
      <c r="ME22">
        <v>6.3</v>
      </c>
      <c r="MF22">
        <v>6</v>
      </c>
      <c r="MG22">
        <v>6.1</v>
      </c>
      <c r="MH22">
        <v>6.1</v>
      </c>
      <c r="MI22">
        <v>6.1</v>
      </c>
      <c r="MJ22">
        <v>6.3</v>
      </c>
      <c r="MK22">
        <v>6.3</v>
      </c>
      <c r="ML22">
        <v>6.1</v>
      </c>
      <c r="MM22">
        <v>6.1</v>
      </c>
      <c r="MN22">
        <v>5.9</v>
      </c>
      <c r="MO22">
        <v>5.8</v>
      </c>
      <c r="MP22">
        <v>5.8</v>
      </c>
      <c r="MQ22">
        <v>5.7</v>
      </c>
      <c r="MR22">
        <v>5</v>
      </c>
      <c r="MS22">
        <v>4.8</v>
      </c>
      <c r="MT22">
        <v>3.9</v>
      </c>
      <c r="MU22">
        <v>4</v>
      </c>
      <c r="MV22">
        <v>3</v>
      </c>
      <c r="MW22">
        <v>3.2</v>
      </c>
      <c r="MX22">
        <v>3.4</v>
      </c>
      <c r="MY22">
        <v>3.4</v>
      </c>
      <c r="MZ22">
        <v>3.4</v>
      </c>
      <c r="NA22">
        <v>3.5</v>
      </c>
      <c r="NB22">
        <v>3.8</v>
      </c>
      <c r="NC22">
        <v>3.6</v>
      </c>
      <c r="ND22">
        <v>3.6</v>
      </c>
      <c r="NE22">
        <v>3.8</v>
      </c>
      <c r="NF22">
        <v>3.7</v>
      </c>
      <c r="NG22">
        <v>3.7</v>
      </c>
      <c r="NH22">
        <v>3.8</v>
      </c>
      <c r="NI22">
        <v>3.5</v>
      </c>
      <c r="NJ22">
        <v>7.2</v>
      </c>
      <c r="NK22">
        <v>6.9</v>
      </c>
      <c r="NL22">
        <v>7</v>
      </c>
      <c r="NM22">
        <v>7</v>
      </c>
      <c r="NN22">
        <v>7</v>
      </c>
      <c r="NO22">
        <v>7.2</v>
      </c>
      <c r="NP22">
        <v>7.2</v>
      </c>
      <c r="NQ22">
        <v>7.1</v>
      </c>
      <c r="NR22">
        <v>7.1</v>
      </c>
      <c r="NS22">
        <v>6.7</v>
      </c>
      <c r="NT22">
        <v>6.6</v>
      </c>
      <c r="NU22">
        <v>6.6</v>
      </c>
      <c r="NV22">
        <v>6.5</v>
      </c>
      <c r="NW22">
        <v>5.8</v>
      </c>
      <c r="NX22">
        <v>5.7</v>
      </c>
      <c r="NY22">
        <v>4.8</v>
      </c>
      <c r="NZ22">
        <v>4.9000000000000004</v>
      </c>
      <c r="OA22">
        <v>4</v>
      </c>
      <c r="OB22">
        <v>4.2</v>
      </c>
      <c r="OC22">
        <v>4.4000000000000004</v>
      </c>
      <c r="OD22">
        <v>4.4000000000000004</v>
      </c>
      <c r="OE22">
        <v>4.4000000000000004</v>
      </c>
      <c r="OF22">
        <v>4.5</v>
      </c>
      <c r="OG22">
        <v>4.7</v>
      </c>
      <c r="OH22">
        <v>4.5999999999999996</v>
      </c>
      <c r="OI22">
        <v>4.5999999999999996</v>
      </c>
      <c r="OJ22">
        <v>4.7</v>
      </c>
      <c r="OK22">
        <v>4.7</v>
      </c>
      <c r="OL22">
        <v>4.5999999999999996</v>
      </c>
      <c r="OM22">
        <v>4.7</v>
      </c>
      <c r="ON22">
        <v>4.5</v>
      </c>
      <c r="OO22">
        <v>8</v>
      </c>
      <c r="OP22">
        <v>7.7</v>
      </c>
      <c r="OQ22">
        <v>7.8</v>
      </c>
      <c r="OR22">
        <v>7.8</v>
      </c>
      <c r="OS22">
        <v>7.8</v>
      </c>
      <c r="OT22">
        <v>8</v>
      </c>
      <c r="OU22">
        <v>8</v>
      </c>
      <c r="OV22">
        <v>7.9</v>
      </c>
      <c r="OW22">
        <v>7.9</v>
      </c>
      <c r="OX22">
        <v>7.4</v>
      </c>
      <c r="OY22">
        <v>7.3</v>
      </c>
      <c r="OZ22">
        <v>7.3</v>
      </c>
      <c r="PA22">
        <v>7.2</v>
      </c>
      <c r="PB22">
        <v>6.5</v>
      </c>
      <c r="PC22">
        <v>6.4</v>
      </c>
      <c r="PD22">
        <v>5.6</v>
      </c>
      <c r="PE22">
        <v>5.7</v>
      </c>
      <c r="PF22">
        <v>4.8</v>
      </c>
      <c r="PG22">
        <v>5.0999999999999996</v>
      </c>
      <c r="PH22">
        <v>5.3</v>
      </c>
      <c r="PI22">
        <v>5.3</v>
      </c>
      <c r="PJ22">
        <v>5.3</v>
      </c>
      <c r="PK22">
        <v>5.3</v>
      </c>
      <c r="PL22">
        <v>5.6</v>
      </c>
      <c r="PM22">
        <v>5.5</v>
      </c>
      <c r="PN22">
        <v>5.5</v>
      </c>
      <c r="PO22">
        <v>5.6</v>
      </c>
      <c r="PP22">
        <v>5.6</v>
      </c>
      <c r="PQ22">
        <v>5.4</v>
      </c>
      <c r="PR22">
        <v>5.5</v>
      </c>
      <c r="PS22">
        <v>5.4</v>
      </c>
      <c r="PT22">
        <v>8.6999999999999993</v>
      </c>
      <c r="PU22">
        <v>8.4</v>
      </c>
      <c r="PV22">
        <v>8.5</v>
      </c>
      <c r="PW22">
        <v>8.5</v>
      </c>
      <c r="PX22">
        <v>8.6</v>
      </c>
      <c r="PY22">
        <v>8.6999999999999993</v>
      </c>
      <c r="PZ22">
        <v>8.8000000000000007</v>
      </c>
      <c r="QA22">
        <v>8.6</v>
      </c>
      <c r="QB22">
        <v>8.6</v>
      </c>
      <c r="QC22">
        <v>8</v>
      </c>
      <c r="QD22">
        <v>7.9</v>
      </c>
      <c r="QE22">
        <v>7.9</v>
      </c>
      <c r="QF22">
        <v>7.8</v>
      </c>
      <c r="QG22">
        <v>7.2</v>
      </c>
      <c r="QH22">
        <v>7.2</v>
      </c>
      <c r="QI22">
        <v>6.4</v>
      </c>
      <c r="QJ22">
        <v>6.5</v>
      </c>
      <c r="QK22">
        <v>5.6</v>
      </c>
      <c r="QL22">
        <v>5.9</v>
      </c>
      <c r="QM22">
        <v>6.1</v>
      </c>
      <c r="QN22">
        <v>6.1</v>
      </c>
      <c r="QO22">
        <v>6.1</v>
      </c>
      <c r="QP22">
        <v>6</v>
      </c>
      <c r="QQ22">
        <v>6.3</v>
      </c>
      <c r="QR22">
        <v>6.2</v>
      </c>
      <c r="QS22">
        <v>6.2</v>
      </c>
      <c r="QT22">
        <v>6.3</v>
      </c>
      <c r="QU22">
        <v>6.3</v>
      </c>
      <c r="QV22">
        <v>6.1</v>
      </c>
      <c r="QW22">
        <v>6.2</v>
      </c>
      <c r="QX22">
        <v>6.2</v>
      </c>
      <c r="QY22">
        <v>9.4</v>
      </c>
      <c r="QZ22">
        <v>9.1</v>
      </c>
      <c r="RA22">
        <v>9.1</v>
      </c>
      <c r="RB22">
        <v>9.1999999999999993</v>
      </c>
      <c r="RC22">
        <v>9.1999999999999993</v>
      </c>
      <c r="RD22">
        <v>9.4</v>
      </c>
      <c r="RE22">
        <v>9.4</v>
      </c>
      <c r="RF22">
        <v>9.3000000000000007</v>
      </c>
      <c r="RG22">
        <v>9.3000000000000007</v>
      </c>
      <c r="RH22">
        <v>8.5</v>
      </c>
      <c r="RI22">
        <v>8.5</v>
      </c>
      <c r="RJ22">
        <v>8.5</v>
      </c>
      <c r="RK22">
        <v>8.4</v>
      </c>
      <c r="RL22">
        <v>7.8</v>
      </c>
      <c r="RM22">
        <v>7.8</v>
      </c>
      <c r="RN22">
        <v>7.1</v>
      </c>
      <c r="RO22">
        <v>7.2</v>
      </c>
      <c r="RP22">
        <v>6.4</v>
      </c>
      <c r="RQ22">
        <v>6.7</v>
      </c>
      <c r="RR22">
        <v>6.8</v>
      </c>
      <c r="RS22">
        <v>6.9</v>
      </c>
      <c r="RT22">
        <v>6.9</v>
      </c>
      <c r="RU22">
        <v>6.7</v>
      </c>
      <c r="RV22">
        <v>7</v>
      </c>
      <c r="RW22">
        <v>6.9</v>
      </c>
      <c r="RX22">
        <v>6.9</v>
      </c>
      <c r="RY22">
        <v>7.1</v>
      </c>
      <c r="RZ22">
        <v>7</v>
      </c>
      <c r="SA22">
        <v>6.7</v>
      </c>
      <c r="SB22">
        <v>6.9</v>
      </c>
      <c r="SC22">
        <v>6.9</v>
      </c>
      <c r="SD22">
        <v>10</v>
      </c>
      <c r="SE22">
        <v>9.6999999999999993</v>
      </c>
      <c r="SF22">
        <v>9.6</v>
      </c>
      <c r="SG22">
        <v>9.8000000000000007</v>
      </c>
      <c r="SH22">
        <v>9.8000000000000007</v>
      </c>
      <c r="SI22">
        <v>10</v>
      </c>
      <c r="SJ22">
        <v>10</v>
      </c>
      <c r="SK22">
        <v>9.9</v>
      </c>
      <c r="SL22">
        <v>9.8000000000000007</v>
      </c>
      <c r="SM22">
        <v>9</v>
      </c>
      <c r="SN22">
        <v>9</v>
      </c>
      <c r="SO22">
        <v>9.1</v>
      </c>
      <c r="SP22">
        <v>8.9</v>
      </c>
      <c r="SQ22">
        <v>8.4</v>
      </c>
      <c r="SR22">
        <v>8.4</v>
      </c>
      <c r="SS22">
        <v>7.7</v>
      </c>
      <c r="ST22">
        <v>7.9</v>
      </c>
      <c r="SU22">
        <v>7.1</v>
      </c>
      <c r="SV22">
        <v>7.4</v>
      </c>
      <c r="SW22">
        <v>7.6</v>
      </c>
      <c r="SX22">
        <v>7.6</v>
      </c>
      <c r="SY22">
        <v>7.6</v>
      </c>
      <c r="SZ22">
        <v>7.5</v>
      </c>
      <c r="TA22">
        <v>7.7</v>
      </c>
      <c r="TB22">
        <v>7.5</v>
      </c>
      <c r="TC22">
        <v>7.6</v>
      </c>
      <c r="TD22">
        <v>7.7</v>
      </c>
      <c r="TE22">
        <v>7.6</v>
      </c>
      <c r="TF22">
        <v>7.4</v>
      </c>
      <c r="TG22">
        <v>7.5</v>
      </c>
      <c r="TH22">
        <v>7.5</v>
      </c>
      <c r="TI22">
        <v>10.6</v>
      </c>
      <c r="TJ22">
        <v>10.3</v>
      </c>
      <c r="TK22">
        <v>10.1</v>
      </c>
      <c r="TL22">
        <v>10.4</v>
      </c>
      <c r="TM22">
        <v>10.4</v>
      </c>
      <c r="TN22">
        <v>10.6</v>
      </c>
      <c r="TO22">
        <v>10.6</v>
      </c>
      <c r="TP22">
        <v>10.5</v>
      </c>
      <c r="TQ22">
        <v>10.4</v>
      </c>
      <c r="TR22">
        <v>9.5</v>
      </c>
      <c r="TS22">
        <v>9.6</v>
      </c>
      <c r="TT22">
        <v>9.6</v>
      </c>
      <c r="TU22">
        <v>9.4</v>
      </c>
      <c r="TV22">
        <v>8.9</v>
      </c>
      <c r="TW22">
        <v>9</v>
      </c>
      <c r="TX22">
        <v>8.4</v>
      </c>
      <c r="TY22">
        <v>8.6</v>
      </c>
      <c r="TZ22">
        <v>7.8</v>
      </c>
      <c r="UA22">
        <v>8.1999999999999993</v>
      </c>
      <c r="UB22">
        <v>8.3000000000000007</v>
      </c>
      <c r="UC22">
        <v>8.3000000000000007</v>
      </c>
      <c r="UD22">
        <v>8.3000000000000007</v>
      </c>
      <c r="UE22">
        <v>8.3000000000000007</v>
      </c>
      <c r="UF22">
        <v>8.4</v>
      </c>
      <c r="UG22">
        <v>8.1999999999999993</v>
      </c>
      <c r="UH22">
        <v>8.1999999999999993</v>
      </c>
      <c r="UI22">
        <v>8.3000000000000007</v>
      </c>
      <c r="UJ22">
        <v>8.3000000000000007</v>
      </c>
      <c r="UK22">
        <v>8</v>
      </c>
      <c r="UL22">
        <v>8.1999999999999993</v>
      </c>
      <c r="UM22">
        <v>8.1999999999999993</v>
      </c>
      <c r="UN22">
        <v>11.2</v>
      </c>
      <c r="UO22">
        <v>10.9</v>
      </c>
      <c r="UP22">
        <v>10.4</v>
      </c>
      <c r="UQ22">
        <v>11.1</v>
      </c>
      <c r="UR22">
        <v>11.1</v>
      </c>
      <c r="US22">
        <v>11.3</v>
      </c>
      <c r="UT22">
        <v>11.4</v>
      </c>
      <c r="UU22">
        <v>11.2</v>
      </c>
      <c r="UV22">
        <v>11.1</v>
      </c>
      <c r="UW22">
        <v>10.1</v>
      </c>
      <c r="UX22">
        <v>10.199999999999999</v>
      </c>
      <c r="UY22">
        <v>10.199999999999999</v>
      </c>
      <c r="UZ22">
        <v>10</v>
      </c>
      <c r="VA22">
        <v>9.6</v>
      </c>
      <c r="VB22">
        <v>9.6</v>
      </c>
      <c r="VC22">
        <v>9.1999999999999993</v>
      </c>
      <c r="VD22">
        <v>9.4</v>
      </c>
      <c r="VE22">
        <v>8.6</v>
      </c>
      <c r="VF22">
        <v>8.9</v>
      </c>
      <c r="VG22">
        <v>9.1</v>
      </c>
      <c r="VH22">
        <v>9.1</v>
      </c>
      <c r="VI22">
        <v>9.1</v>
      </c>
      <c r="VJ22">
        <v>9.1999999999999993</v>
      </c>
      <c r="VK22">
        <v>9.3000000000000007</v>
      </c>
      <c r="VL22">
        <v>8.9</v>
      </c>
      <c r="VM22">
        <v>8.9</v>
      </c>
      <c r="VN22">
        <v>9</v>
      </c>
      <c r="VO22">
        <v>9</v>
      </c>
      <c r="VP22">
        <v>8.6999999999999993</v>
      </c>
      <c r="VQ22">
        <v>8.9</v>
      </c>
      <c r="VR22">
        <v>9</v>
      </c>
      <c r="VS22">
        <v>11.9</v>
      </c>
      <c r="VT22">
        <v>11.5</v>
      </c>
      <c r="VU22">
        <v>9.6</v>
      </c>
      <c r="VV22">
        <v>11.9</v>
      </c>
      <c r="VW22">
        <v>11.9</v>
      </c>
      <c r="VX22">
        <v>12.2</v>
      </c>
      <c r="VY22">
        <v>12.3</v>
      </c>
      <c r="VZ22">
        <v>12.2</v>
      </c>
      <c r="WA22">
        <v>12</v>
      </c>
      <c r="WB22">
        <v>10.9</v>
      </c>
      <c r="WC22">
        <v>10.9</v>
      </c>
      <c r="WD22">
        <v>11</v>
      </c>
      <c r="WE22">
        <v>10.8</v>
      </c>
      <c r="WF22">
        <v>10.4</v>
      </c>
      <c r="WG22">
        <v>10.4</v>
      </c>
      <c r="WH22">
        <v>10</v>
      </c>
      <c r="WI22">
        <v>10.3</v>
      </c>
      <c r="WJ22">
        <v>9.6</v>
      </c>
      <c r="WK22">
        <v>9.9</v>
      </c>
      <c r="WL22">
        <v>10.1</v>
      </c>
      <c r="WM22">
        <v>10.1</v>
      </c>
      <c r="WN22">
        <v>10.1</v>
      </c>
      <c r="WO22">
        <v>10.1</v>
      </c>
      <c r="WP22">
        <v>10.3</v>
      </c>
      <c r="WQ22">
        <v>9.8000000000000007</v>
      </c>
      <c r="WR22">
        <v>9.8000000000000007</v>
      </c>
      <c r="WS22">
        <v>10</v>
      </c>
      <c r="WT22">
        <v>9.9</v>
      </c>
      <c r="WU22">
        <v>9.6</v>
      </c>
      <c r="WV22">
        <v>9.8000000000000007</v>
      </c>
      <c r="WW22">
        <v>9.9</v>
      </c>
      <c r="WX22">
        <v>12.9</v>
      </c>
      <c r="WY22">
        <v>12</v>
      </c>
      <c r="WZ22">
        <v>5.4</v>
      </c>
      <c r="XA22">
        <v>13.5</v>
      </c>
      <c r="XB22">
        <v>13.7</v>
      </c>
      <c r="XC22">
        <v>14</v>
      </c>
      <c r="XD22">
        <v>14.3</v>
      </c>
      <c r="XE22">
        <v>14.2</v>
      </c>
      <c r="XF22">
        <v>14</v>
      </c>
      <c r="XG22">
        <v>12.7</v>
      </c>
      <c r="XH22">
        <v>12.7</v>
      </c>
      <c r="XI22">
        <v>12.7</v>
      </c>
      <c r="XJ22">
        <v>12.4</v>
      </c>
      <c r="XK22">
        <v>12</v>
      </c>
      <c r="XL22">
        <v>11.9</v>
      </c>
      <c r="XM22">
        <v>11.7</v>
      </c>
      <c r="XN22">
        <v>12.2</v>
      </c>
      <c r="XO22">
        <v>11.5</v>
      </c>
      <c r="XP22">
        <v>11.6</v>
      </c>
      <c r="XQ22">
        <v>11.8</v>
      </c>
      <c r="XR22">
        <v>11.9</v>
      </c>
      <c r="XS22">
        <v>11.8</v>
      </c>
      <c r="XT22">
        <v>11.8</v>
      </c>
      <c r="XU22">
        <v>12</v>
      </c>
      <c r="XV22">
        <v>11.4</v>
      </c>
      <c r="XW22">
        <v>11.4</v>
      </c>
      <c r="XX22">
        <v>11.6</v>
      </c>
      <c r="XY22">
        <v>11.7</v>
      </c>
      <c r="XZ22">
        <v>11.3</v>
      </c>
      <c r="YA22">
        <v>11.2</v>
      </c>
      <c r="YB22">
        <v>11.7</v>
      </c>
    </row>
    <row r="23" spans="1:652" x14ac:dyDescent="0.2">
      <c r="A23" t="s">
        <v>43</v>
      </c>
      <c r="B23">
        <v>8.1</v>
      </c>
      <c r="C23">
        <v>7.7</v>
      </c>
      <c r="D23">
        <v>7.3</v>
      </c>
      <c r="E23">
        <v>7.9</v>
      </c>
      <c r="F23">
        <v>7.9</v>
      </c>
      <c r="G23">
        <v>8</v>
      </c>
      <c r="H23">
        <v>8.1</v>
      </c>
      <c r="I23">
        <v>7.9</v>
      </c>
      <c r="J23">
        <v>7.9</v>
      </c>
      <c r="K23">
        <v>7.5</v>
      </c>
      <c r="L23">
        <v>7.4</v>
      </c>
      <c r="M23">
        <v>7.4</v>
      </c>
      <c r="N23">
        <v>7.4</v>
      </c>
      <c r="O23">
        <v>6.7</v>
      </c>
      <c r="P23">
        <v>6.7</v>
      </c>
      <c r="Q23">
        <v>6</v>
      </c>
      <c r="R23">
        <v>6.1</v>
      </c>
      <c r="S23">
        <v>5.3</v>
      </c>
      <c r="T23">
        <v>5.5</v>
      </c>
      <c r="U23">
        <v>5.6</v>
      </c>
      <c r="V23">
        <v>5.6</v>
      </c>
      <c r="W23">
        <v>5.6</v>
      </c>
      <c r="X23">
        <v>5.7</v>
      </c>
      <c r="Y23">
        <v>5.9</v>
      </c>
      <c r="Z23">
        <v>5.8</v>
      </c>
      <c r="AA23">
        <v>5.9</v>
      </c>
      <c r="AB23">
        <v>6</v>
      </c>
      <c r="AC23">
        <v>6</v>
      </c>
      <c r="AD23">
        <v>6</v>
      </c>
      <c r="AE23">
        <v>6.1</v>
      </c>
      <c r="AF23">
        <v>5.8</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1.1000000000000001</v>
      </c>
      <c r="FB23">
        <v>0.6</v>
      </c>
      <c r="FC23">
        <v>0.6</v>
      </c>
      <c r="FD23">
        <v>0.5</v>
      </c>
      <c r="FE23">
        <v>0.4</v>
      </c>
      <c r="FF23">
        <v>0.7</v>
      </c>
      <c r="FG23">
        <v>1.1000000000000001</v>
      </c>
      <c r="FH23">
        <v>1.2</v>
      </c>
      <c r="FI23">
        <v>1.3</v>
      </c>
      <c r="FJ23">
        <v>1.8</v>
      </c>
      <c r="FK23">
        <v>1.6</v>
      </c>
      <c r="FL23">
        <v>1.6</v>
      </c>
      <c r="FM23">
        <v>1.6</v>
      </c>
      <c r="FN23">
        <v>1.2</v>
      </c>
      <c r="FO23">
        <v>0.7</v>
      </c>
      <c r="FP23">
        <v>0.2</v>
      </c>
      <c r="FQ23">
        <v>0.4</v>
      </c>
      <c r="FR23">
        <v>0</v>
      </c>
      <c r="FS23">
        <v>0</v>
      </c>
      <c r="FT23">
        <v>0</v>
      </c>
      <c r="FU23">
        <v>0</v>
      </c>
      <c r="FV23">
        <v>0</v>
      </c>
      <c r="FW23">
        <v>0</v>
      </c>
      <c r="FX23">
        <v>0</v>
      </c>
      <c r="FY23">
        <v>0</v>
      </c>
      <c r="FZ23">
        <v>0</v>
      </c>
      <c r="GA23">
        <v>0.1</v>
      </c>
      <c r="GB23">
        <v>0.1</v>
      </c>
      <c r="GC23">
        <v>1.5</v>
      </c>
      <c r="GD23">
        <v>0.9</v>
      </c>
      <c r="GE23">
        <v>0</v>
      </c>
      <c r="GF23">
        <v>2.9</v>
      </c>
      <c r="GG23">
        <v>2.2000000000000002</v>
      </c>
      <c r="GH23">
        <v>2.2999999999999998</v>
      </c>
      <c r="GI23">
        <v>2.5</v>
      </c>
      <c r="GJ23">
        <v>2.6</v>
      </c>
      <c r="GK23">
        <v>2.9</v>
      </c>
      <c r="GL23">
        <v>3</v>
      </c>
      <c r="GM23">
        <v>2.8</v>
      </c>
      <c r="GN23">
        <v>2.9</v>
      </c>
      <c r="GO23">
        <v>2.8</v>
      </c>
      <c r="GP23">
        <v>2.5</v>
      </c>
      <c r="GQ23">
        <v>2.7</v>
      </c>
      <c r="GR23">
        <v>2.6</v>
      </c>
      <c r="GS23">
        <v>2.2000000000000002</v>
      </c>
      <c r="GT23">
        <v>2</v>
      </c>
      <c r="GU23">
        <v>1.1000000000000001</v>
      </c>
      <c r="GV23">
        <v>1.2</v>
      </c>
      <c r="GW23">
        <v>0.2</v>
      </c>
      <c r="GX23">
        <v>0.2</v>
      </c>
      <c r="GY23">
        <v>0.2</v>
      </c>
      <c r="GZ23">
        <v>0.2</v>
      </c>
      <c r="HA23">
        <v>0.1</v>
      </c>
      <c r="HB23">
        <v>0.1</v>
      </c>
      <c r="HC23">
        <v>0.6</v>
      </c>
      <c r="HD23">
        <v>0.5</v>
      </c>
      <c r="HE23">
        <v>0.6</v>
      </c>
      <c r="HF23">
        <v>1.1000000000000001</v>
      </c>
      <c r="HG23">
        <v>1.2</v>
      </c>
      <c r="HH23">
        <v>2.2999999999999998</v>
      </c>
      <c r="HI23">
        <v>2.2000000000000002</v>
      </c>
      <c r="HJ23">
        <v>1</v>
      </c>
      <c r="HK23">
        <v>4.3</v>
      </c>
      <c r="HL23">
        <v>3.5</v>
      </c>
      <c r="HM23">
        <v>3.5</v>
      </c>
      <c r="HN23">
        <v>3.7</v>
      </c>
      <c r="HO23">
        <v>3.8</v>
      </c>
      <c r="HP23">
        <v>4.0999999999999996</v>
      </c>
      <c r="HQ23">
        <v>3.9</v>
      </c>
      <c r="HR23">
        <v>3.9</v>
      </c>
      <c r="HS23">
        <v>4</v>
      </c>
      <c r="HT23">
        <v>4.0999999999999996</v>
      </c>
      <c r="HU23">
        <v>3.9</v>
      </c>
      <c r="HV23">
        <v>3.8</v>
      </c>
      <c r="HW23">
        <v>3.9</v>
      </c>
      <c r="HX23">
        <v>3.4</v>
      </c>
      <c r="HY23">
        <v>3.2</v>
      </c>
      <c r="HZ23">
        <v>2.4</v>
      </c>
      <c r="IA23">
        <v>2.6</v>
      </c>
      <c r="IB23">
        <v>1.5</v>
      </c>
      <c r="IC23">
        <v>1.5</v>
      </c>
      <c r="ID23">
        <v>1.6</v>
      </c>
      <c r="IE23">
        <v>1.7</v>
      </c>
      <c r="IF23">
        <v>1.7</v>
      </c>
      <c r="IG23">
        <v>2</v>
      </c>
      <c r="IH23">
        <v>2.5</v>
      </c>
      <c r="II23">
        <v>2.2999999999999998</v>
      </c>
      <c r="IJ23">
        <v>2.5</v>
      </c>
      <c r="IK23">
        <v>2.9</v>
      </c>
      <c r="IL23">
        <v>2.9</v>
      </c>
      <c r="IM23">
        <v>3.6</v>
      </c>
      <c r="IN23">
        <v>3.6</v>
      </c>
      <c r="IO23">
        <v>2.7</v>
      </c>
      <c r="IP23">
        <v>5.9</v>
      </c>
      <c r="IQ23">
        <v>5.2</v>
      </c>
      <c r="IR23">
        <v>5.3</v>
      </c>
      <c r="IS23">
        <v>5.2</v>
      </c>
      <c r="IT23">
        <v>5.3</v>
      </c>
      <c r="IU23">
        <v>5.5</v>
      </c>
      <c r="IV23">
        <v>5.5</v>
      </c>
      <c r="IW23">
        <v>5.5</v>
      </c>
      <c r="IX23">
        <v>5.6</v>
      </c>
      <c r="IY23">
        <v>5.6</v>
      </c>
      <c r="IZ23">
        <v>5.4</v>
      </c>
      <c r="JA23">
        <v>5.4</v>
      </c>
      <c r="JB23">
        <v>5.4</v>
      </c>
      <c r="JC23">
        <v>4.8</v>
      </c>
      <c r="JD23">
        <v>4.8</v>
      </c>
      <c r="JE23">
        <v>3.8</v>
      </c>
      <c r="JF23">
        <v>4.0999999999999996</v>
      </c>
      <c r="JG23">
        <v>3.1</v>
      </c>
      <c r="JH23">
        <v>3.2</v>
      </c>
      <c r="JI23">
        <v>3.3</v>
      </c>
      <c r="JJ23">
        <v>3.4</v>
      </c>
      <c r="JK23">
        <v>3.4</v>
      </c>
      <c r="JL23">
        <v>3.6</v>
      </c>
      <c r="JM23">
        <v>3.8</v>
      </c>
      <c r="JN23">
        <v>3.8</v>
      </c>
      <c r="JO23">
        <v>3.9</v>
      </c>
      <c r="JP23">
        <v>4.3</v>
      </c>
      <c r="JQ23">
        <v>4.2</v>
      </c>
      <c r="JR23">
        <v>4.3</v>
      </c>
      <c r="JS23">
        <v>4.4000000000000004</v>
      </c>
      <c r="JT23">
        <v>4.0999999999999996</v>
      </c>
      <c r="JU23">
        <v>7</v>
      </c>
      <c r="JV23">
        <v>6.6</v>
      </c>
      <c r="JW23">
        <v>6.7</v>
      </c>
      <c r="JX23">
        <v>6.7</v>
      </c>
      <c r="JY23">
        <v>6.7</v>
      </c>
      <c r="JZ23">
        <v>6.9</v>
      </c>
      <c r="KA23">
        <v>6.9</v>
      </c>
      <c r="KB23">
        <v>6.7</v>
      </c>
      <c r="KC23">
        <v>6.7</v>
      </c>
      <c r="KD23">
        <v>6.5</v>
      </c>
      <c r="KE23">
        <v>6.3</v>
      </c>
      <c r="KF23">
        <v>6.3</v>
      </c>
      <c r="KG23">
        <v>6.3</v>
      </c>
      <c r="KH23">
        <v>5.7</v>
      </c>
      <c r="KI23">
        <v>5.6</v>
      </c>
      <c r="KJ23">
        <v>4.7</v>
      </c>
      <c r="KK23">
        <v>4.8</v>
      </c>
      <c r="KL23">
        <v>4</v>
      </c>
      <c r="KM23">
        <v>4.0999999999999996</v>
      </c>
      <c r="KN23">
        <v>4.2</v>
      </c>
      <c r="KO23">
        <v>4.2</v>
      </c>
      <c r="KP23">
        <v>4.3</v>
      </c>
      <c r="KQ23">
        <v>4.4000000000000004</v>
      </c>
      <c r="KR23">
        <v>4.7</v>
      </c>
      <c r="KS23">
        <v>4.5999999999999996</v>
      </c>
      <c r="KT23">
        <v>4.5999999999999996</v>
      </c>
      <c r="KU23">
        <v>4.9000000000000004</v>
      </c>
      <c r="KV23">
        <v>4.8</v>
      </c>
      <c r="KW23">
        <v>4.7</v>
      </c>
      <c r="KX23">
        <v>4.9000000000000004</v>
      </c>
      <c r="KY23">
        <v>4.7</v>
      </c>
      <c r="KZ23">
        <v>7.8</v>
      </c>
      <c r="LA23">
        <v>7.4</v>
      </c>
      <c r="LB23">
        <v>7.6</v>
      </c>
      <c r="LC23">
        <v>7.6</v>
      </c>
      <c r="LD23">
        <v>7.6</v>
      </c>
      <c r="LE23">
        <v>7.7</v>
      </c>
      <c r="LF23">
        <v>7.7</v>
      </c>
      <c r="LG23">
        <v>7.6</v>
      </c>
      <c r="LH23">
        <v>7.6</v>
      </c>
      <c r="LI23">
        <v>7.3</v>
      </c>
      <c r="LJ23">
        <v>7.1</v>
      </c>
      <c r="LK23">
        <v>7.1</v>
      </c>
      <c r="LL23">
        <v>7.1</v>
      </c>
      <c r="LM23">
        <v>6.4</v>
      </c>
      <c r="LN23">
        <v>6.4</v>
      </c>
      <c r="LO23">
        <v>5.5</v>
      </c>
      <c r="LP23">
        <v>5.6</v>
      </c>
      <c r="LQ23">
        <v>4.7</v>
      </c>
      <c r="LR23">
        <v>4.9000000000000004</v>
      </c>
      <c r="LS23">
        <v>5</v>
      </c>
      <c r="LT23">
        <v>5.0999999999999996</v>
      </c>
      <c r="LU23">
        <v>5.0999999999999996</v>
      </c>
      <c r="LV23">
        <v>5.2</v>
      </c>
      <c r="LW23">
        <v>5.5</v>
      </c>
      <c r="LX23">
        <v>5.3</v>
      </c>
      <c r="LY23">
        <v>5.3</v>
      </c>
      <c r="LZ23">
        <v>5.5</v>
      </c>
      <c r="MA23">
        <v>5.5</v>
      </c>
      <c r="MB23">
        <v>5.3</v>
      </c>
      <c r="MC23">
        <v>5.5</v>
      </c>
      <c r="MD23">
        <v>5.4</v>
      </c>
      <c r="ME23">
        <v>8.6</v>
      </c>
      <c r="MF23">
        <v>8.1999999999999993</v>
      </c>
      <c r="MG23">
        <v>8.4</v>
      </c>
      <c r="MH23">
        <v>8.4</v>
      </c>
      <c r="MI23">
        <v>8.4</v>
      </c>
      <c r="MJ23">
        <v>8.6</v>
      </c>
      <c r="MK23">
        <v>8.6</v>
      </c>
      <c r="ML23">
        <v>8.5</v>
      </c>
      <c r="MM23">
        <v>8.5</v>
      </c>
      <c r="MN23">
        <v>8</v>
      </c>
      <c r="MO23">
        <v>7.9</v>
      </c>
      <c r="MP23">
        <v>7.9</v>
      </c>
      <c r="MQ23">
        <v>7.8</v>
      </c>
      <c r="MR23">
        <v>7.2</v>
      </c>
      <c r="MS23">
        <v>7.2</v>
      </c>
      <c r="MT23">
        <v>6.3</v>
      </c>
      <c r="MU23">
        <v>6.4</v>
      </c>
      <c r="MV23">
        <v>5.6</v>
      </c>
      <c r="MW23">
        <v>5.7</v>
      </c>
      <c r="MX23">
        <v>5.9</v>
      </c>
      <c r="MY23">
        <v>5.9</v>
      </c>
      <c r="MZ23">
        <v>5.9</v>
      </c>
      <c r="NA23">
        <v>5.9</v>
      </c>
      <c r="NB23">
        <v>6.3</v>
      </c>
      <c r="NC23">
        <v>6.1</v>
      </c>
      <c r="ND23">
        <v>6.1</v>
      </c>
      <c r="NE23">
        <v>6.2</v>
      </c>
      <c r="NF23">
        <v>6.2</v>
      </c>
      <c r="NG23">
        <v>6</v>
      </c>
      <c r="NH23">
        <v>6.2</v>
      </c>
      <c r="NI23">
        <v>6.1</v>
      </c>
      <c r="NJ23">
        <v>9.4</v>
      </c>
      <c r="NK23">
        <v>9.1</v>
      </c>
      <c r="NL23">
        <v>9.1999999999999993</v>
      </c>
      <c r="NM23">
        <v>9.1999999999999993</v>
      </c>
      <c r="NN23">
        <v>9.1999999999999993</v>
      </c>
      <c r="NO23">
        <v>9.4</v>
      </c>
      <c r="NP23">
        <v>9.4</v>
      </c>
      <c r="NQ23">
        <v>9.4</v>
      </c>
      <c r="NR23">
        <v>9.3000000000000007</v>
      </c>
      <c r="NS23">
        <v>8.6999999999999993</v>
      </c>
      <c r="NT23">
        <v>8.6999999999999993</v>
      </c>
      <c r="NU23">
        <v>8.6999999999999993</v>
      </c>
      <c r="NV23">
        <v>8.5</v>
      </c>
      <c r="NW23">
        <v>7.9</v>
      </c>
      <c r="NX23">
        <v>7.9</v>
      </c>
      <c r="NY23">
        <v>7</v>
      </c>
      <c r="NZ23">
        <v>7.1</v>
      </c>
      <c r="OA23">
        <v>6.3</v>
      </c>
      <c r="OB23">
        <v>6.5</v>
      </c>
      <c r="OC23">
        <v>6.6</v>
      </c>
      <c r="OD23">
        <v>6.6</v>
      </c>
      <c r="OE23">
        <v>6.7</v>
      </c>
      <c r="OF23">
        <v>6.7</v>
      </c>
      <c r="OG23">
        <v>6.9</v>
      </c>
      <c r="OH23">
        <v>6.8</v>
      </c>
      <c r="OI23">
        <v>6.8</v>
      </c>
      <c r="OJ23">
        <v>7</v>
      </c>
      <c r="OK23">
        <v>6.9</v>
      </c>
      <c r="OL23">
        <v>6.7</v>
      </c>
      <c r="OM23">
        <v>6.9</v>
      </c>
      <c r="ON23">
        <v>6.7</v>
      </c>
      <c r="OO23">
        <v>10.199999999999999</v>
      </c>
      <c r="OP23">
        <v>9.8000000000000007</v>
      </c>
      <c r="OQ23">
        <v>10</v>
      </c>
      <c r="OR23">
        <v>9.9</v>
      </c>
      <c r="OS23">
        <v>10</v>
      </c>
      <c r="OT23">
        <v>10.199999999999999</v>
      </c>
      <c r="OU23">
        <v>10.199999999999999</v>
      </c>
      <c r="OV23">
        <v>10.1</v>
      </c>
      <c r="OW23">
        <v>10.1</v>
      </c>
      <c r="OX23">
        <v>9.4</v>
      </c>
      <c r="OY23">
        <v>9.3000000000000007</v>
      </c>
      <c r="OZ23">
        <v>9.4</v>
      </c>
      <c r="PA23">
        <v>9.1999999999999993</v>
      </c>
      <c r="PB23">
        <v>8.6</v>
      </c>
      <c r="PC23">
        <v>8.6</v>
      </c>
      <c r="PD23">
        <v>7.7</v>
      </c>
      <c r="PE23">
        <v>7.8</v>
      </c>
      <c r="PF23">
        <v>6.9</v>
      </c>
      <c r="PG23">
        <v>7.2</v>
      </c>
      <c r="PH23">
        <v>7.4</v>
      </c>
      <c r="PI23">
        <v>7.4</v>
      </c>
      <c r="PJ23">
        <v>7.4</v>
      </c>
      <c r="PK23">
        <v>7.3</v>
      </c>
      <c r="PL23">
        <v>7.6</v>
      </c>
      <c r="PM23">
        <v>7.5</v>
      </c>
      <c r="PN23">
        <v>7.5</v>
      </c>
      <c r="PO23">
        <v>7.7</v>
      </c>
      <c r="PP23">
        <v>7.6</v>
      </c>
      <c r="PQ23">
        <v>7.4</v>
      </c>
      <c r="PR23">
        <v>7.5</v>
      </c>
      <c r="PS23">
        <v>7.5</v>
      </c>
      <c r="PT23">
        <v>10.8</v>
      </c>
      <c r="PU23">
        <v>10.5</v>
      </c>
      <c r="PV23">
        <v>10.7</v>
      </c>
      <c r="PW23">
        <v>10.7</v>
      </c>
      <c r="PX23">
        <v>10.7</v>
      </c>
      <c r="PY23">
        <v>10.9</v>
      </c>
      <c r="PZ23">
        <v>11</v>
      </c>
      <c r="QA23">
        <v>10.8</v>
      </c>
      <c r="QB23">
        <v>10.8</v>
      </c>
      <c r="QC23">
        <v>10</v>
      </c>
      <c r="QD23">
        <v>9.9</v>
      </c>
      <c r="QE23">
        <v>9.9</v>
      </c>
      <c r="QF23">
        <v>9.8000000000000007</v>
      </c>
      <c r="QG23">
        <v>9.1999999999999993</v>
      </c>
      <c r="QH23">
        <v>9.1999999999999993</v>
      </c>
      <c r="QI23">
        <v>8.4</v>
      </c>
      <c r="QJ23">
        <v>8.5</v>
      </c>
      <c r="QK23">
        <v>7.6</v>
      </c>
      <c r="QL23">
        <v>7.9</v>
      </c>
      <c r="QM23">
        <v>8.1</v>
      </c>
      <c r="QN23">
        <v>8.1</v>
      </c>
      <c r="QO23">
        <v>8.1</v>
      </c>
      <c r="QP23">
        <v>8</v>
      </c>
      <c r="QQ23">
        <v>8.1999999999999993</v>
      </c>
      <c r="QR23">
        <v>8.1999999999999993</v>
      </c>
      <c r="QS23">
        <v>8.1999999999999993</v>
      </c>
      <c r="QT23">
        <v>8.3000000000000007</v>
      </c>
      <c r="QU23">
        <v>8.3000000000000007</v>
      </c>
      <c r="QV23">
        <v>8.1</v>
      </c>
      <c r="QW23">
        <v>8.1999999999999993</v>
      </c>
      <c r="QX23">
        <v>8.1999999999999993</v>
      </c>
      <c r="QY23">
        <v>11.5</v>
      </c>
      <c r="QZ23">
        <v>11.2</v>
      </c>
      <c r="RA23">
        <v>11.4</v>
      </c>
      <c r="RB23">
        <v>11.3</v>
      </c>
      <c r="RC23">
        <v>11.4</v>
      </c>
      <c r="RD23">
        <v>11.6</v>
      </c>
      <c r="RE23">
        <v>11.6</v>
      </c>
      <c r="RF23">
        <v>11.5</v>
      </c>
      <c r="RG23">
        <v>11.4</v>
      </c>
      <c r="RH23">
        <v>10.5</v>
      </c>
      <c r="RI23">
        <v>10.5</v>
      </c>
      <c r="RJ23">
        <v>10.5</v>
      </c>
      <c r="RK23">
        <v>10.4</v>
      </c>
      <c r="RL23">
        <v>9.8000000000000007</v>
      </c>
      <c r="RM23">
        <v>9.8000000000000007</v>
      </c>
      <c r="RN23">
        <v>9.1</v>
      </c>
      <c r="RO23">
        <v>9.3000000000000007</v>
      </c>
      <c r="RP23">
        <v>8.4</v>
      </c>
      <c r="RQ23">
        <v>8.6999999999999993</v>
      </c>
      <c r="RR23">
        <v>8.8000000000000007</v>
      </c>
      <c r="RS23">
        <v>8.9</v>
      </c>
      <c r="RT23">
        <v>8.9</v>
      </c>
      <c r="RU23">
        <v>8.6999999999999993</v>
      </c>
      <c r="RV23">
        <v>8.9</v>
      </c>
      <c r="RW23">
        <v>8.9</v>
      </c>
      <c r="RX23">
        <v>8.9</v>
      </c>
      <c r="RY23">
        <v>9</v>
      </c>
      <c r="RZ23">
        <v>9</v>
      </c>
      <c r="SA23">
        <v>8.6999999999999993</v>
      </c>
      <c r="SB23">
        <v>8.9</v>
      </c>
      <c r="SC23">
        <v>8.9</v>
      </c>
      <c r="SD23">
        <v>12.1</v>
      </c>
      <c r="SE23">
        <v>11.8</v>
      </c>
      <c r="SF23">
        <v>11.9</v>
      </c>
      <c r="SG23">
        <v>11.9</v>
      </c>
      <c r="SH23">
        <v>12</v>
      </c>
      <c r="SI23">
        <v>12.2</v>
      </c>
      <c r="SJ23">
        <v>12.2</v>
      </c>
      <c r="SK23">
        <v>12.1</v>
      </c>
      <c r="SL23">
        <v>12</v>
      </c>
      <c r="SM23">
        <v>11</v>
      </c>
      <c r="SN23">
        <v>11</v>
      </c>
      <c r="SO23">
        <v>11</v>
      </c>
      <c r="SP23">
        <v>10.8</v>
      </c>
      <c r="SQ23">
        <v>10.3</v>
      </c>
      <c r="SR23">
        <v>10.4</v>
      </c>
      <c r="SS23">
        <v>9.6999999999999993</v>
      </c>
      <c r="ST23">
        <v>9.9</v>
      </c>
      <c r="SU23">
        <v>9.1</v>
      </c>
      <c r="SV23">
        <v>9.4</v>
      </c>
      <c r="SW23">
        <v>9.6</v>
      </c>
      <c r="SX23">
        <v>9.6</v>
      </c>
      <c r="SY23">
        <v>9.6</v>
      </c>
      <c r="SZ23">
        <v>9.5</v>
      </c>
      <c r="TA23">
        <v>9.6999999999999993</v>
      </c>
      <c r="TB23">
        <v>9.5</v>
      </c>
      <c r="TC23">
        <v>9.6</v>
      </c>
      <c r="TD23">
        <v>9.6999999999999993</v>
      </c>
      <c r="TE23">
        <v>9.6</v>
      </c>
      <c r="TF23">
        <v>9.4</v>
      </c>
      <c r="TG23">
        <v>9.5</v>
      </c>
      <c r="TH23">
        <v>9.5</v>
      </c>
      <c r="TI23">
        <v>12.6</v>
      </c>
      <c r="TJ23">
        <v>12.3</v>
      </c>
      <c r="TK23">
        <v>12.4</v>
      </c>
      <c r="TL23">
        <v>12.5</v>
      </c>
      <c r="TM23">
        <v>12.5</v>
      </c>
      <c r="TN23">
        <v>12.7</v>
      </c>
      <c r="TO23">
        <v>12.8</v>
      </c>
      <c r="TP23">
        <v>12.7</v>
      </c>
      <c r="TQ23">
        <v>12.5</v>
      </c>
      <c r="TR23">
        <v>11.5</v>
      </c>
      <c r="TS23">
        <v>11.5</v>
      </c>
      <c r="TT23">
        <v>11.5</v>
      </c>
      <c r="TU23">
        <v>11.4</v>
      </c>
      <c r="TV23">
        <v>10.9</v>
      </c>
      <c r="TW23">
        <v>11</v>
      </c>
      <c r="TX23">
        <v>10.4</v>
      </c>
      <c r="TY23">
        <v>10.6</v>
      </c>
      <c r="TZ23">
        <v>9.8000000000000007</v>
      </c>
      <c r="UA23">
        <v>10.1</v>
      </c>
      <c r="UB23">
        <v>10.3</v>
      </c>
      <c r="UC23">
        <v>10.3</v>
      </c>
      <c r="UD23">
        <v>10.3</v>
      </c>
      <c r="UE23">
        <v>10.3</v>
      </c>
      <c r="UF23">
        <v>10.5</v>
      </c>
      <c r="UG23">
        <v>10.1</v>
      </c>
      <c r="UH23">
        <v>10.199999999999999</v>
      </c>
      <c r="UI23">
        <v>10.3</v>
      </c>
      <c r="UJ23">
        <v>10.199999999999999</v>
      </c>
      <c r="UK23">
        <v>10</v>
      </c>
      <c r="UL23">
        <v>10.1</v>
      </c>
      <c r="UM23">
        <v>10.199999999999999</v>
      </c>
      <c r="UN23">
        <v>13.2</v>
      </c>
      <c r="UO23">
        <v>12.9</v>
      </c>
      <c r="UP23">
        <v>12.9</v>
      </c>
      <c r="UQ23">
        <v>13.1</v>
      </c>
      <c r="UR23">
        <v>13.2</v>
      </c>
      <c r="US23">
        <v>13.4</v>
      </c>
      <c r="UT23">
        <v>13.5</v>
      </c>
      <c r="UU23">
        <v>13.4</v>
      </c>
      <c r="UV23">
        <v>13.2</v>
      </c>
      <c r="UW23">
        <v>12.1</v>
      </c>
      <c r="UX23">
        <v>12.1</v>
      </c>
      <c r="UY23">
        <v>12.2</v>
      </c>
      <c r="UZ23">
        <v>12</v>
      </c>
      <c r="VA23">
        <v>11.6</v>
      </c>
      <c r="VB23">
        <v>11.6</v>
      </c>
      <c r="VC23">
        <v>11.2</v>
      </c>
      <c r="VD23">
        <v>11.4</v>
      </c>
      <c r="VE23">
        <v>10.6</v>
      </c>
      <c r="VF23">
        <v>10.9</v>
      </c>
      <c r="VG23">
        <v>11.1</v>
      </c>
      <c r="VH23">
        <v>11.1</v>
      </c>
      <c r="VI23">
        <v>11.1</v>
      </c>
      <c r="VJ23">
        <v>11.1</v>
      </c>
      <c r="VK23">
        <v>11.3</v>
      </c>
      <c r="VL23">
        <v>10.8</v>
      </c>
      <c r="VM23">
        <v>10.9</v>
      </c>
      <c r="VN23">
        <v>11</v>
      </c>
      <c r="VO23">
        <v>11</v>
      </c>
      <c r="VP23">
        <v>10.7</v>
      </c>
      <c r="VQ23">
        <v>10.9</v>
      </c>
      <c r="VR23">
        <v>11</v>
      </c>
      <c r="VS23">
        <v>14</v>
      </c>
      <c r="VT23">
        <v>13.7</v>
      </c>
      <c r="VU23">
        <v>13.2</v>
      </c>
      <c r="VV23">
        <v>13.9</v>
      </c>
      <c r="VW23">
        <v>14</v>
      </c>
      <c r="VX23">
        <v>14.3</v>
      </c>
      <c r="VY23">
        <v>14.5</v>
      </c>
      <c r="VZ23">
        <v>14.4</v>
      </c>
      <c r="WA23">
        <v>14.1</v>
      </c>
      <c r="WB23">
        <v>12.9</v>
      </c>
      <c r="WC23">
        <v>12.9</v>
      </c>
      <c r="WD23">
        <v>13</v>
      </c>
      <c r="WE23">
        <v>12.8</v>
      </c>
      <c r="WF23">
        <v>12.5</v>
      </c>
      <c r="WG23">
        <v>12.5</v>
      </c>
      <c r="WH23">
        <v>12.2</v>
      </c>
      <c r="WI23">
        <v>12.4</v>
      </c>
      <c r="WJ23">
        <v>11.7</v>
      </c>
      <c r="WK23">
        <v>12</v>
      </c>
      <c r="WL23">
        <v>12.1</v>
      </c>
      <c r="WM23">
        <v>12.2</v>
      </c>
      <c r="WN23">
        <v>12.2</v>
      </c>
      <c r="WO23">
        <v>12.2</v>
      </c>
      <c r="WP23">
        <v>12.4</v>
      </c>
      <c r="WQ23">
        <v>11.8</v>
      </c>
      <c r="WR23">
        <v>11.9</v>
      </c>
      <c r="WS23">
        <v>12</v>
      </c>
      <c r="WT23">
        <v>12</v>
      </c>
      <c r="WU23">
        <v>11.8</v>
      </c>
      <c r="WV23">
        <v>12</v>
      </c>
      <c r="WW23">
        <v>12.1</v>
      </c>
      <c r="WX23">
        <v>15.9</v>
      </c>
      <c r="WY23">
        <v>15.3</v>
      </c>
      <c r="WZ23">
        <v>11.1</v>
      </c>
      <c r="XA23">
        <v>16.2</v>
      </c>
      <c r="XB23">
        <v>16.399999999999999</v>
      </c>
      <c r="XC23">
        <v>16.8</v>
      </c>
      <c r="XD23">
        <v>17.2</v>
      </c>
      <c r="XE23">
        <v>17.2</v>
      </c>
      <c r="XF23">
        <v>16.8</v>
      </c>
      <c r="XG23">
        <v>15.3</v>
      </c>
      <c r="XH23">
        <v>15.4</v>
      </c>
      <c r="XI23">
        <v>15.3</v>
      </c>
      <c r="XJ23">
        <v>15.1</v>
      </c>
      <c r="XK23">
        <v>14.8</v>
      </c>
      <c r="XL23">
        <v>14.8</v>
      </c>
      <c r="XM23">
        <v>14.7</v>
      </c>
      <c r="XN23">
        <v>15</v>
      </c>
      <c r="XO23">
        <v>14.3</v>
      </c>
      <c r="XP23">
        <v>14.4</v>
      </c>
      <c r="XQ23">
        <v>14.6</v>
      </c>
      <c r="XR23">
        <v>14.7</v>
      </c>
      <c r="XS23">
        <v>14.8</v>
      </c>
      <c r="XT23">
        <v>14.7</v>
      </c>
      <c r="XU23">
        <v>14.9</v>
      </c>
      <c r="XV23">
        <v>14.4</v>
      </c>
      <c r="XW23">
        <v>14.5</v>
      </c>
      <c r="XX23">
        <v>14.7</v>
      </c>
      <c r="XY23">
        <v>14.7</v>
      </c>
      <c r="XZ23">
        <v>14.5</v>
      </c>
      <c r="YA23">
        <v>14.6</v>
      </c>
      <c r="YB23">
        <v>15.1</v>
      </c>
    </row>
    <row r="24" spans="1:652" x14ac:dyDescent="0.2">
      <c r="A24" t="s">
        <v>44</v>
      </c>
      <c r="B24">
        <v>12</v>
      </c>
      <c r="C24">
        <v>11.6</v>
      </c>
      <c r="D24">
        <v>11.4</v>
      </c>
      <c r="E24">
        <v>11.9</v>
      </c>
      <c r="F24">
        <v>11.9</v>
      </c>
      <c r="G24">
        <v>12.2</v>
      </c>
      <c r="H24">
        <v>12.2</v>
      </c>
      <c r="I24">
        <v>12.1</v>
      </c>
      <c r="J24">
        <v>12.1</v>
      </c>
      <c r="K24">
        <v>11.2</v>
      </c>
      <c r="L24">
        <v>11.1</v>
      </c>
      <c r="M24">
        <v>11.1</v>
      </c>
      <c r="N24">
        <v>11</v>
      </c>
      <c r="O24">
        <v>10.4</v>
      </c>
      <c r="P24">
        <v>10.5</v>
      </c>
      <c r="Q24">
        <v>10</v>
      </c>
      <c r="R24">
        <v>10.1</v>
      </c>
      <c r="S24">
        <v>9.4</v>
      </c>
      <c r="T24">
        <v>9.6</v>
      </c>
      <c r="U24">
        <v>9.6999999999999993</v>
      </c>
      <c r="V24">
        <v>9.8000000000000007</v>
      </c>
      <c r="W24">
        <v>9.8000000000000007</v>
      </c>
      <c r="X24">
        <v>9.8000000000000007</v>
      </c>
      <c r="Y24">
        <v>9.9</v>
      </c>
      <c r="Z24">
        <v>9.6999999999999993</v>
      </c>
      <c r="AA24">
        <v>9.6999999999999993</v>
      </c>
      <c r="AB24">
        <v>9.9</v>
      </c>
      <c r="AC24">
        <v>9.8000000000000007</v>
      </c>
      <c r="AD24">
        <v>9.6</v>
      </c>
      <c r="AE24">
        <v>9.6999999999999993</v>
      </c>
      <c r="AF24">
        <v>9.8000000000000007</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0.6</v>
      </c>
      <c r="CR24">
        <v>0.6</v>
      </c>
      <c r="CS24">
        <v>0.8</v>
      </c>
      <c r="CT24">
        <v>1.2</v>
      </c>
      <c r="CU24">
        <v>1.2</v>
      </c>
      <c r="CV24">
        <v>1</v>
      </c>
      <c r="CW24">
        <v>0.1</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2.2000000000000002</v>
      </c>
      <c r="DW24">
        <v>0.6</v>
      </c>
      <c r="DX24">
        <v>0.5</v>
      </c>
      <c r="DY24">
        <v>0.5</v>
      </c>
      <c r="DZ24">
        <v>0.2</v>
      </c>
      <c r="EA24">
        <v>0.3</v>
      </c>
      <c r="EB24">
        <v>0.8</v>
      </c>
      <c r="EC24">
        <v>0.9</v>
      </c>
      <c r="ED24">
        <v>1</v>
      </c>
      <c r="EE24">
        <v>1.9</v>
      </c>
      <c r="EF24">
        <v>1.5</v>
      </c>
      <c r="EG24">
        <v>1.2</v>
      </c>
      <c r="EH24">
        <v>1.3</v>
      </c>
      <c r="EI24">
        <v>1.1000000000000001</v>
      </c>
      <c r="EJ24">
        <v>0.7</v>
      </c>
      <c r="EK24">
        <v>0.4</v>
      </c>
      <c r="EL24">
        <v>0.5</v>
      </c>
      <c r="EM24">
        <v>0</v>
      </c>
      <c r="EN24">
        <v>0</v>
      </c>
      <c r="EO24">
        <v>0</v>
      </c>
      <c r="EP24">
        <v>0</v>
      </c>
      <c r="EQ24">
        <v>0</v>
      </c>
      <c r="ER24">
        <v>0</v>
      </c>
      <c r="ES24">
        <v>0</v>
      </c>
      <c r="ET24">
        <v>0</v>
      </c>
      <c r="EU24">
        <v>0</v>
      </c>
      <c r="EV24">
        <v>0</v>
      </c>
      <c r="EW24">
        <v>0</v>
      </c>
      <c r="EX24">
        <v>3.3</v>
      </c>
      <c r="EY24">
        <v>2.5</v>
      </c>
      <c r="EZ24">
        <v>0</v>
      </c>
      <c r="FA24">
        <v>5.5</v>
      </c>
      <c r="FB24">
        <v>4.5</v>
      </c>
      <c r="FC24">
        <v>4.5</v>
      </c>
      <c r="FD24">
        <v>4.0999999999999996</v>
      </c>
      <c r="FE24">
        <v>3.8</v>
      </c>
      <c r="FF24">
        <v>4.2</v>
      </c>
      <c r="FG24">
        <v>4.5</v>
      </c>
      <c r="FH24">
        <v>4.5999999999999996</v>
      </c>
      <c r="FI24">
        <v>4.7</v>
      </c>
      <c r="FJ24">
        <v>5</v>
      </c>
      <c r="FK24">
        <v>4.8</v>
      </c>
      <c r="FL24">
        <v>4.7</v>
      </c>
      <c r="FM24">
        <v>4.7</v>
      </c>
      <c r="FN24">
        <v>4.2</v>
      </c>
      <c r="FO24">
        <v>3.9</v>
      </c>
      <c r="FP24">
        <v>3.6</v>
      </c>
      <c r="FQ24">
        <v>3.7</v>
      </c>
      <c r="FR24">
        <v>2.7</v>
      </c>
      <c r="FS24">
        <v>2.8</v>
      </c>
      <c r="FT24">
        <v>2.9</v>
      </c>
      <c r="FU24">
        <v>2.8</v>
      </c>
      <c r="FV24">
        <v>2.8</v>
      </c>
      <c r="FW24">
        <v>3.1</v>
      </c>
      <c r="FX24">
        <v>3.2</v>
      </c>
      <c r="FY24">
        <v>3.3</v>
      </c>
      <c r="FZ24">
        <v>3.4</v>
      </c>
      <c r="GA24">
        <v>3.8</v>
      </c>
      <c r="GB24">
        <v>3.7</v>
      </c>
      <c r="GC24">
        <v>5.3</v>
      </c>
      <c r="GD24">
        <v>4.9000000000000004</v>
      </c>
      <c r="GE24">
        <v>3.4</v>
      </c>
      <c r="GF24">
        <v>7.3</v>
      </c>
      <c r="GG24">
        <v>6.6</v>
      </c>
      <c r="GH24">
        <v>6.7</v>
      </c>
      <c r="GI24">
        <v>6.5</v>
      </c>
      <c r="GJ24">
        <v>6.5</v>
      </c>
      <c r="GK24">
        <v>6.7</v>
      </c>
      <c r="GL24">
        <v>6.9</v>
      </c>
      <c r="GM24">
        <v>6.8</v>
      </c>
      <c r="GN24">
        <v>6.8</v>
      </c>
      <c r="GO24">
        <v>6.6</v>
      </c>
      <c r="GP24">
        <v>6.4</v>
      </c>
      <c r="GQ24">
        <v>6.5</v>
      </c>
      <c r="GR24">
        <v>6.5</v>
      </c>
      <c r="GS24">
        <v>6</v>
      </c>
      <c r="GT24">
        <v>5.6</v>
      </c>
      <c r="GU24">
        <v>5.3</v>
      </c>
      <c r="GV24">
        <v>5.3</v>
      </c>
      <c r="GW24">
        <v>4.4000000000000004</v>
      </c>
      <c r="GX24">
        <v>4.5</v>
      </c>
      <c r="GY24">
        <v>4.5</v>
      </c>
      <c r="GZ24">
        <v>4.5</v>
      </c>
      <c r="HA24">
        <v>4.5</v>
      </c>
      <c r="HB24">
        <v>4.5999999999999996</v>
      </c>
      <c r="HC24">
        <v>4.8</v>
      </c>
      <c r="HD24">
        <v>4.8</v>
      </c>
      <c r="HE24">
        <v>5</v>
      </c>
      <c r="HF24">
        <v>5.3</v>
      </c>
      <c r="HG24">
        <v>5.3</v>
      </c>
      <c r="HH24">
        <v>6</v>
      </c>
      <c r="HI24">
        <v>5.8</v>
      </c>
      <c r="HJ24">
        <v>5</v>
      </c>
      <c r="HK24">
        <v>8.4</v>
      </c>
      <c r="HL24">
        <v>7.7</v>
      </c>
      <c r="HM24">
        <v>7.7</v>
      </c>
      <c r="HN24">
        <v>7.7</v>
      </c>
      <c r="HO24">
        <v>7.7</v>
      </c>
      <c r="HP24">
        <v>7.9</v>
      </c>
      <c r="HQ24">
        <v>8</v>
      </c>
      <c r="HR24">
        <v>7.9</v>
      </c>
      <c r="HS24">
        <v>7.9</v>
      </c>
      <c r="HT24">
        <v>7.7</v>
      </c>
      <c r="HU24">
        <v>7.6</v>
      </c>
      <c r="HV24">
        <v>7.6</v>
      </c>
      <c r="HW24">
        <v>7.6</v>
      </c>
      <c r="HX24">
        <v>7</v>
      </c>
      <c r="HY24">
        <v>6.7</v>
      </c>
      <c r="HZ24">
        <v>6.4</v>
      </c>
      <c r="IA24">
        <v>6.5</v>
      </c>
      <c r="IB24">
        <v>5.7</v>
      </c>
      <c r="IC24">
        <v>5.8</v>
      </c>
      <c r="ID24">
        <v>5.9</v>
      </c>
      <c r="IE24">
        <v>5.9</v>
      </c>
      <c r="IF24">
        <v>5.9</v>
      </c>
      <c r="IG24">
        <v>6</v>
      </c>
      <c r="IH24">
        <v>6.2</v>
      </c>
      <c r="II24">
        <v>6.2</v>
      </c>
      <c r="IJ24">
        <v>6.3</v>
      </c>
      <c r="IK24">
        <v>6.6</v>
      </c>
      <c r="IL24">
        <v>6.6</v>
      </c>
      <c r="IM24">
        <v>6.8</v>
      </c>
      <c r="IN24">
        <v>6.8</v>
      </c>
      <c r="IO24">
        <v>6.3</v>
      </c>
      <c r="IP24">
        <v>9.3000000000000007</v>
      </c>
      <c r="IQ24">
        <v>8.8000000000000007</v>
      </c>
      <c r="IR24">
        <v>8.9</v>
      </c>
      <c r="IS24">
        <v>8.6999999999999993</v>
      </c>
      <c r="IT24">
        <v>8.6999999999999993</v>
      </c>
      <c r="IU24">
        <v>8.9</v>
      </c>
      <c r="IV24">
        <v>9</v>
      </c>
      <c r="IW24">
        <v>8.8000000000000007</v>
      </c>
      <c r="IX24">
        <v>8.9</v>
      </c>
      <c r="IY24">
        <v>8.6</v>
      </c>
      <c r="IZ24">
        <v>8.5</v>
      </c>
      <c r="JA24">
        <v>8.5</v>
      </c>
      <c r="JB24">
        <v>8.5</v>
      </c>
      <c r="JC24">
        <v>7.8</v>
      </c>
      <c r="JD24">
        <v>7.7</v>
      </c>
      <c r="JE24">
        <v>7.4</v>
      </c>
      <c r="JF24">
        <v>7.5</v>
      </c>
      <c r="JG24">
        <v>6.8</v>
      </c>
      <c r="JH24">
        <v>6.9</v>
      </c>
      <c r="JI24">
        <v>7</v>
      </c>
      <c r="JJ24">
        <v>6.9</v>
      </c>
      <c r="JK24">
        <v>7</v>
      </c>
      <c r="JL24">
        <v>7.1</v>
      </c>
      <c r="JM24">
        <v>7.2</v>
      </c>
      <c r="JN24">
        <v>7.2</v>
      </c>
      <c r="JO24">
        <v>7.3</v>
      </c>
      <c r="JP24">
        <v>7.6</v>
      </c>
      <c r="JQ24">
        <v>7.5</v>
      </c>
      <c r="JR24">
        <v>7.6</v>
      </c>
      <c r="JS24">
        <v>7.6</v>
      </c>
      <c r="JT24">
        <v>7.3</v>
      </c>
      <c r="JU24">
        <v>9.9</v>
      </c>
      <c r="JV24">
        <v>9.5</v>
      </c>
      <c r="JW24">
        <v>9.6</v>
      </c>
      <c r="JX24">
        <v>9.5</v>
      </c>
      <c r="JY24">
        <v>9.5</v>
      </c>
      <c r="JZ24">
        <v>9.6999999999999993</v>
      </c>
      <c r="KA24">
        <v>9.6999999999999993</v>
      </c>
      <c r="KB24">
        <v>9.6</v>
      </c>
      <c r="KC24">
        <v>9.6999999999999993</v>
      </c>
      <c r="KD24">
        <v>9.3000000000000007</v>
      </c>
      <c r="KE24">
        <v>9.1999999999999993</v>
      </c>
      <c r="KF24">
        <v>9.1999999999999993</v>
      </c>
      <c r="KG24">
        <v>9.1</v>
      </c>
      <c r="KH24">
        <v>8.5</v>
      </c>
      <c r="KI24">
        <v>8.4</v>
      </c>
      <c r="KJ24">
        <v>8.1</v>
      </c>
      <c r="KK24">
        <v>8.1999999999999993</v>
      </c>
      <c r="KL24">
        <v>7.4</v>
      </c>
      <c r="KM24">
        <v>7.6</v>
      </c>
      <c r="KN24">
        <v>7.7</v>
      </c>
      <c r="KO24">
        <v>7.7</v>
      </c>
      <c r="KP24">
        <v>7.7</v>
      </c>
      <c r="KQ24">
        <v>7.8</v>
      </c>
      <c r="KR24">
        <v>7.9</v>
      </c>
      <c r="KS24">
        <v>7.9</v>
      </c>
      <c r="KT24">
        <v>8</v>
      </c>
      <c r="KU24">
        <v>8.1999999999999993</v>
      </c>
      <c r="KV24">
        <v>8.1999999999999993</v>
      </c>
      <c r="KW24">
        <v>8.3000000000000007</v>
      </c>
      <c r="KX24">
        <v>8.3000000000000007</v>
      </c>
      <c r="KY24">
        <v>8.1</v>
      </c>
      <c r="KZ24">
        <v>10.3</v>
      </c>
      <c r="LA24">
        <v>9.9</v>
      </c>
      <c r="LB24">
        <v>10.1</v>
      </c>
      <c r="LC24">
        <v>10.1</v>
      </c>
      <c r="LD24">
        <v>10.199999999999999</v>
      </c>
      <c r="LE24">
        <v>10.3</v>
      </c>
      <c r="LF24">
        <v>10.4</v>
      </c>
      <c r="LG24">
        <v>10.4</v>
      </c>
      <c r="LH24">
        <v>10.5</v>
      </c>
      <c r="LI24">
        <v>9.9</v>
      </c>
      <c r="LJ24">
        <v>9.9</v>
      </c>
      <c r="LK24">
        <v>9.9</v>
      </c>
      <c r="LL24">
        <v>9.6999999999999993</v>
      </c>
      <c r="LM24">
        <v>9.1</v>
      </c>
      <c r="LN24">
        <v>9.1</v>
      </c>
      <c r="LO24">
        <v>8.6999999999999993</v>
      </c>
      <c r="LP24">
        <v>8.9</v>
      </c>
      <c r="LQ24">
        <v>8</v>
      </c>
      <c r="LR24">
        <v>8.1999999999999993</v>
      </c>
      <c r="LS24">
        <v>8.4</v>
      </c>
      <c r="LT24">
        <v>8.4</v>
      </c>
      <c r="LU24">
        <v>8.4</v>
      </c>
      <c r="LV24">
        <v>8.6</v>
      </c>
      <c r="LW24">
        <v>8.6</v>
      </c>
      <c r="LX24">
        <v>8.5</v>
      </c>
      <c r="LY24">
        <v>8.6999999999999993</v>
      </c>
      <c r="LZ24">
        <v>8.9</v>
      </c>
      <c r="MA24">
        <v>8.9</v>
      </c>
      <c r="MB24">
        <v>8.8000000000000007</v>
      </c>
      <c r="MC24">
        <v>8.9</v>
      </c>
      <c r="MD24">
        <v>8.9</v>
      </c>
      <c r="ME24">
        <v>10.9</v>
      </c>
      <c r="MF24">
        <v>10.5</v>
      </c>
      <c r="MG24">
        <v>10.7</v>
      </c>
      <c r="MH24">
        <v>10.8</v>
      </c>
      <c r="MI24">
        <v>10.8</v>
      </c>
      <c r="MJ24">
        <v>11.1</v>
      </c>
      <c r="MK24">
        <v>11.3</v>
      </c>
      <c r="ML24">
        <v>11.3</v>
      </c>
      <c r="MM24">
        <v>11.3</v>
      </c>
      <c r="MN24">
        <v>10.6</v>
      </c>
      <c r="MO24">
        <v>10.4</v>
      </c>
      <c r="MP24">
        <v>10.5</v>
      </c>
      <c r="MQ24">
        <v>10.199999999999999</v>
      </c>
      <c r="MR24">
        <v>9.8000000000000007</v>
      </c>
      <c r="MS24">
        <v>9.9</v>
      </c>
      <c r="MT24">
        <v>9.4</v>
      </c>
      <c r="MU24">
        <v>9.6</v>
      </c>
      <c r="MV24">
        <v>8.6</v>
      </c>
      <c r="MW24">
        <v>8.8000000000000007</v>
      </c>
      <c r="MX24">
        <v>9</v>
      </c>
      <c r="MY24">
        <v>9.1</v>
      </c>
      <c r="MZ24">
        <v>9.1</v>
      </c>
      <c r="NA24">
        <v>9.1999999999999993</v>
      </c>
      <c r="NB24">
        <v>9.3000000000000007</v>
      </c>
      <c r="NC24">
        <v>9</v>
      </c>
      <c r="ND24">
        <v>9.1</v>
      </c>
      <c r="NE24">
        <v>9.4</v>
      </c>
      <c r="NF24">
        <v>9.4</v>
      </c>
      <c r="NG24">
        <v>9.1</v>
      </c>
      <c r="NH24">
        <v>9.3000000000000007</v>
      </c>
      <c r="NI24">
        <v>9.4</v>
      </c>
      <c r="NJ24">
        <v>11.7</v>
      </c>
      <c r="NK24">
        <v>11.3</v>
      </c>
      <c r="NL24">
        <v>11.5</v>
      </c>
      <c r="NM24">
        <v>11.5</v>
      </c>
      <c r="NN24">
        <v>11.7</v>
      </c>
      <c r="NO24">
        <v>11.8</v>
      </c>
      <c r="NP24">
        <v>12</v>
      </c>
      <c r="NQ24">
        <v>12.1</v>
      </c>
      <c r="NR24">
        <v>12</v>
      </c>
      <c r="NS24">
        <v>11</v>
      </c>
      <c r="NT24">
        <v>11</v>
      </c>
      <c r="NU24">
        <v>11</v>
      </c>
      <c r="NV24">
        <v>10.8</v>
      </c>
      <c r="NW24">
        <v>10.3</v>
      </c>
      <c r="NX24">
        <v>10.3</v>
      </c>
      <c r="NY24">
        <v>9.6999999999999993</v>
      </c>
      <c r="NZ24">
        <v>9.9</v>
      </c>
      <c r="OA24">
        <v>9.1</v>
      </c>
      <c r="OB24">
        <v>9.3000000000000007</v>
      </c>
      <c r="OC24">
        <v>9.5</v>
      </c>
      <c r="OD24">
        <v>9.5</v>
      </c>
      <c r="OE24">
        <v>9.6</v>
      </c>
      <c r="OF24">
        <v>9.6999999999999993</v>
      </c>
      <c r="OG24">
        <v>9.6999999999999993</v>
      </c>
      <c r="OH24">
        <v>9.4</v>
      </c>
      <c r="OI24">
        <v>9.5</v>
      </c>
      <c r="OJ24">
        <v>9.6999999999999993</v>
      </c>
      <c r="OK24">
        <v>9.6999999999999993</v>
      </c>
      <c r="OL24">
        <v>9.3000000000000007</v>
      </c>
      <c r="OM24">
        <v>9.5</v>
      </c>
      <c r="ON24">
        <v>9.6999999999999993</v>
      </c>
      <c r="OO24">
        <v>12.5</v>
      </c>
      <c r="OP24">
        <v>12</v>
      </c>
      <c r="OQ24">
        <v>12.2</v>
      </c>
      <c r="OR24">
        <v>12.2</v>
      </c>
      <c r="OS24">
        <v>12.3</v>
      </c>
      <c r="OT24">
        <v>12.6</v>
      </c>
      <c r="OU24">
        <v>12.7</v>
      </c>
      <c r="OV24">
        <v>12.6</v>
      </c>
      <c r="OW24">
        <v>12.5</v>
      </c>
      <c r="OX24">
        <v>11.5</v>
      </c>
      <c r="OY24">
        <v>11.4</v>
      </c>
      <c r="OZ24">
        <v>11.5</v>
      </c>
      <c r="PA24">
        <v>11.3</v>
      </c>
      <c r="PB24">
        <v>10.8</v>
      </c>
      <c r="PC24">
        <v>10.8</v>
      </c>
      <c r="PD24">
        <v>10.199999999999999</v>
      </c>
      <c r="PE24">
        <v>10.3</v>
      </c>
      <c r="PF24">
        <v>9.5</v>
      </c>
      <c r="PG24">
        <v>9.6999999999999993</v>
      </c>
      <c r="PH24">
        <v>9.9</v>
      </c>
      <c r="PI24">
        <v>10</v>
      </c>
      <c r="PJ24">
        <v>10</v>
      </c>
      <c r="PK24">
        <v>9.9</v>
      </c>
      <c r="PL24">
        <v>9.9</v>
      </c>
      <c r="PM24">
        <v>9.8000000000000007</v>
      </c>
      <c r="PN24">
        <v>9.8000000000000007</v>
      </c>
      <c r="PO24">
        <v>9.9</v>
      </c>
      <c r="PP24">
        <v>9.9</v>
      </c>
      <c r="PQ24">
        <v>9.5</v>
      </c>
      <c r="PR24">
        <v>9.6999999999999993</v>
      </c>
      <c r="PS24">
        <v>9.8000000000000007</v>
      </c>
      <c r="PT24">
        <v>13.1</v>
      </c>
      <c r="PU24">
        <v>12.6</v>
      </c>
      <c r="PV24">
        <v>12.9</v>
      </c>
      <c r="PW24">
        <v>12.9</v>
      </c>
      <c r="PX24">
        <v>13</v>
      </c>
      <c r="PY24">
        <v>13.3</v>
      </c>
      <c r="PZ24">
        <v>13.4</v>
      </c>
      <c r="QA24">
        <v>13.2</v>
      </c>
      <c r="QB24">
        <v>13.1</v>
      </c>
      <c r="QC24">
        <v>11.9</v>
      </c>
      <c r="QD24">
        <v>11.9</v>
      </c>
      <c r="QE24">
        <v>11.9</v>
      </c>
      <c r="QF24">
        <v>11.7</v>
      </c>
      <c r="QG24">
        <v>11.3</v>
      </c>
      <c r="QH24">
        <v>11.3</v>
      </c>
      <c r="QI24">
        <v>10.6</v>
      </c>
      <c r="QJ24">
        <v>10.7</v>
      </c>
      <c r="QK24">
        <v>9.9</v>
      </c>
      <c r="QL24">
        <v>10.199999999999999</v>
      </c>
      <c r="QM24">
        <v>10.4</v>
      </c>
      <c r="QN24">
        <v>10.4</v>
      </c>
      <c r="QO24">
        <v>10.5</v>
      </c>
      <c r="QP24">
        <v>10.199999999999999</v>
      </c>
      <c r="QQ24">
        <v>10.3</v>
      </c>
      <c r="QR24">
        <v>10.199999999999999</v>
      </c>
      <c r="QS24">
        <v>10.199999999999999</v>
      </c>
      <c r="QT24">
        <v>10.3</v>
      </c>
      <c r="QU24">
        <v>10.3</v>
      </c>
      <c r="QV24">
        <v>10</v>
      </c>
      <c r="QW24">
        <v>10.1</v>
      </c>
      <c r="QX24">
        <v>10.199999999999999</v>
      </c>
      <c r="QY24">
        <v>13.7</v>
      </c>
      <c r="QZ24">
        <v>13.3</v>
      </c>
      <c r="RA24">
        <v>13.5</v>
      </c>
      <c r="RB24">
        <v>13.5</v>
      </c>
      <c r="RC24">
        <v>13.6</v>
      </c>
      <c r="RD24">
        <v>13.9</v>
      </c>
      <c r="RE24">
        <v>13.9</v>
      </c>
      <c r="RF24">
        <v>13.8</v>
      </c>
      <c r="RG24">
        <v>13.6</v>
      </c>
      <c r="RH24">
        <v>12.3</v>
      </c>
      <c r="RI24">
        <v>12.3</v>
      </c>
      <c r="RJ24">
        <v>12.4</v>
      </c>
      <c r="RK24">
        <v>12.2</v>
      </c>
      <c r="RL24">
        <v>11.7</v>
      </c>
      <c r="RM24">
        <v>11.8</v>
      </c>
      <c r="RN24">
        <v>11.1</v>
      </c>
      <c r="RO24">
        <v>11.2</v>
      </c>
      <c r="RP24">
        <v>10.5</v>
      </c>
      <c r="RQ24">
        <v>10.7</v>
      </c>
      <c r="RR24">
        <v>10.9</v>
      </c>
      <c r="RS24">
        <v>10.9</v>
      </c>
      <c r="RT24">
        <v>11</v>
      </c>
      <c r="RU24">
        <v>10.8</v>
      </c>
      <c r="RV24">
        <v>10.9</v>
      </c>
      <c r="RW24">
        <v>10.7</v>
      </c>
      <c r="RX24">
        <v>10.7</v>
      </c>
      <c r="RY24">
        <v>10.8</v>
      </c>
      <c r="RZ24">
        <v>10.7</v>
      </c>
      <c r="SA24">
        <v>10.5</v>
      </c>
      <c r="SB24">
        <v>10.6</v>
      </c>
      <c r="SC24">
        <v>10.6</v>
      </c>
      <c r="SD24">
        <v>14.1</v>
      </c>
      <c r="SE24">
        <v>13.8</v>
      </c>
      <c r="SF24">
        <v>14</v>
      </c>
      <c r="SG24">
        <v>14</v>
      </c>
      <c r="SH24">
        <v>14.1</v>
      </c>
      <c r="SI24">
        <v>14.3</v>
      </c>
      <c r="SJ24">
        <v>14.4</v>
      </c>
      <c r="SK24">
        <v>14.2</v>
      </c>
      <c r="SL24">
        <v>14</v>
      </c>
      <c r="SM24">
        <v>12.7</v>
      </c>
      <c r="SN24">
        <v>12.7</v>
      </c>
      <c r="SO24">
        <v>12.8</v>
      </c>
      <c r="SP24">
        <v>12.6</v>
      </c>
      <c r="SQ24">
        <v>12.2</v>
      </c>
      <c r="SR24">
        <v>12.2</v>
      </c>
      <c r="SS24">
        <v>11.6</v>
      </c>
      <c r="ST24">
        <v>11.8</v>
      </c>
      <c r="SU24">
        <v>11</v>
      </c>
      <c r="SV24">
        <v>11.3</v>
      </c>
      <c r="SW24">
        <v>11.4</v>
      </c>
      <c r="SX24">
        <v>11.5</v>
      </c>
      <c r="SY24">
        <v>11.5</v>
      </c>
      <c r="SZ24">
        <v>11.4</v>
      </c>
      <c r="TA24">
        <v>11.5</v>
      </c>
      <c r="TB24">
        <v>11.2</v>
      </c>
      <c r="TC24">
        <v>11.3</v>
      </c>
      <c r="TD24">
        <v>11.4</v>
      </c>
      <c r="TE24">
        <v>11.3</v>
      </c>
      <c r="TF24">
        <v>11.1</v>
      </c>
      <c r="TG24">
        <v>11.3</v>
      </c>
      <c r="TH24">
        <v>11.3</v>
      </c>
      <c r="TI24">
        <v>14.5</v>
      </c>
      <c r="TJ24">
        <v>14.2</v>
      </c>
      <c r="TK24">
        <v>14.4</v>
      </c>
      <c r="TL24">
        <v>14.5</v>
      </c>
      <c r="TM24">
        <v>14.6</v>
      </c>
      <c r="TN24">
        <v>14.8</v>
      </c>
      <c r="TO24">
        <v>14.8</v>
      </c>
      <c r="TP24">
        <v>14.7</v>
      </c>
      <c r="TQ24">
        <v>14.5</v>
      </c>
      <c r="TR24">
        <v>13.2</v>
      </c>
      <c r="TS24">
        <v>13.2</v>
      </c>
      <c r="TT24">
        <v>13.3</v>
      </c>
      <c r="TU24">
        <v>13.1</v>
      </c>
      <c r="TV24">
        <v>12.7</v>
      </c>
      <c r="TW24">
        <v>12.7</v>
      </c>
      <c r="TX24">
        <v>12.3</v>
      </c>
      <c r="TY24">
        <v>12.4</v>
      </c>
      <c r="TZ24">
        <v>11.6</v>
      </c>
      <c r="UA24">
        <v>11.9</v>
      </c>
      <c r="UB24">
        <v>12.1</v>
      </c>
      <c r="UC24">
        <v>12.2</v>
      </c>
      <c r="UD24">
        <v>12.2</v>
      </c>
      <c r="UE24">
        <v>12.1</v>
      </c>
      <c r="UF24">
        <v>12.3</v>
      </c>
      <c r="UG24">
        <v>11.9</v>
      </c>
      <c r="UH24">
        <v>12</v>
      </c>
      <c r="UI24">
        <v>12.1</v>
      </c>
      <c r="UJ24">
        <v>12</v>
      </c>
      <c r="UK24">
        <v>11.8</v>
      </c>
      <c r="UL24">
        <v>12</v>
      </c>
      <c r="UM24">
        <v>12</v>
      </c>
      <c r="UN24">
        <v>15</v>
      </c>
      <c r="UO24">
        <v>14.8</v>
      </c>
      <c r="UP24">
        <v>15</v>
      </c>
      <c r="UQ24">
        <v>15.1</v>
      </c>
      <c r="UR24">
        <v>15.1</v>
      </c>
      <c r="US24">
        <v>15.4</v>
      </c>
      <c r="UT24">
        <v>15.5</v>
      </c>
      <c r="UU24">
        <v>15.5</v>
      </c>
      <c r="UV24">
        <v>15.2</v>
      </c>
      <c r="UW24">
        <v>13.9</v>
      </c>
      <c r="UX24">
        <v>13.9</v>
      </c>
      <c r="UY24">
        <v>13.9</v>
      </c>
      <c r="UZ24">
        <v>13.7</v>
      </c>
      <c r="VA24">
        <v>13.3</v>
      </c>
      <c r="VB24">
        <v>13.4</v>
      </c>
      <c r="VC24">
        <v>13</v>
      </c>
      <c r="VD24">
        <v>13.2</v>
      </c>
      <c r="VE24">
        <v>12.4</v>
      </c>
      <c r="VF24">
        <v>12.7</v>
      </c>
      <c r="VG24">
        <v>12.9</v>
      </c>
      <c r="VH24">
        <v>13</v>
      </c>
      <c r="VI24">
        <v>13.1</v>
      </c>
      <c r="VJ24">
        <v>13</v>
      </c>
      <c r="VK24">
        <v>13.1</v>
      </c>
      <c r="VL24">
        <v>12.6</v>
      </c>
      <c r="VM24">
        <v>12.8</v>
      </c>
      <c r="VN24">
        <v>12.9</v>
      </c>
      <c r="VO24">
        <v>12.8</v>
      </c>
      <c r="VP24">
        <v>12.6</v>
      </c>
      <c r="VQ24">
        <v>12.8</v>
      </c>
      <c r="VR24">
        <v>12.9</v>
      </c>
      <c r="VS24">
        <v>15.9</v>
      </c>
      <c r="VT24">
        <v>15.6</v>
      </c>
      <c r="VU24">
        <v>15.7</v>
      </c>
      <c r="VV24">
        <v>15.9</v>
      </c>
      <c r="VW24">
        <v>16</v>
      </c>
      <c r="VX24">
        <v>16.3</v>
      </c>
      <c r="VY24">
        <v>16.600000000000001</v>
      </c>
      <c r="VZ24">
        <v>16.5</v>
      </c>
      <c r="WA24">
        <v>16.2</v>
      </c>
      <c r="WB24">
        <v>14.8</v>
      </c>
      <c r="WC24">
        <v>14.8</v>
      </c>
      <c r="WD24">
        <v>14.8</v>
      </c>
      <c r="WE24">
        <v>14.6</v>
      </c>
      <c r="WF24">
        <v>14.3</v>
      </c>
      <c r="WG24">
        <v>14.4</v>
      </c>
      <c r="WH24">
        <v>14.1</v>
      </c>
      <c r="WI24">
        <v>14.3</v>
      </c>
      <c r="WJ24">
        <v>13.6</v>
      </c>
      <c r="WK24">
        <v>13.8</v>
      </c>
      <c r="WL24">
        <v>14</v>
      </c>
      <c r="WM24">
        <v>14.1</v>
      </c>
      <c r="WN24">
        <v>14.2</v>
      </c>
      <c r="WO24">
        <v>14.1</v>
      </c>
      <c r="WP24">
        <v>14.2</v>
      </c>
      <c r="WQ24">
        <v>13.8</v>
      </c>
      <c r="WR24">
        <v>13.9</v>
      </c>
      <c r="WS24">
        <v>14</v>
      </c>
      <c r="WT24">
        <v>14</v>
      </c>
      <c r="WU24">
        <v>13.8</v>
      </c>
      <c r="WV24">
        <v>14.1</v>
      </c>
      <c r="WW24">
        <v>14.3</v>
      </c>
      <c r="WX24">
        <v>18.8</v>
      </c>
      <c r="WY24">
        <v>18.2</v>
      </c>
      <c r="WZ24">
        <v>16.8</v>
      </c>
      <c r="XA24">
        <v>19.100000000000001</v>
      </c>
      <c r="XB24">
        <v>19.5</v>
      </c>
      <c r="XC24">
        <v>19.899999999999999</v>
      </c>
      <c r="XD24">
        <v>20.3</v>
      </c>
      <c r="XE24">
        <v>20.3</v>
      </c>
      <c r="XF24">
        <v>19.8</v>
      </c>
      <c r="XG24">
        <v>18.3</v>
      </c>
      <c r="XH24">
        <v>18.3</v>
      </c>
      <c r="XI24">
        <v>18.3</v>
      </c>
      <c r="XJ24">
        <v>18</v>
      </c>
      <c r="XK24">
        <v>17.8</v>
      </c>
      <c r="XL24">
        <v>17.899999999999999</v>
      </c>
      <c r="XM24">
        <v>17.8</v>
      </c>
      <c r="XN24">
        <v>18.100000000000001</v>
      </c>
      <c r="XO24">
        <v>17.399999999999999</v>
      </c>
      <c r="XP24">
        <v>17.5</v>
      </c>
      <c r="XQ24">
        <v>17.7</v>
      </c>
      <c r="XR24">
        <v>17.8</v>
      </c>
      <c r="XS24">
        <v>17.8</v>
      </c>
      <c r="XT24">
        <v>17.8</v>
      </c>
      <c r="XU24">
        <v>18</v>
      </c>
      <c r="XV24">
        <v>17.8</v>
      </c>
      <c r="XW24">
        <v>17.899999999999999</v>
      </c>
      <c r="XX24">
        <v>18.2</v>
      </c>
      <c r="XY24">
        <v>18.2</v>
      </c>
      <c r="XZ24">
        <v>18</v>
      </c>
      <c r="YA24">
        <v>18.3</v>
      </c>
      <c r="YB24">
        <v>18.7</v>
      </c>
    </row>
    <row r="25" spans="1:652" x14ac:dyDescent="0.2">
      <c r="A25" t="s">
        <v>45</v>
      </c>
      <c r="B25">
        <v>16.600000000000001</v>
      </c>
      <c r="C25">
        <v>16.3</v>
      </c>
      <c r="D25">
        <v>16.2</v>
      </c>
      <c r="E25">
        <v>16.8</v>
      </c>
      <c r="F25">
        <v>16.899999999999999</v>
      </c>
      <c r="G25">
        <v>17.3</v>
      </c>
      <c r="H25">
        <v>17.5</v>
      </c>
      <c r="I25">
        <v>17.399999999999999</v>
      </c>
      <c r="J25">
        <v>17.100000000000001</v>
      </c>
      <c r="K25">
        <v>15.5</v>
      </c>
      <c r="L25">
        <v>15.5</v>
      </c>
      <c r="M25">
        <v>15.5</v>
      </c>
      <c r="N25">
        <v>15.3</v>
      </c>
      <c r="O25">
        <v>15</v>
      </c>
      <c r="P25">
        <v>15.1</v>
      </c>
      <c r="Q25">
        <v>14.9</v>
      </c>
      <c r="R25">
        <v>15.1</v>
      </c>
      <c r="S25">
        <v>14.3</v>
      </c>
      <c r="T25">
        <v>14.6</v>
      </c>
      <c r="U25">
        <v>14.8</v>
      </c>
      <c r="V25">
        <v>14.9</v>
      </c>
      <c r="W25">
        <v>14.9</v>
      </c>
      <c r="X25">
        <v>14.9</v>
      </c>
      <c r="Y25">
        <v>14.9</v>
      </c>
      <c r="Z25">
        <v>14.4</v>
      </c>
      <c r="AA25">
        <v>14.5</v>
      </c>
      <c r="AB25">
        <v>14.7</v>
      </c>
      <c r="AC25">
        <v>14.6</v>
      </c>
      <c r="AD25">
        <v>14.4</v>
      </c>
      <c r="AE25">
        <v>14.6</v>
      </c>
      <c r="AF25">
        <v>14.9</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3</v>
      </c>
      <c r="BM25">
        <v>2.1</v>
      </c>
      <c r="BN25">
        <v>2</v>
      </c>
      <c r="BO25">
        <v>2.1</v>
      </c>
      <c r="BP25">
        <v>2</v>
      </c>
      <c r="BQ25">
        <v>2.2000000000000002</v>
      </c>
      <c r="BR25">
        <v>2.4</v>
      </c>
      <c r="BS25">
        <v>2.2999999999999998</v>
      </c>
      <c r="BT25">
        <v>2.4</v>
      </c>
      <c r="BU25">
        <v>3.3</v>
      </c>
      <c r="BV25">
        <v>2.9</v>
      </c>
      <c r="BW25">
        <v>2.8</v>
      </c>
      <c r="BX25">
        <v>2.7</v>
      </c>
      <c r="BY25">
        <v>2</v>
      </c>
      <c r="BZ25">
        <v>2.1</v>
      </c>
      <c r="CA25">
        <v>1</v>
      </c>
      <c r="CB25">
        <v>1.2</v>
      </c>
      <c r="CC25">
        <v>0.2</v>
      </c>
      <c r="CD25">
        <v>0.1</v>
      </c>
      <c r="CE25">
        <v>0.2</v>
      </c>
      <c r="CF25">
        <v>0.2</v>
      </c>
      <c r="CG25">
        <v>0.1</v>
      </c>
      <c r="CH25">
        <v>0.2</v>
      </c>
      <c r="CI25">
        <v>0.3</v>
      </c>
      <c r="CJ25">
        <v>0.5</v>
      </c>
      <c r="CK25">
        <v>0.5</v>
      </c>
      <c r="CL25">
        <v>0.8</v>
      </c>
      <c r="CM25">
        <v>0.5</v>
      </c>
      <c r="CN25">
        <v>3.2</v>
      </c>
      <c r="CO25">
        <v>2.2000000000000002</v>
      </c>
      <c r="CP25">
        <v>0</v>
      </c>
      <c r="CQ25">
        <v>5.5</v>
      </c>
      <c r="CR25">
        <v>5.0999999999999996</v>
      </c>
      <c r="CS25">
        <v>5.2</v>
      </c>
      <c r="CT25">
        <v>5.4</v>
      </c>
      <c r="CU25">
        <v>5.4</v>
      </c>
      <c r="CV25">
        <v>5.5</v>
      </c>
      <c r="CW25">
        <v>5.5</v>
      </c>
      <c r="CX25">
        <v>5.2</v>
      </c>
      <c r="CY25">
        <v>5.2</v>
      </c>
      <c r="CZ25">
        <v>5.3</v>
      </c>
      <c r="DA25">
        <v>5</v>
      </c>
      <c r="DB25">
        <v>5</v>
      </c>
      <c r="DC25">
        <v>5</v>
      </c>
      <c r="DD25">
        <v>4.3</v>
      </c>
      <c r="DE25">
        <v>4.3</v>
      </c>
      <c r="DF25">
        <v>3.5</v>
      </c>
      <c r="DG25">
        <v>3.6</v>
      </c>
      <c r="DH25">
        <v>2.9</v>
      </c>
      <c r="DI25">
        <v>2.7</v>
      </c>
      <c r="DJ25">
        <v>2.8</v>
      </c>
      <c r="DK25">
        <v>2.9</v>
      </c>
      <c r="DL25">
        <v>2.8</v>
      </c>
      <c r="DM25">
        <v>2.9</v>
      </c>
      <c r="DN25">
        <v>2.9</v>
      </c>
      <c r="DO25">
        <v>3.1</v>
      </c>
      <c r="DP25">
        <v>3.3</v>
      </c>
      <c r="DQ25">
        <v>3.3</v>
      </c>
      <c r="DR25">
        <v>3</v>
      </c>
      <c r="DS25">
        <v>4.5</v>
      </c>
      <c r="DT25">
        <v>3.9</v>
      </c>
      <c r="DU25">
        <v>2.1</v>
      </c>
      <c r="DV25">
        <v>7.2</v>
      </c>
      <c r="DW25">
        <v>6.7</v>
      </c>
      <c r="DX25">
        <v>6.8</v>
      </c>
      <c r="DY25">
        <v>6.9</v>
      </c>
      <c r="DZ25">
        <v>7</v>
      </c>
      <c r="EA25">
        <v>7</v>
      </c>
      <c r="EB25">
        <v>7.1</v>
      </c>
      <c r="EC25">
        <v>6.8</v>
      </c>
      <c r="ED25">
        <v>6.8</v>
      </c>
      <c r="EE25">
        <v>6.9</v>
      </c>
      <c r="EF25">
        <v>6.7</v>
      </c>
      <c r="EG25">
        <v>6.7</v>
      </c>
      <c r="EH25">
        <v>6.7</v>
      </c>
      <c r="EI25">
        <v>6</v>
      </c>
      <c r="EJ25">
        <v>6</v>
      </c>
      <c r="EK25">
        <v>5.3</v>
      </c>
      <c r="EL25">
        <v>5.4</v>
      </c>
      <c r="EM25">
        <v>4.8</v>
      </c>
      <c r="EN25">
        <v>4.5999999999999996</v>
      </c>
      <c r="EO25">
        <v>4.7</v>
      </c>
      <c r="EP25">
        <v>4.8</v>
      </c>
      <c r="EQ25">
        <v>4.7</v>
      </c>
      <c r="ER25">
        <v>4.9000000000000004</v>
      </c>
      <c r="ES25">
        <v>5</v>
      </c>
      <c r="ET25">
        <v>5</v>
      </c>
      <c r="EU25">
        <v>5.0999999999999996</v>
      </c>
      <c r="EV25">
        <v>5.2</v>
      </c>
      <c r="EW25">
        <v>5</v>
      </c>
      <c r="EX25">
        <v>6.3</v>
      </c>
      <c r="EY25">
        <v>5.8</v>
      </c>
      <c r="EZ25">
        <v>4.0999999999999996</v>
      </c>
      <c r="FA25">
        <v>8.8000000000000007</v>
      </c>
      <c r="FB25">
        <v>8.4</v>
      </c>
      <c r="FC25">
        <v>8.5</v>
      </c>
      <c r="FD25">
        <v>8.5</v>
      </c>
      <c r="FE25">
        <v>8.5</v>
      </c>
      <c r="FF25">
        <v>8.6</v>
      </c>
      <c r="FG25">
        <v>8.6999999999999993</v>
      </c>
      <c r="FH25">
        <v>8.5</v>
      </c>
      <c r="FI25">
        <v>8.4</v>
      </c>
      <c r="FJ25">
        <v>8.4</v>
      </c>
      <c r="FK25">
        <v>8.1999999999999993</v>
      </c>
      <c r="FL25">
        <v>8.1999999999999993</v>
      </c>
      <c r="FM25">
        <v>8.1999999999999993</v>
      </c>
      <c r="FN25">
        <v>7.4</v>
      </c>
      <c r="FO25">
        <v>7.5</v>
      </c>
      <c r="FP25">
        <v>6.8</v>
      </c>
      <c r="FQ25">
        <v>7</v>
      </c>
      <c r="FR25">
        <v>6.5</v>
      </c>
      <c r="FS25">
        <v>6.4</v>
      </c>
      <c r="FT25">
        <v>6.4</v>
      </c>
      <c r="FU25">
        <v>6.5</v>
      </c>
      <c r="FV25">
        <v>6.5</v>
      </c>
      <c r="FW25">
        <v>6.6</v>
      </c>
      <c r="FX25">
        <v>6.7</v>
      </c>
      <c r="FY25">
        <v>6.7</v>
      </c>
      <c r="FZ25">
        <v>6.8</v>
      </c>
      <c r="GA25">
        <v>6.9</v>
      </c>
      <c r="GB25">
        <v>6.9</v>
      </c>
      <c r="GC25">
        <v>7.5</v>
      </c>
      <c r="GD25">
        <v>7.2</v>
      </c>
      <c r="GE25">
        <v>6.4</v>
      </c>
      <c r="GF25">
        <v>10.1</v>
      </c>
      <c r="GG25">
        <v>9.8000000000000007</v>
      </c>
      <c r="GH25">
        <v>9.8000000000000007</v>
      </c>
      <c r="GI25">
        <v>9.8000000000000007</v>
      </c>
      <c r="GJ25">
        <v>9.8000000000000007</v>
      </c>
      <c r="GK25">
        <v>9.9</v>
      </c>
      <c r="GL25">
        <v>10</v>
      </c>
      <c r="GM25">
        <v>9.8000000000000007</v>
      </c>
      <c r="GN25">
        <v>9.6999999999999993</v>
      </c>
      <c r="GO25">
        <v>9.4</v>
      </c>
      <c r="GP25">
        <v>9.3000000000000007</v>
      </c>
      <c r="GQ25">
        <v>9.3000000000000007</v>
      </c>
      <c r="GR25">
        <v>9.3000000000000007</v>
      </c>
      <c r="GS25">
        <v>8.5</v>
      </c>
      <c r="GT25">
        <v>8.6</v>
      </c>
      <c r="GU25">
        <v>8</v>
      </c>
      <c r="GV25">
        <v>8.1</v>
      </c>
      <c r="GW25">
        <v>7.6</v>
      </c>
      <c r="GX25">
        <v>7.6</v>
      </c>
      <c r="GY25">
        <v>7.6</v>
      </c>
      <c r="GZ25">
        <v>7.7</v>
      </c>
      <c r="HA25">
        <v>7.6</v>
      </c>
      <c r="HB25">
        <v>7.8</v>
      </c>
      <c r="HC25">
        <v>7.9</v>
      </c>
      <c r="HD25">
        <v>7.8</v>
      </c>
      <c r="HE25">
        <v>7.9</v>
      </c>
      <c r="HF25">
        <v>8</v>
      </c>
      <c r="HG25">
        <v>8</v>
      </c>
      <c r="HH25">
        <v>8.3000000000000007</v>
      </c>
      <c r="HI25">
        <v>8.1</v>
      </c>
      <c r="HJ25">
        <v>7.6</v>
      </c>
      <c r="HK25">
        <v>11.1</v>
      </c>
      <c r="HL25">
        <v>10.7</v>
      </c>
      <c r="HM25">
        <v>10.8</v>
      </c>
      <c r="HN25">
        <v>10.8</v>
      </c>
      <c r="HO25">
        <v>10.8</v>
      </c>
      <c r="HP25">
        <v>10.9</v>
      </c>
      <c r="HQ25">
        <v>10.9</v>
      </c>
      <c r="HR25">
        <v>10.7</v>
      </c>
      <c r="HS25">
        <v>10.6</v>
      </c>
      <c r="HT25">
        <v>10.199999999999999</v>
      </c>
      <c r="HU25">
        <v>10.1</v>
      </c>
      <c r="HV25">
        <v>10.1</v>
      </c>
      <c r="HW25">
        <v>10.1</v>
      </c>
      <c r="HX25">
        <v>9.3000000000000007</v>
      </c>
      <c r="HY25">
        <v>9.3000000000000007</v>
      </c>
      <c r="HZ25">
        <v>8.8000000000000007</v>
      </c>
      <c r="IA25">
        <v>8.9</v>
      </c>
      <c r="IB25">
        <v>8.5</v>
      </c>
      <c r="IC25">
        <v>8.5</v>
      </c>
      <c r="ID25">
        <v>8.5</v>
      </c>
      <c r="IE25">
        <v>8.5</v>
      </c>
      <c r="IF25">
        <v>8.5</v>
      </c>
      <c r="IG25">
        <v>8.6</v>
      </c>
      <c r="IH25">
        <v>8.6999999999999993</v>
      </c>
      <c r="II25">
        <v>8.6999999999999993</v>
      </c>
      <c r="IJ25">
        <v>8.8000000000000007</v>
      </c>
      <c r="IK25">
        <v>8.9</v>
      </c>
      <c r="IL25">
        <v>8.8000000000000007</v>
      </c>
      <c r="IM25">
        <v>8.9</v>
      </c>
      <c r="IN25">
        <v>8.8000000000000007</v>
      </c>
      <c r="IO25">
        <v>8.5</v>
      </c>
      <c r="IP25">
        <v>11.8</v>
      </c>
      <c r="IQ25">
        <v>11.5</v>
      </c>
      <c r="IR25">
        <v>11.6</v>
      </c>
      <c r="IS25">
        <v>11.5</v>
      </c>
      <c r="IT25">
        <v>11.5</v>
      </c>
      <c r="IU25">
        <v>11.7</v>
      </c>
      <c r="IV25">
        <v>11.6</v>
      </c>
      <c r="IW25">
        <v>11.4</v>
      </c>
      <c r="IX25">
        <v>11.3</v>
      </c>
      <c r="IY25">
        <v>10.8</v>
      </c>
      <c r="IZ25">
        <v>10.7</v>
      </c>
      <c r="JA25">
        <v>10.7</v>
      </c>
      <c r="JB25">
        <v>10.7</v>
      </c>
      <c r="JC25">
        <v>9.9</v>
      </c>
      <c r="JD25">
        <v>10</v>
      </c>
      <c r="JE25">
        <v>9.5</v>
      </c>
      <c r="JF25">
        <v>9.6</v>
      </c>
      <c r="JG25">
        <v>9.1999999999999993</v>
      </c>
      <c r="JH25">
        <v>9.1999999999999993</v>
      </c>
      <c r="JI25">
        <v>9.3000000000000007</v>
      </c>
      <c r="JJ25">
        <v>9.3000000000000007</v>
      </c>
      <c r="JK25">
        <v>9.3000000000000007</v>
      </c>
      <c r="JL25">
        <v>9.4</v>
      </c>
      <c r="JM25">
        <v>9.4</v>
      </c>
      <c r="JN25">
        <v>9.4</v>
      </c>
      <c r="JO25">
        <v>9.5</v>
      </c>
      <c r="JP25">
        <v>9.6</v>
      </c>
      <c r="JQ25">
        <v>9.5</v>
      </c>
      <c r="JR25">
        <v>9.6</v>
      </c>
      <c r="JS25">
        <v>9.6</v>
      </c>
      <c r="JT25">
        <v>9.1999999999999993</v>
      </c>
      <c r="JU25">
        <v>12.4</v>
      </c>
      <c r="JV25">
        <v>12.1</v>
      </c>
      <c r="JW25">
        <v>12.2</v>
      </c>
      <c r="JX25">
        <v>12.1</v>
      </c>
      <c r="JY25">
        <v>12.1</v>
      </c>
      <c r="JZ25">
        <v>12.3</v>
      </c>
      <c r="KA25">
        <v>12.2</v>
      </c>
      <c r="KB25">
        <v>12.1</v>
      </c>
      <c r="KC25">
        <v>12.2</v>
      </c>
      <c r="KD25">
        <v>11.7</v>
      </c>
      <c r="KE25">
        <v>11.6</v>
      </c>
      <c r="KF25">
        <v>11.6</v>
      </c>
      <c r="KG25">
        <v>11.3</v>
      </c>
      <c r="KH25">
        <v>10.6</v>
      </c>
      <c r="KI25">
        <v>10.8</v>
      </c>
      <c r="KJ25">
        <v>10.5</v>
      </c>
      <c r="KK25">
        <v>10.6</v>
      </c>
      <c r="KL25">
        <v>9.8000000000000007</v>
      </c>
      <c r="KM25">
        <v>9.9</v>
      </c>
      <c r="KN25">
        <v>10</v>
      </c>
      <c r="KO25">
        <v>10</v>
      </c>
      <c r="KP25">
        <v>10</v>
      </c>
      <c r="KQ25">
        <v>10.199999999999999</v>
      </c>
      <c r="KR25">
        <v>10.3</v>
      </c>
      <c r="KS25">
        <v>10.199999999999999</v>
      </c>
      <c r="KT25">
        <v>10.4</v>
      </c>
      <c r="KU25">
        <v>10.5</v>
      </c>
      <c r="KV25">
        <v>10.4</v>
      </c>
      <c r="KW25">
        <v>10.7</v>
      </c>
      <c r="KX25">
        <v>10.7</v>
      </c>
      <c r="KY25">
        <v>10.3</v>
      </c>
      <c r="KZ25">
        <v>13</v>
      </c>
      <c r="LA25">
        <v>12.6</v>
      </c>
      <c r="LB25">
        <v>12.8</v>
      </c>
      <c r="LC25">
        <v>12.7</v>
      </c>
      <c r="LD25">
        <v>12.9</v>
      </c>
      <c r="LE25">
        <v>13.1</v>
      </c>
      <c r="LF25">
        <v>13.3</v>
      </c>
      <c r="LG25">
        <v>13.4</v>
      </c>
      <c r="LH25">
        <v>13.5</v>
      </c>
      <c r="LI25">
        <v>12.7</v>
      </c>
      <c r="LJ25">
        <v>12.6</v>
      </c>
      <c r="LK25">
        <v>12.6</v>
      </c>
      <c r="LL25">
        <v>12.4</v>
      </c>
      <c r="LM25">
        <v>11.8</v>
      </c>
      <c r="LN25">
        <v>11.9</v>
      </c>
      <c r="LO25">
        <v>11.6</v>
      </c>
      <c r="LP25">
        <v>11.8</v>
      </c>
      <c r="LQ25">
        <v>10.9</v>
      </c>
      <c r="LR25">
        <v>11</v>
      </c>
      <c r="LS25">
        <v>11.2</v>
      </c>
      <c r="LT25">
        <v>11.2</v>
      </c>
      <c r="LU25">
        <v>11.2</v>
      </c>
      <c r="LV25">
        <v>11.4</v>
      </c>
      <c r="LW25">
        <v>11.5</v>
      </c>
      <c r="LX25">
        <v>11.2</v>
      </c>
      <c r="LY25">
        <v>11.4</v>
      </c>
      <c r="LZ25">
        <v>11.5</v>
      </c>
      <c r="MA25">
        <v>11.4</v>
      </c>
      <c r="MB25">
        <v>11.6</v>
      </c>
      <c r="MC25">
        <v>11.6</v>
      </c>
      <c r="MD25">
        <v>11.4</v>
      </c>
      <c r="ME25">
        <v>14.1</v>
      </c>
      <c r="MF25">
        <v>13.7</v>
      </c>
      <c r="MG25">
        <v>14</v>
      </c>
      <c r="MH25">
        <v>14</v>
      </c>
      <c r="MI25">
        <v>14.1</v>
      </c>
      <c r="MJ25">
        <v>14.4</v>
      </c>
      <c r="MK25">
        <v>14.5</v>
      </c>
      <c r="ML25">
        <v>14.6</v>
      </c>
      <c r="MM25">
        <v>14.6</v>
      </c>
      <c r="MN25">
        <v>13.6</v>
      </c>
      <c r="MO25">
        <v>13.5</v>
      </c>
      <c r="MP25">
        <v>13.5</v>
      </c>
      <c r="MQ25">
        <v>13.3</v>
      </c>
      <c r="MR25">
        <v>12.8</v>
      </c>
      <c r="MS25">
        <v>12.9</v>
      </c>
      <c r="MT25">
        <v>12.7</v>
      </c>
      <c r="MU25">
        <v>12.8</v>
      </c>
      <c r="MV25">
        <v>11.9</v>
      </c>
      <c r="MW25">
        <v>12.1</v>
      </c>
      <c r="MX25">
        <v>12.3</v>
      </c>
      <c r="MY25">
        <v>12.3</v>
      </c>
      <c r="MZ25">
        <v>12.3</v>
      </c>
      <c r="NA25">
        <v>12.5</v>
      </c>
      <c r="NB25">
        <v>12.6</v>
      </c>
      <c r="NC25">
        <v>12.2</v>
      </c>
      <c r="ND25">
        <v>12.4</v>
      </c>
      <c r="NE25">
        <v>12.5</v>
      </c>
      <c r="NF25">
        <v>12.4</v>
      </c>
      <c r="NG25">
        <v>12.5</v>
      </c>
      <c r="NH25">
        <v>12.5</v>
      </c>
      <c r="NI25">
        <v>12.4</v>
      </c>
      <c r="NJ25">
        <v>15</v>
      </c>
      <c r="NK25">
        <v>14.7</v>
      </c>
      <c r="NL25">
        <v>15</v>
      </c>
      <c r="NM25">
        <v>15</v>
      </c>
      <c r="NN25">
        <v>15.2</v>
      </c>
      <c r="NO25">
        <v>15.4</v>
      </c>
      <c r="NP25">
        <v>15.5</v>
      </c>
      <c r="NQ25">
        <v>15.6</v>
      </c>
      <c r="NR25">
        <v>15.5</v>
      </c>
      <c r="NS25">
        <v>14.3</v>
      </c>
      <c r="NT25">
        <v>14.2</v>
      </c>
      <c r="NU25">
        <v>14.2</v>
      </c>
      <c r="NV25">
        <v>14</v>
      </c>
      <c r="NW25">
        <v>13.6</v>
      </c>
      <c r="NX25">
        <v>13.7</v>
      </c>
      <c r="NY25">
        <v>13.5</v>
      </c>
      <c r="NZ25">
        <v>13.6</v>
      </c>
      <c r="OA25">
        <v>12.8</v>
      </c>
      <c r="OB25">
        <v>13</v>
      </c>
      <c r="OC25">
        <v>13.2</v>
      </c>
      <c r="OD25">
        <v>13.2</v>
      </c>
      <c r="OE25">
        <v>13.2</v>
      </c>
      <c r="OF25">
        <v>13.5</v>
      </c>
      <c r="OG25">
        <v>13.5</v>
      </c>
      <c r="OH25">
        <v>12.9</v>
      </c>
      <c r="OI25">
        <v>13.1</v>
      </c>
      <c r="OJ25">
        <v>13.3</v>
      </c>
      <c r="OK25">
        <v>13.2</v>
      </c>
      <c r="OL25">
        <v>13.1</v>
      </c>
      <c r="OM25">
        <v>13.2</v>
      </c>
      <c r="ON25">
        <v>13.2</v>
      </c>
      <c r="OO25">
        <v>15.8</v>
      </c>
      <c r="OP25">
        <v>15.4</v>
      </c>
      <c r="OQ25">
        <v>15.7</v>
      </c>
      <c r="OR25">
        <v>15.8</v>
      </c>
      <c r="OS25">
        <v>16</v>
      </c>
      <c r="OT25">
        <v>16.2</v>
      </c>
      <c r="OU25">
        <v>16.3</v>
      </c>
      <c r="OV25">
        <v>16.3</v>
      </c>
      <c r="OW25">
        <v>16.100000000000001</v>
      </c>
      <c r="OX25">
        <v>14.7</v>
      </c>
      <c r="OY25">
        <v>14.7</v>
      </c>
      <c r="OZ25">
        <v>14.7</v>
      </c>
      <c r="PA25">
        <v>14.5</v>
      </c>
      <c r="PB25">
        <v>14.1</v>
      </c>
      <c r="PC25">
        <v>14.2</v>
      </c>
      <c r="PD25">
        <v>14</v>
      </c>
      <c r="PE25">
        <v>14.2</v>
      </c>
      <c r="PF25">
        <v>13.4</v>
      </c>
      <c r="PG25">
        <v>13.6</v>
      </c>
      <c r="PH25">
        <v>13.8</v>
      </c>
      <c r="PI25">
        <v>13.9</v>
      </c>
      <c r="PJ25">
        <v>13.9</v>
      </c>
      <c r="PK25">
        <v>14.1</v>
      </c>
      <c r="PL25">
        <v>14.1</v>
      </c>
      <c r="PM25">
        <v>13.4</v>
      </c>
      <c r="PN25">
        <v>13.6</v>
      </c>
      <c r="PO25">
        <v>13.7</v>
      </c>
      <c r="PP25">
        <v>13.7</v>
      </c>
      <c r="PQ25">
        <v>13.5</v>
      </c>
      <c r="PR25">
        <v>13.6</v>
      </c>
      <c r="PS25">
        <v>13.6</v>
      </c>
      <c r="PT25">
        <v>16.399999999999999</v>
      </c>
      <c r="PU25">
        <v>16</v>
      </c>
      <c r="PV25">
        <v>16.3</v>
      </c>
      <c r="PW25">
        <v>16.399999999999999</v>
      </c>
      <c r="PX25">
        <v>16.600000000000001</v>
      </c>
      <c r="PY25">
        <v>16.8</v>
      </c>
      <c r="PZ25">
        <v>16.899999999999999</v>
      </c>
      <c r="QA25">
        <v>16.899999999999999</v>
      </c>
      <c r="QB25">
        <v>16.5</v>
      </c>
      <c r="QC25">
        <v>15.1</v>
      </c>
      <c r="QD25">
        <v>15</v>
      </c>
      <c r="QE25">
        <v>15</v>
      </c>
      <c r="QF25">
        <v>14.8</v>
      </c>
      <c r="QG25">
        <v>14.5</v>
      </c>
      <c r="QH25">
        <v>14.6</v>
      </c>
      <c r="QI25">
        <v>14.4</v>
      </c>
      <c r="QJ25">
        <v>14.5</v>
      </c>
      <c r="QK25">
        <v>13.8</v>
      </c>
      <c r="QL25">
        <v>14</v>
      </c>
      <c r="QM25">
        <v>14.2</v>
      </c>
      <c r="QN25">
        <v>14.3</v>
      </c>
      <c r="QO25">
        <v>14.4</v>
      </c>
      <c r="QP25">
        <v>14.4</v>
      </c>
      <c r="QQ25">
        <v>14.4</v>
      </c>
      <c r="QR25">
        <v>13.6</v>
      </c>
      <c r="QS25">
        <v>13.7</v>
      </c>
      <c r="QT25">
        <v>13.9</v>
      </c>
      <c r="QU25">
        <v>13.9</v>
      </c>
      <c r="QV25">
        <v>13.6</v>
      </c>
      <c r="QW25">
        <v>13.8</v>
      </c>
      <c r="QX25">
        <v>13.9</v>
      </c>
      <c r="QY25">
        <v>16.899999999999999</v>
      </c>
      <c r="QZ25">
        <v>16.5</v>
      </c>
      <c r="RA25">
        <v>16.8</v>
      </c>
      <c r="RB25">
        <v>16.899999999999999</v>
      </c>
      <c r="RC25">
        <v>17</v>
      </c>
      <c r="RD25">
        <v>17.3</v>
      </c>
      <c r="RE25">
        <v>17.399999999999999</v>
      </c>
      <c r="RF25">
        <v>17.399999999999999</v>
      </c>
      <c r="RG25">
        <v>17</v>
      </c>
      <c r="RH25">
        <v>15.4</v>
      </c>
      <c r="RI25">
        <v>15.3</v>
      </c>
      <c r="RJ25">
        <v>15.4</v>
      </c>
      <c r="RK25">
        <v>15.1</v>
      </c>
      <c r="RL25">
        <v>14.8</v>
      </c>
      <c r="RM25">
        <v>14.9</v>
      </c>
      <c r="RN25">
        <v>14.7</v>
      </c>
      <c r="RO25">
        <v>14.9</v>
      </c>
      <c r="RP25">
        <v>14.1</v>
      </c>
      <c r="RQ25">
        <v>14.3</v>
      </c>
      <c r="RR25">
        <v>14.5</v>
      </c>
      <c r="RS25">
        <v>14.6</v>
      </c>
      <c r="RT25">
        <v>14.7</v>
      </c>
      <c r="RU25">
        <v>14.8</v>
      </c>
      <c r="RV25">
        <v>14.7</v>
      </c>
      <c r="RW25">
        <v>13.9</v>
      </c>
      <c r="RX25">
        <v>14.1</v>
      </c>
      <c r="RY25">
        <v>14.2</v>
      </c>
      <c r="RZ25">
        <v>14.2</v>
      </c>
      <c r="SA25">
        <v>14</v>
      </c>
      <c r="SB25">
        <v>14.3</v>
      </c>
      <c r="SC25">
        <v>14.5</v>
      </c>
      <c r="SD25">
        <v>17.3</v>
      </c>
      <c r="SE25">
        <v>17</v>
      </c>
      <c r="SF25">
        <v>17.2</v>
      </c>
      <c r="SG25">
        <v>17.3</v>
      </c>
      <c r="SH25">
        <v>17.5</v>
      </c>
      <c r="SI25">
        <v>17.7</v>
      </c>
      <c r="SJ25">
        <v>17.899999999999999</v>
      </c>
      <c r="SK25">
        <v>17.899999999999999</v>
      </c>
      <c r="SL25">
        <v>17.5</v>
      </c>
      <c r="SM25">
        <v>15.9</v>
      </c>
      <c r="SN25">
        <v>15.8</v>
      </c>
      <c r="SO25">
        <v>15.9</v>
      </c>
      <c r="SP25">
        <v>15.5</v>
      </c>
      <c r="SQ25">
        <v>15.4</v>
      </c>
      <c r="SR25">
        <v>15.5</v>
      </c>
      <c r="SS25">
        <v>15.2</v>
      </c>
      <c r="ST25">
        <v>15.4</v>
      </c>
      <c r="SU25">
        <v>14.6</v>
      </c>
      <c r="SV25">
        <v>14.8</v>
      </c>
      <c r="SW25">
        <v>15.1</v>
      </c>
      <c r="SX25">
        <v>15.2</v>
      </c>
      <c r="SY25">
        <v>15.3</v>
      </c>
      <c r="SZ25">
        <v>15.3</v>
      </c>
      <c r="TA25">
        <v>15.2</v>
      </c>
      <c r="TB25">
        <v>14.6</v>
      </c>
      <c r="TC25">
        <v>14.7</v>
      </c>
      <c r="TD25">
        <v>14.8</v>
      </c>
      <c r="TE25">
        <v>14.8</v>
      </c>
      <c r="TF25">
        <v>14.5</v>
      </c>
      <c r="TG25">
        <v>14.8</v>
      </c>
      <c r="TH25">
        <v>15.1</v>
      </c>
      <c r="TI25">
        <v>17.7</v>
      </c>
      <c r="TJ25">
        <v>17.399999999999999</v>
      </c>
      <c r="TK25">
        <v>17.600000000000001</v>
      </c>
      <c r="TL25">
        <v>17.8</v>
      </c>
      <c r="TM25">
        <v>17.899999999999999</v>
      </c>
      <c r="TN25">
        <v>18.3</v>
      </c>
      <c r="TO25">
        <v>18.5</v>
      </c>
      <c r="TP25">
        <v>18.600000000000001</v>
      </c>
      <c r="TQ25">
        <v>18</v>
      </c>
      <c r="TR25">
        <v>16.3</v>
      </c>
      <c r="TS25">
        <v>16.3</v>
      </c>
      <c r="TT25">
        <v>16.399999999999999</v>
      </c>
      <c r="TU25">
        <v>16.100000000000001</v>
      </c>
      <c r="TV25">
        <v>15.9</v>
      </c>
      <c r="TW25">
        <v>16</v>
      </c>
      <c r="TX25">
        <v>15.7</v>
      </c>
      <c r="TY25">
        <v>15.9</v>
      </c>
      <c r="TZ25">
        <v>15.1</v>
      </c>
      <c r="UA25">
        <v>15.4</v>
      </c>
      <c r="UB25">
        <v>15.7</v>
      </c>
      <c r="UC25">
        <v>15.8</v>
      </c>
      <c r="UD25">
        <v>15.9</v>
      </c>
      <c r="UE25">
        <v>15.7</v>
      </c>
      <c r="UF25">
        <v>15.6</v>
      </c>
      <c r="UG25">
        <v>15.3</v>
      </c>
      <c r="UH25">
        <v>15.4</v>
      </c>
      <c r="UI25">
        <v>15.4</v>
      </c>
      <c r="UJ25">
        <v>15.3</v>
      </c>
      <c r="UK25">
        <v>15</v>
      </c>
      <c r="UL25">
        <v>15.3</v>
      </c>
      <c r="UM25">
        <v>15.7</v>
      </c>
      <c r="UN25">
        <v>18.2</v>
      </c>
      <c r="UO25">
        <v>18</v>
      </c>
      <c r="UP25">
        <v>18.3</v>
      </c>
      <c r="UQ25">
        <v>18.5</v>
      </c>
      <c r="UR25">
        <v>18.600000000000001</v>
      </c>
      <c r="US25">
        <v>18.899999999999999</v>
      </c>
      <c r="UT25">
        <v>19.3</v>
      </c>
      <c r="UU25">
        <v>19.2</v>
      </c>
      <c r="UV25">
        <v>18.7</v>
      </c>
      <c r="UW25">
        <v>16.899999999999999</v>
      </c>
      <c r="UX25">
        <v>16.899999999999999</v>
      </c>
      <c r="UY25">
        <v>16.899999999999999</v>
      </c>
      <c r="UZ25">
        <v>16.600000000000001</v>
      </c>
      <c r="VA25">
        <v>16.5</v>
      </c>
      <c r="VB25">
        <v>16.600000000000001</v>
      </c>
      <c r="VC25">
        <v>16.3</v>
      </c>
      <c r="VD25">
        <v>16.5</v>
      </c>
      <c r="VE25">
        <v>15.7</v>
      </c>
      <c r="VF25">
        <v>16</v>
      </c>
      <c r="VG25">
        <v>16.3</v>
      </c>
      <c r="VH25">
        <v>16.5</v>
      </c>
      <c r="VI25">
        <v>16.600000000000001</v>
      </c>
      <c r="VJ25">
        <v>16.399999999999999</v>
      </c>
      <c r="VK25">
        <v>16.3</v>
      </c>
      <c r="VL25">
        <v>16.100000000000001</v>
      </c>
      <c r="VM25">
        <v>16.2</v>
      </c>
      <c r="VN25">
        <v>16.2</v>
      </c>
      <c r="VO25">
        <v>16.100000000000001</v>
      </c>
      <c r="VP25">
        <v>15.8</v>
      </c>
      <c r="VQ25">
        <v>16.2</v>
      </c>
      <c r="VR25">
        <v>16.600000000000001</v>
      </c>
      <c r="VS25">
        <v>19.100000000000001</v>
      </c>
      <c r="VT25">
        <v>18.899999999999999</v>
      </c>
      <c r="VU25">
        <v>19.2</v>
      </c>
      <c r="VV25">
        <v>19.399999999999999</v>
      </c>
      <c r="VW25">
        <v>19.600000000000001</v>
      </c>
      <c r="VX25">
        <v>20</v>
      </c>
      <c r="VY25">
        <v>20.3</v>
      </c>
      <c r="VZ25">
        <v>20.2</v>
      </c>
      <c r="WA25">
        <v>19.8</v>
      </c>
      <c r="WB25">
        <v>17.899999999999999</v>
      </c>
      <c r="WC25">
        <v>18</v>
      </c>
      <c r="WD25">
        <v>17.899999999999999</v>
      </c>
      <c r="WE25">
        <v>17.600000000000001</v>
      </c>
      <c r="WF25">
        <v>17.5</v>
      </c>
      <c r="WG25">
        <v>17.7</v>
      </c>
      <c r="WH25">
        <v>17.5</v>
      </c>
      <c r="WI25">
        <v>17.7</v>
      </c>
      <c r="WJ25">
        <v>17</v>
      </c>
      <c r="WK25">
        <v>17.3</v>
      </c>
      <c r="WL25">
        <v>17.600000000000001</v>
      </c>
      <c r="WM25">
        <v>17.8</v>
      </c>
      <c r="WN25">
        <v>18</v>
      </c>
      <c r="WO25">
        <v>17.7</v>
      </c>
      <c r="WP25">
        <v>17.8</v>
      </c>
      <c r="WQ25">
        <v>17.5</v>
      </c>
      <c r="WR25">
        <v>17.7</v>
      </c>
      <c r="WS25">
        <v>17.8</v>
      </c>
      <c r="WT25">
        <v>17.7</v>
      </c>
      <c r="WU25">
        <v>17.5</v>
      </c>
      <c r="WV25">
        <v>17.899999999999999</v>
      </c>
      <c r="WW25">
        <v>18.2</v>
      </c>
      <c r="WX25">
        <v>24.1</v>
      </c>
      <c r="WY25">
        <v>23.6</v>
      </c>
      <c r="WZ25">
        <v>22.9</v>
      </c>
      <c r="XA25">
        <v>24.2</v>
      </c>
      <c r="XB25">
        <v>24.5</v>
      </c>
      <c r="XC25">
        <v>24.9</v>
      </c>
      <c r="XD25">
        <v>25.2</v>
      </c>
      <c r="XE25">
        <v>25.1</v>
      </c>
      <c r="XF25">
        <v>24.6</v>
      </c>
      <c r="XG25">
        <v>23.3</v>
      </c>
      <c r="XH25">
        <v>23.2</v>
      </c>
      <c r="XI25">
        <v>23.2</v>
      </c>
      <c r="XJ25">
        <v>23</v>
      </c>
      <c r="XK25">
        <v>22.9</v>
      </c>
      <c r="XL25">
        <v>23</v>
      </c>
      <c r="XM25">
        <v>22.9</v>
      </c>
      <c r="XN25">
        <v>23.2</v>
      </c>
      <c r="XO25">
        <v>22.6</v>
      </c>
      <c r="XP25">
        <v>22.5</v>
      </c>
      <c r="XQ25">
        <v>22.6</v>
      </c>
      <c r="XR25">
        <v>22.6</v>
      </c>
      <c r="XS25">
        <v>22.6</v>
      </c>
      <c r="XT25">
        <v>22.6</v>
      </c>
      <c r="XU25">
        <v>22.8</v>
      </c>
      <c r="XV25">
        <v>23.8</v>
      </c>
      <c r="XW25">
        <v>24</v>
      </c>
      <c r="XX25">
        <v>24.3</v>
      </c>
      <c r="XY25">
        <v>24.2</v>
      </c>
      <c r="XZ25">
        <v>24.1</v>
      </c>
      <c r="YA25">
        <v>24.5</v>
      </c>
      <c r="YB25">
        <v>24.6</v>
      </c>
    </row>
    <row r="26" spans="1:652" x14ac:dyDescent="0.2">
      <c r="B26" t="s">
        <v>34</v>
      </c>
    </row>
    <row r="27" spans="1:652" x14ac:dyDescent="0.2">
      <c r="A27" t="s">
        <v>46</v>
      </c>
      <c r="B27" t="s">
        <v>47</v>
      </c>
      <c r="C27" t="s">
        <v>47</v>
      </c>
      <c r="D27" t="s">
        <v>47</v>
      </c>
      <c r="E27" t="s">
        <v>47</v>
      </c>
      <c r="F27" t="s">
        <v>47</v>
      </c>
      <c r="G27" t="s">
        <v>47</v>
      </c>
      <c r="H27" t="s">
        <v>47</v>
      </c>
      <c r="I27" t="s">
        <v>47</v>
      </c>
      <c r="J27" t="s">
        <v>47</v>
      </c>
      <c r="K27" t="s">
        <v>47</v>
      </c>
      <c r="L27" t="s">
        <v>47</v>
      </c>
      <c r="M27" t="s">
        <v>47</v>
      </c>
      <c r="N27" t="s">
        <v>47</v>
      </c>
      <c r="O27" t="s">
        <v>47</v>
      </c>
      <c r="P27" t="s">
        <v>47</v>
      </c>
      <c r="Q27" t="s">
        <v>47</v>
      </c>
      <c r="R27" t="s">
        <v>47</v>
      </c>
      <c r="S27" t="s">
        <v>47</v>
      </c>
      <c r="T27" t="s">
        <v>47</v>
      </c>
      <c r="U27" t="s">
        <v>47</v>
      </c>
      <c r="V27" t="s">
        <v>47</v>
      </c>
      <c r="W27" t="s">
        <v>47</v>
      </c>
      <c r="X27" t="s">
        <v>47</v>
      </c>
      <c r="Y27" t="s">
        <v>47</v>
      </c>
      <c r="Z27" t="s">
        <v>47</v>
      </c>
      <c r="AA27" t="s">
        <v>47</v>
      </c>
      <c r="AB27" t="s">
        <v>47</v>
      </c>
      <c r="AC27" t="s">
        <v>47</v>
      </c>
      <c r="AD27" t="s">
        <v>47</v>
      </c>
      <c r="AE27" t="s">
        <v>47</v>
      </c>
      <c r="AF27" t="s">
        <v>47</v>
      </c>
      <c r="AG27" t="s">
        <v>47</v>
      </c>
      <c r="AH27" t="s">
        <v>47</v>
      </c>
      <c r="AI27" t="s">
        <v>47</v>
      </c>
      <c r="AJ27" t="s">
        <v>47</v>
      </c>
      <c r="AK27" t="s">
        <v>47</v>
      </c>
      <c r="AL27" t="s">
        <v>47</v>
      </c>
      <c r="AM27" t="s">
        <v>47</v>
      </c>
      <c r="AN27" t="s">
        <v>47</v>
      </c>
      <c r="AO27" t="s">
        <v>47</v>
      </c>
      <c r="AP27" t="s">
        <v>47</v>
      </c>
      <c r="AQ27" t="s">
        <v>47</v>
      </c>
      <c r="AR27" t="s">
        <v>47</v>
      </c>
      <c r="AS27" t="s">
        <v>47</v>
      </c>
      <c r="AT27" t="s">
        <v>47</v>
      </c>
      <c r="AU27" t="s">
        <v>47</v>
      </c>
      <c r="AV27" t="s">
        <v>47</v>
      </c>
      <c r="AW27" t="s">
        <v>47</v>
      </c>
      <c r="AX27" t="s">
        <v>47</v>
      </c>
      <c r="AY27" t="s">
        <v>47</v>
      </c>
      <c r="AZ27" t="s">
        <v>47</v>
      </c>
      <c r="BA27" t="s">
        <v>47</v>
      </c>
      <c r="BB27" t="s">
        <v>47</v>
      </c>
      <c r="BC27" t="s">
        <v>47</v>
      </c>
      <c r="BD27" t="s">
        <v>47</v>
      </c>
      <c r="BE27" t="s">
        <v>47</v>
      </c>
      <c r="BF27" t="s">
        <v>47</v>
      </c>
      <c r="BG27" t="s">
        <v>47</v>
      </c>
      <c r="BH27" t="s">
        <v>47</v>
      </c>
      <c r="BI27" t="s">
        <v>47</v>
      </c>
      <c r="BJ27" t="s">
        <v>47</v>
      </c>
      <c r="BK27" t="s">
        <v>47</v>
      </c>
      <c r="BL27" t="s">
        <v>47</v>
      </c>
      <c r="BM27" t="s">
        <v>47</v>
      </c>
      <c r="BN27" t="s">
        <v>47</v>
      </c>
      <c r="BO27" t="s">
        <v>47</v>
      </c>
      <c r="BP27" t="s">
        <v>47</v>
      </c>
      <c r="BQ27" t="s">
        <v>47</v>
      </c>
      <c r="BR27" t="s">
        <v>47</v>
      </c>
      <c r="BS27" t="s">
        <v>47</v>
      </c>
      <c r="BT27" t="s">
        <v>47</v>
      </c>
      <c r="BU27" t="s">
        <v>47</v>
      </c>
      <c r="BV27" t="s">
        <v>47</v>
      </c>
      <c r="BW27" t="s">
        <v>47</v>
      </c>
      <c r="BX27" t="s">
        <v>47</v>
      </c>
      <c r="BY27" t="s">
        <v>47</v>
      </c>
      <c r="BZ27" t="s">
        <v>47</v>
      </c>
      <c r="CA27" t="s">
        <v>47</v>
      </c>
      <c r="CB27" t="s">
        <v>47</v>
      </c>
      <c r="CC27" t="s">
        <v>47</v>
      </c>
      <c r="CD27" t="s">
        <v>47</v>
      </c>
      <c r="CE27" t="s">
        <v>47</v>
      </c>
      <c r="CF27" t="s">
        <v>47</v>
      </c>
      <c r="CG27" t="s">
        <v>47</v>
      </c>
      <c r="CH27" t="s">
        <v>47</v>
      </c>
      <c r="CI27" t="s">
        <v>47</v>
      </c>
      <c r="CJ27" t="s">
        <v>47</v>
      </c>
      <c r="CK27" t="s">
        <v>47</v>
      </c>
      <c r="CL27" t="s">
        <v>47</v>
      </c>
      <c r="CM27" t="s">
        <v>47</v>
      </c>
      <c r="CN27" t="s">
        <v>47</v>
      </c>
      <c r="CO27" t="s">
        <v>47</v>
      </c>
      <c r="CP27" t="s">
        <v>47</v>
      </c>
      <c r="CQ27" t="s">
        <v>47</v>
      </c>
      <c r="CR27" t="s">
        <v>47</v>
      </c>
      <c r="CS27" t="s">
        <v>47</v>
      </c>
      <c r="CT27" t="s">
        <v>47</v>
      </c>
      <c r="CU27" t="s">
        <v>47</v>
      </c>
      <c r="CV27" t="s">
        <v>47</v>
      </c>
      <c r="CW27" t="s">
        <v>47</v>
      </c>
      <c r="CX27" t="s">
        <v>47</v>
      </c>
      <c r="CY27" t="s">
        <v>47</v>
      </c>
      <c r="CZ27" t="s">
        <v>47</v>
      </c>
      <c r="DA27" t="s">
        <v>47</v>
      </c>
      <c r="DB27" t="s">
        <v>47</v>
      </c>
      <c r="DC27" t="s">
        <v>47</v>
      </c>
      <c r="DD27" t="s">
        <v>47</v>
      </c>
      <c r="DE27" t="s">
        <v>47</v>
      </c>
      <c r="DF27" t="s">
        <v>47</v>
      </c>
      <c r="DG27" t="s">
        <v>47</v>
      </c>
      <c r="DH27" t="s">
        <v>47</v>
      </c>
      <c r="DI27" t="s">
        <v>47</v>
      </c>
      <c r="DJ27" t="s">
        <v>47</v>
      </c>
      <c r="DK27" t="s">
        <v>47</v>
      </c>
      <c r="DL27" t="s">
        <v>47</v>
      </c>
      <c r="DM27" t="s">
        <v>47</v>
      </c>
      <c r="DN27" t="s">
        <v>47</v>
      </c>
      <c r="DO27" t="s">
        <v>47</v>
      </c>
      <c r="DP27" t="s">
        <v>47</v>
      </c>
      <c r="DQ27" t="s">
        <v>47</v>
      </c>
      <c r="DR27" t="s">
        <v>47</v>
      </c>
      <c r="DS27" t="s">
        <v>47</v>
      </c>
      <c r="DT27" t="s">
        <v>47</v>
      </c>
      <c r="DU27" t="s">
        <v>47</v>
      </c>
      <c r="DV27" t="s">
        <v>47</v>
      </c>
      <c r="DW27" t="s">
        <v>47</v>
      </c>
      <c r="DX27" t="s">
        <v>47</v>
      </c>
      <c r="DY27" t="s">
        <v>47</v>
      </c>
      <c r="DZ27" t="s">
        <v>47</v>
      </c>
      <c r="EA27" t="s">
        <v>47</v>
      </c>
      <c r="EB27" t="s">
        <v>47</v>
      </c>
      <c r="EC27" t="s">
        <v>47</v>
      </c>
      <c r="ED27" t="s">
        <v>47</v>
      </c>
      <c r="EE27" t="s">
        <v>47</v>
      </c>
      <c r="EF27" t="s">
        <v>47</v>
      </c>
      <c r="EG27" t="s">
        <v>47</v>
      </c>
      <c r="EH27" t="s">
        <v>47</v>
      </c>
      <c r="EI27" t="s">
        <v>47</v>
      </c>
      <c r="EJ27" t="s">
        <v>47</v>
      </c>
      <c r="EK27" t="s">
        <v>47</v>
      </c>
      <c r="EL27" t="s">
        <v>47</v>
      </c>
      <c r="EM27" t="s">
        <v>47</v>
      </c>
      <c r="EN27" t="s">
        <v>47</v>
      </c>
      <c r="EO27" t="s">
        <v>47</v>
      </c>
      <c r="EP27" t="s">
        <v>47</v>
      </c>
      <c r="EQ27" t="s">
        <v>47</v>
      </c>
      <c r="ER27" t="s">
        <v>47</v>
      </c>
      <c r="ES27" t="s">
        <v>47</v>
      </c>
      <c r="ET27" t="s">
        <v>47</v>
      </c>
      <c r="EU27" t="s">
        <v>47</v>
      </c>
      <c r="EV27" t="s">
        <v>47</v>
      </c>
      <c r="EW27" t="s">
        <v>47</v>
      </c>
      <c r="EX27" t="s">
        <v>47</v>
      </c>
      <c r="EY27" t="s">
        <v>47</v>
      </c>
      <c r="EZ27" t="s">
        <v>47</v>
      </c>
      <c r="FA27" t="s">
        <v>47</v>
      </c>
      <c r="FB27" t="s">
        <v>47</v>
      </c>
      <c r="FC27" t="s">
        <v>47</v>
      </c>
      <c r="FD27" t="s">
        <v>47</v>
      </c>
      <c r="FE27" t="s">
        <v>47</v>
      </c>
      <c r="FF27" t="s">
        <v>47</v>
      </c>
      <c r="FG27" t="s">
        <v>47</v>
      </c>
      <c r="FH27" t="s">
        <v>47</v>
      </c>
      <c r="FI27" t="s">
        <v>47</v>
      </c>
      <c r="FJ27" t="s">
        <v>47</v>
      </c>
      <c r="FK27" t="s">
        <v>47</v>
      </c>
      <c r="FL27" t="s">
        <v>47</v>
      </c>
      <c r="FM27" t="s">
        <v>47</v>
      </c>
      <c r="FN27" t="s">
        <v>47</v>
      </c>
      <c r="FO27" t="s">
        <v>47</v>
      </c>
      <c r="FP27" t="s">
        <v>47</v>
      </c>
      <c r="FQ27" t="s">
        <v>47</v>
      </c>
      <c r="FR27" t="s">
        <v>47</v>
      </c>
      <c r="FS27" t="s">
        <v>47</v>
      </c>
      <c r="FT27" t="s">
        <v>47</v>
      </c>
      <c r="FU27" t="s">
        <v>47</v>
      </c>
      <c r="FV27" t="s">
        <v>47</v>
      </c>
      <c r="FW27" t="s">
        <v>47</v>
      </c>
      <c r="FX27" t="s">
        <v>47</v>
      </c>
      <c r="FY27" t="s">
        <v>47</v>
      </c>
      <c r="FZ27" t="s">
        <v>47</v>
      </c>
      <c r="GA27" t="s">
        <v>47</v>
      </c>
      <c r="GB27" t="s">
        <v>47</v>
      </c>
      <c r="GC27" t="s">
        <v>47</v>
      </c>
      <c r="GD27" t="s">
        <v>47</v>
      </c>
      <c r="GE27" t="s">
        <v>47</v>
      </c>
      <c r="GF27" t="s">
        <v>47</v>
      </c>
      <c r="GG27" t="s">
        <v>47</v>
      </c>
      <c r="GH27" t="s">
        <v>47</v>
      </c>
      <c r="GI27" t="s">
        <v>47</v>
      </c>
      <c r="GJ27" t="s">
        <v>47</v>
      </c>
      <c r="GK27" t="s">
        <v>47</v>
      </c>
      <c r="GL27" t="s">
        <v>47</v>
      </c>
      <c r="GM27" t="s">
        <v>47</v>
      </c>
      <c r="GN27" t="s">
        <v>47</v>
      </c>
      <c r="GO27" t="s">
        <v>47</v>
      </c>
      <c r="GP27" t="s">
        <v>47</v>
      </c>
      <c r="GQ27" t="s">
        <v>47</v>
      </c>
      <c r="GR27" t="s">
        <v>47</v>
      </c>
      <c r="GS27" t="s">
        <v>47</v>
      </c>
      <c r="GT27" t="s">
        <v>47</v>
      </c>
      <c r="GU27" t="s">
        <v>47</v>
      </c>
      <c r="GV27" t="s">
        <v>47</v>
      </c>
      <c r="GW27" t="s">
        <v>47</v>
      </c>
      <c r="GX27" t="s">
        <v>47</v>
      </c>
      <c r="GY27" t="s">
        <v>47</v>
      </c>
      <c r="GZ27" t="s">
        <v>47</v>
      </c>
      <c r="HA27" t="s">
        <v>47</v>
      </c>
      <c r="HB27" t="s">
        <v>47</v>
      </c>
      <c r="HC27" t="s">
        <v>47</v>
      </c>
      <c r="HD27" t="s">
        <v>47</v>
      </c>
      <c r="HE27" t="s">
        <v>47</v>
      </c>
      <c r="HF27" t="s">
        <v>47</v>
      </c>
      <c r="HG27" t="s">
        <v>47</v>
      </c>
      <c r="HH27" t="s">
        <v>47</v>
      </c>
      <c r="HI27" t="s">
        <v>47</v>
      </c>
      <c r="HJ27" t="s">
        <v>47</v>
      </c>
      <c r="HK27" t="s">
        <v>47</v>
      </c>
      <c r="HL27" t="s">
        <v>47</v>
      </c>
      <c r="HM27" t="s">
        <v>47</v>
      </c>
      <c r="HN27" t="s">
        <v>47</v>
      </c>
      <c r="HO27" t="s">
        <v>47</v>
      </c>
      <c r="HP27" t="s">
        <v>47</v>
      </c>
      <c r="HQ27" t="s">
        <v>47</v>
      </c>
      <c r="HR27" t="s">
        <v>47</v>
      </c>
      <c r="HS27" t="s">
        <v>47</v>
      </c>
      <c r="HT27" t="s">
        <v>47</v>
      </c>
      <c r="HU27" t="s">
        <v>47</v>
      </c>
      <c r="HV27" t="s">
        <v>47</v>
      </c>
      <c r="HW27" t="s">
        <v>47</v>
      </c>
      <c r="HX27" t="s">
        <v>47</v>
      </c>
      <c r="HY27" t="s">
        <v>47</v>
      </c>
      <c r="HZ27" t="s">
        <v>47</v>
      </c>
      <c r="IA27" t="s">
        <v>47</v>
      </c>
      <c r="IB27" t="s">
        <v>47</v>
      </c>
      <c r="IC27" t="s">
        <v>47</v>
      </c>
      <c r="ID27" t="s">
        <v>47</v>
      </c>
      <c r="IE27" t="s">
        <v>47</v>
      </c>
      <c r="IF27" t="s">
        <v>47</v>
      </c>
      <c r="IG27" t="s">
        <v>47</v>
      </c>
      <c r="IH27" t="s">
        <v>47</v>
      </c>
      <c r="II27" t="s">
        <v>47</v>
      </c>
      <c r="IJ27" t="s">
        <v>47</v>
      </c>
      <c r="IK27" t="s">
        <v>47</v>
      </c>
      <c r="IL27" t="s">
        <v>47</v>
      </c>
      <c r="IM27" t="s">
        <v>47</v>
      </c>
      <c r="IN27" t="s">
        <v>47</v>
      </c>
      <c r="IO27" t="s">
        <v>47</v>
      </c>
      <c r="IP27" t="s">
        <v>47</v>
      </c>
      <c r="IQ27" t="s">
        <v>47</v>
      </c>
      <c r="IR27" t="s">
        <v>47</v>
      </c>
      <c r="IS27" t="s">
        <v>47</v>
      </c>
      <c r="IT27" t="s">
        <v>47</v>
      </c>
      <c r="IU27" t="s">
        <v>47</v>
      </c>
      <c r="IV27" t="s">
        <v>47</v>
      </c>
      <c r="IW27" t="s">
        <v>47</v>
      </c>
      <c r="IX27" t="s">
        <v>47</v>
      </c>
      <c r="IY27" t="s">
        <v>47</v>
      </c>
      <c r="IZ27" t="s">
        <v>47</v>
      </c>
      <c r="JA27" t="s">
        <v>47</v>
      </c>
      <c r="JB27" t="s">
        <v>47</v>
      </c>
      <c r="JC27" t="s">
        <v>47</v>
      </c>
      <c r="JD27" t="s">
        <v>47</v>
      </c>
      <c r="JE27" t="s">
        <v>47</v>
      </c>
      <c r="JF27" t="s">
        <v>47</v>
      </c>
      <c r="JG27" t="s">
        <v>47</v>
      </c>
      <c r="JH27" t="s">
        <v>47</v>
      </c>
      <c r="JI27" t="s">
        <v>47</v>
      </c>
      <c r="JJ27" t="s">
        <v>47</v>
      </c>
      <c r="JK27" t="s">
        <v>47</v>
      </c>
      <c r="JL27" t="s">
        <v>47</v>
      </c>
      <c r="JM27" t="s">
        <v>47</v>
      </c>
      <c r="JN27" t="s">
        <v>47</v>
      </c>
      <c r="JO27" t="s">
        <v>47</v>
      </c>
      <c r="JP27" t="s">
        <v>47</v>
      </c>
      <c r="JQ27" t="s">
        <v>47</v>
      </c>
      <c r="JR27" t="s">
        <v>47</v>
      </c>
      <c r="JS27" t="s">
        <v>47</v>
      </c>
      <c r="JT27" t="s">
        <v>47</v>
      </c>
      <c r="JU27" t="s">
        <v>47</v>
      </c>
      <c r="JV27" t="s">
        <v>47</v>
      </c>
      <c r="JW27" t="s">
        <v>47</v>
      </c>
      <c r="JX27" t="s">
        <v>47</v>
      </c>
      <c r="JY27" t="s">
        <v>47</v>
      </c>
      <c r="JZ27" t="s">
        <v>47</v>
      </c>
      <c r="KA27" t="s">
        <v>47</v>
      </c>
      <c r="KB27" t="s">
        <v>47</v>
      </c>
      <c r="KC27" t="s">
        <v>47</v>
      </c>
      <c r="KD27" t="s">
        <v>47</v>
      </c>
      <c r="KE27" t="s">
        <v>47</v>
      </c>
      <c r="KF27" t="s">
        <v>47</v>
      </c>
      <c r="KG27" t="s">
        <v>47</v>
      </c>
      <c r="KH27" t="s">
        <v>47</v>
      </c>
      <c r="KI27" t="s">
        <v>47</v>
      </c>
      <c r="KJ27" t="s">
        <v>47</v>
      </c>
      <c r="KK27" t="s">
        <v>47</v>
      </c>
      <c r="KL27" t="s">
        <v>47</v>
      </c>
      <c r="KM27" t="s">
        <v>47</v>
      </c>
      <c r="KN27" t="s">
        <v>47</v>
      </c>
      <c r="KO27" t="s">
        <v>47</v>
      </c>
      <c r="KP27" t="s">
        <v>47</v>
      </c>
      <c r="KQ27" t="s">
        <v>47</v>
      </c>
      <c r="KR27" t="s">
        <v>47</v>
      </c>
      <c r="KS27" t="s">
        <v>47</v>
      </c>
      <c r="KT27" t="s">
        <v>47</v>
      </c>
      <c r="KU27" t="s">
        <v>47</v>
      </c>
      <c r="KV27" t="s">
        <v>47</v>
      </c>
      <c r="KW27" t="s">
        <v>47</v>
      </c>
      <c r="KX27" t="s">
        <v>47</v>
      </c>
      <c r="KY27" t="s">
        <v>47</v>
      </c>
      <c r="KZ27" t="s">
        <v>47</v>
      </c>
      <c r="LA27" t="s">
        <v>47</v>
      </c>
      <c r="LB27" t="s">
        <v>47</v>
      </c>
      <c r="LC27" t="s">
        <v>47</v>
      </c>
      <c r="LD27" t="s">
        <v>47</v>
      </c>
      <c r="LE27" t="s">
        <v>47</v>
      </c>
      <c r="LF27" t="s">
        <v>47</v>
      </c>
      <c r="LG27" t="s">
        <v>47</v>
      </c>
      <c r="LH27" t="s">
        <v>47</v>
      </c>
      <c r="LI27" t="s">
        <v>47</v>
      </c>
      <c r="LJ27" t="s">
        <v>47</v>
      </c>
      <c r="LK27" t="s">
        <v>47</v>
      </c>
      <c r="LL27" t="s">
        <v>47</v>
      </c>
      <c r="LM27" t="s">
        <v>47</v>
      </c>
      <c r="LN27" t="s">
        <v>47</v>
      </c>
      <c r="LO27" t="s">
        <v>47</v>
      </c>
      <c r="LP27" t="s">
        <v>47</v>
      </c>
      <c r="LQ27" t="s">
        <v>47</v>
      </c>
      <c r="LR27" t="s">
        <v>47</v>
      </c>
      <c r="LS27" t="s">
        <v>47</v>
      </c>
      <c r="LT27" t="s">
        <v>47</v>
      </c>
      <c r="LU27" t="s">
        <v>47</v>
      </c>
      <c r="LV27" t="s">
        <v>47</v>
      </c>
      <c r="LW27" t="s">
        <v>47</v>
      </c>
      <c r="LX27" t="s">
        <v>47</v>
      </c>
      <c r="LY27" t="s">
        <v>47</v>
      </c>
      <c r="LZ27" t="s">
        <v>47</v>
      </c>
      <c r="MA27" t="s">
        <v>47</v>
      </c>
      <c r="MB27" t="s">
        <v>47</v>
      </c>
      <c r="MC27" t="s">
        <v>47</v>
      </c>
      <c r="MD27" t="s">
        <v>47</v>
      </c>
      <c r="ME27" t="s">
        <v>47</v>
      </c>
      <c r="MF27" t="s">
        <v>47</v>
      </c>
      <c r="MG27" t="s">
        <v>47</v>
      </c>
      <c r="MH27" t="s">
        <v>47</v>
      </c>
      <c r="MI27" t="s">
        <v>47</v>
      </c>
      <c r="MJ27" t="s">
        <v>47</v>
      </c>
      <c r="MK27" t="s">
        <v>47</v>
      </c>
      <c r="ML27" t="s">
        <v>47</v>
      </c>
      <c r="MM27" t="s">
        <v>47</v>
      </c>
      <c r="MN27" t="s">
        <v>47</v>
      </c>
      <c r="MO27" t="s">
        <v>47</v>
      </c>
      <c r="MP27" t="s">
        <v>47</v>
      </c>
      <c r="MQ27" t="s">
        <v>47</v>
      </c>
      <c r="MR27" t="s">
        <v>47</v>
      </c>
      <c r="MS27" t="s">
        <v>47</v>
      </c>
      <c r="MT27" t="s">
        <v>47</v>
      </c>
      <c r="MU27" t="s">
        <v>47</v>
      </c>
      <c r="MV27" t="s">
        <v>47</v>
      </c>
      <c r="MW27" t="s">
        <v>47</v>
      </c>
      <c r="MX27" t="s">
        <v>47</v>
      </c>
      <c r="MY27" t="s">
        <v>47</v>
      </c>
      <c r="MZ27" t="s">
        <v>47</v>
      </c>
      <c r="NA27" t="s">
        <v>47</v>
      </c>
      <c r="NB27" t="s">
        <v>47</v>
      </c>
      <c r="NC27" t="s">
        <v>47</v>
      </c>
      <c r="ND27" t="s">
        <v>47</v>
      </c>
      <c r="NE27" t="s">
        <v>47</v>
      </c>
      <c r="NF27" t="s">
        <v>47</v>
      </c>
      <c r="NG27" t="s">
        <v>47</v>
      </c>
      <c r="NH27" t="s">
        <v>47</v>
      </c>
      <c r="NI27" t="s">
        <v>47</v>
      </c>
      <c r="NJ27" t="s">
        <v>47</v>
      </c>
      <c r="NK27" t="s">
        <v>47</v>
      </c>
      <c r="NL27" t="s">
        <v>47</v>
      </c>
      <c r="NM27" t="s">
        <v>47</v>
      </c>
      <c r="NN27" t="s">
        <v>47</v>
      </c>
      <c r="NO27" t="s">
        <v>47</v>
      </c>
      <c r="NP27" t="s">
        <v>47</v>
      </c>
      <c r="NQ27" t="s">
        <v>47</v>
      </c>
      <c r="NR27" t="s">
        <v>47</v>
      </c>
      <c r="NS27" t="s">
        <v>47</v>
      </c>
      <c r="NT27" t="s">
        <v>47</v>
      </c>
      <c r="NU27" t="s">
        <v>47</v>
      </c>
      <c r="NV27" t="s">
        <v>47</v>
      </c>
      <c r="NW27" t="s">
        <v>47</v>
      </c>
      <c r="NX27" t="s">
        <v>47</v>
      </c>
      <c r="NY27" t="s">
        <v>47</v>
      </c>
      <c r="NZ27" t="s">
        <v>47</v>
      </c>
      <c r="OA27" t="s">
        <v>47</v>
      </c>
      <c r="OB27" t="s">
        <v>47</v>
      </c>
      <c r="OC27" t="s">
        <v>47</v>
      </c>
      <c r="OD27" t="s">
        <v>47</v>
      </c>
      <c r="OE27" t="s">
        <v>47</v>
      </c>
      <c r="OF27" t="s">
        <v>47</v>
      </c>
      <c r="OG27" t="s">
        <v>47</v>
      </c>
      <c r="OH27" t="s">
        <v>47</v>
      </c>
      <c r="OI27" t="s">
        <v>47</v>
      </c>
      <c r="OJ27" t="s">
        <v>47</v>
      </c>
      <c r="OK27" t="s">
        <v>47</v>
      </c>
      <c r="OL27" t="s">
        <v>47</v>
      </c>
      <c r="OM27" t="s">
        <v>47</v>
      </c>
      <c r="ON27" t="s">
        <v>47</v>
      </c>
      <c r="OO27" t="s">
        <v>47</v>
      </c>
      <c r="OP27" t="s">
        <v>47</v>
      </c>
      <c r="OQ27" t="s">
        <v>47</v>
      </c>
      <c r="OR27" t="s">
        <v>47</v>
      </c>
      <c r="OS27" t="s">
        <v>47</v>
      </c>
      <c r="OT27" t="s">
        <v>47</v>
      </c>
      <c r="OU27" t="s">
        <v>47</v>
      </c>
      <c r="OV27" t="s">
        <v>47</v>
      </c>
      <c r="OW27" t="s">
        <v>47</v>
      </c>
      <c r="OX27" t="s">
        <v>47</v>
      </c>
      <c r="OY27" t="s">
        <v>47</v>
      </c>
      <c r="OZ27" t="s">
        <v>47</v>
      </c>
      <c r="PA27" t="s">
        <v>47</v>
      </c>
      <c r="PB27" t="s">
        <v>47</v>
      </c>
      <c r="PC27" t="s">
        <v>47</v>
      </c>
      <c r="PD27" t="s">
        <v>47</v>
      </c>
      <c r="PE27" t="s">
        <v>47</v>
      </c>
      <c r="PF27" t="s">
        <v>47</v>
      </c>
      <c r="PG27" t="s">
        <v>47</v>
      </c>
      <c r="PH27" t="s">
        <v>47</v>
      </c>
      <c r="PI27" t="s">
        <v>47</v>
      </c>
      <c r="PJ27" t="s">
        <v>47</v>
      </c>
      <c r="PK27" t="s">
        <v>47</v>
      </c>
      <c r="PL27" t="s">
        <v>47</v>
      </c>
      <c r="PM27" t="s">
        <v>47</v>
      </c>
      <c r="PN27" t="s">
        <v>47</v>
      </c>
      <c r="PO27" t="s">
        <v>47</v>
      </c>
      <c r="PP27" t="s">
        <v>47</v>
      </c>
      <c r="PQ27" t="s">
        <v>47</v>
      </c>
      <c r="PR27" t="s">
        <v>47</v>
      </c>
      <c r="PS27" t="s">
        <v>47</v>
      </c>
      <c r="PT27" t="s">
        <v>47</v>
      </c>
      <c r="PU27" t="s">
        <v>47</v>
      </c>
      <c r="PV27" t="s">
        <v>47</v>
      </c>
      <c r="PW27" t="s">
        <v>47</v>
      </c>
      <c r="PX27" t="s">
        <v>47</v>
      </c>
      <c r="PY27" t="s">
        <v>47</v>
      </c>
      <c r="PZ27" t="s">
        <v>47</v>
      </c>
      <c r="QA27" t="s">
        <v>47</v>
      </c>
      <c r="QB27" t="s">
        <v>47</v>
      </c>
      <c r="QC27" t="s">
        <v>47</v>
      </c>
      <c r="QD27" t="s">
        <v>47</v>
      </c>
      <c r="QE27" t="s">
        <v>47</v>
      </c>
      <c r="QF27" t="s">
        <v>47</v>
      </c>
      <c r="QG27" t="s">
        <v>47</v>
      </c>
      <c r="QH27" t="s">
        <v>47</v>
      </c>
      <c r="QI27" t="s">
        <v>47</v>
      </c>
      <c r="QJ27" t="s">
        <v>47</v>
      </c>
      <c r="QK27" t="s">
        <v>47</v>
      </c>
      <c r="QL27" t="s">
        <v>47</v>
      </c>
      <c r="QM27" t="s">
        <v>47</v>
      </c>
      <c r="QN27" t="s">
        <v>47</v>
      </c>
      <c r="QO27" t="s">
        <v>47</v>
      </c>
      <c r="QP27" t="s">
        <v>47</v>
      </c>
      <c r="QQ27" t="s">
        <v>47</v>
      </c>
      <c r="QR27" t="s">
        <v>47</v>
      </c>
      <c r="QS27" t="s">
        <v>47</v>
      </c>
      <c r="QT27" t="s">
        <v>47</v>
      </c>
      <c r="QU27" t="s">
        <v>47</v>
      </c>
      <c r="QV27" t="s">
        <v>47</v>
      </c>
      <c r="QW27" t="s">
        <v>47</v>
      </c>
      <c r="QX27" t="s">
        <v>47</v>
      </c>
      <c r="QY27" t="s">
        <v>47</v>
      </c>
      <c r="QZ27" t="s">
        <v>47</v>
      </c>
      <c r="RA27" t="s">
        <v>47</v>
      </c>
      <c r="RB27" t="s">
        <v>47</v>
      </c>
      <c r="RC27" t="s">
        <v>47</v>
      </c>
      <c r="RD27" t="s">
        <v>47</v>
      </c>
      <c r="RE27" t="s">
        <v>47</v>
      </c>
      <c r="RF27" t="s">
        <v>47</v>
      </c>
      <c r="RG27" t="s">
        <v>47</v>
      </c>
      <c r="RH27" t="s">
        <v>47</v>
      </c>
      <c r="RI27" t="s">
        <v>47</v>
      </c>
      <c r="RJ27" t="s">
        <v>47</v>
      </c>
      <c r="RK27" t="s">
        <v>47</v>
      </c>
      <c r="RL27" t="s">
        <v>47</v>
      </c>
      <c r="RM27" t="s">
        <v>47</v>
      </c>
      <c r="RN27" t="s">
        <v>47</v>
      </c>
      <c r="RO27" t="s">
        <v>47</v>
      </c>
      <c r="RP27" t="s">
        <v>47</v>
      </c>
      <c r="RQ27" t="s">
        <v>47</v>
      </c>
      <c r="RR27" t="s">
        <v>47</v>
      </c>
      <c r="RS27" t="s">
        <v>47</v>
      </c>
      <c r="RT27" t="s">
        <v>47</v>
      </c>
      <c r="RU27" t="s">
        <v>47</v>
      </c>
      <c r="RV27" t="s">
        <v>47</v>
      </c>
      <c r="RW27" t="s">
        <v>47</v>
      </c>
      <c r="RX27" t="s">
        <v>47</v>
      </c>
      <c r="RY27" t="s">
        <v>47</v>
      </c>
      <c r="RZ27" t="s">
        <v>47</v>
      </c>
      <c r="SA27" t="s">
        <v>47</v>
      </c>
      <c r="SB27" t="s">
        <v>47</v>
      </c>
      <c r="SC27" t="s">
        <v>47</v>
      </c>
      <c r="SD27" t="s">
        <v>47</v>
      </c>
      <c r="SE27" t="s">
        <v>47</v>
      </c>
      <c r="SF27" t="s">
        <v>47</v>
      </c>
      <c r="SG27" t="s">
        <v>47</v>
      </c>
      <c r="SH27" t="s">
        <v>47</v>
      </c>
      <c r="SI27" t="s">
        <v>47</v>
      </c>
      <c r="SJ27" t="s">
        <v>47</v>
      </c>
      <c r="SK27" t="s">
        <v>47</v>
      </c>
      <c r="SL27" t="s">
        <v>47</v>
      </c>
      <c r="SM27" t="s">
        <v>47</v>
      </c>
      <c r="SN27" t="s">
        <v>47</v>
      </c>
      <c r="SO27" t="s">
        <v>47</v>
      </c>
      <c r="SP27" t="s">
        <v>47</v>
      </c>
      <c r="SQ27" t="s">
        <v>47</v>
      </c>
      <c r="SR27" t="s">
        <v>47</v>
      </c>
      <c r="SS27" t="s">
        <v>47</v>
      </c>
      <c r="ST27" t="s">
        <v>47</v>
      </c>
      <c r="SU27" t="s">
        <v>47</v>
      </c>
      <c r="SV27" t="s">
        <v>47</v>
      </c>
      <c r="SW27" t="s">
        <v>47</v>
      </c>
      <c r="SX27" t="s">
        <v>47</v>
      </c>
      <c r="SY27" t="s">
        <v>47</v>
      </c>
      <c r="SZ27" t="s">
        <v>47</v>
      </c>
      <c r="TA27" t="s">
        <v>47</v>
      </c>
      <c r="TB27" t="s">
        <v>47</v>
      </c>
      <c r="TC27" t="s">
        <v>47</v>
      </c>
      <c r="TD27" t="s">
        <v>47</v>
      </c>
      <c r="TE27" t="s">
        <v>47</v>
      </c>
      <c r="TF27" t="s">
        <v>47</v>
      </c>
      <c r="TG27" t="s">
        <v>47</v>
      </c>
      <c r="TH27" t="s">
        <v>47</v>
      </c>
      <c r="TI27" t="s">
        <v>47</v>
      </c>
      <c r="TJ27" t="s">
        <v>47</v>
      </c>
      <c r="TK27" t="s">
        <v>47</v>
      </c>
      <c r="TL27" t="s">
        <v>47</v>
      </c>
      <c r="TM27" t="s">
        <v>47</v>
      </c>
      <c r="TN27" t="s">
        <v>47</v>
      </c>
      <c r="TO27" t="s">
        <v>47</v>
      </c>
      <c r="TP27" t="s">
        <v>47</v>
      </c>
      <c r="TQ27" t="s">
        <v>47</v>
      </c>
      <c r="TR27" t="s">
        <v>47</v>
      </c>
      <c r="TS27" t="s">
        <v>47</v>
      </c>
      <c r="TT27" t="s">
        <v>47</v>
      </c>
      <c r="TU27" t="s">
        <v>47</v>
      </c>
      <c r="TV27" t="s">
        <v>47</v>
      </c>
      <c r="TW27" t="s">
        <v>47</v>
      </c>
      <c r="TX27" t="s">
        <v>47</v>
      </c>
      <c r="TY27" t="s">
        <v>47</v>
      </c>
      <c r="TZ27" t="s">
        <v>47</v>
      </c>
      <c r="UA27" t="s">
        <v>47</v>
      </c>
      <c r="UB27" t="s">
        <v>47</v>
      </c>
      <c r="UC27" t="s">
        <v>47</v>
      </c>
      <c r="UD27" t="s">
        <v>47</v>
      </c>
      <c r="UE27" t="s">
        <v>47</v>
      </c>
      <c r="UF27" t="s">
        <v>47</v>
      </c>
      <c r="UG27" t="s">
        <v>47</v>
      </c>
      <c r="UH27" t="s">
        <v>47</v>
      </c>
      <c r="UI27" t="s">
        <v>47</v>
      </c>
      <c r="UJ27" t="s">
        <v>47</v>
      </c>
      <c r="UK27" t="s">
        <v>47</v>
      </c>
      <c r="UL27" t="s">
        <v>47</v>
      </c>
      <c r="UM27" t="s">
        <v>47</v>
      </c>
      <c r="UN27" t="s">
        <v>47</v>
      </c>
      <c r="UO27" t="s">
        <v>47</v>
      </c>
      <c r="UP27" t="s">
        <v>47</v>
      </c>
      <c r="UQ27" t="s">
        <v>47</v>
      </c>
      <c r="UR27" t="s">
        <v>47</v>
      </c>
      <c r="US27" t="s">
        <v>47</v>
      </c>
      <c r="UT27" t="s">
        <v>47</v>
      </c>
      <c r="UU27" t="s">
        <v>47</v>
      </c>
      <c r="UV27" t="s">
        <v>47</v>
      </c>
      <c r="UW27" t="s">
        <v>47</v>
      </c>
      <c r="UX27" t="s">
        <v>47</v>
      </c>
      <c r="UY27" t="s">
        <v>47</v>
      </c>
      <c r="UZ27" t="s">
        <v>47</v>
      </c>
      <c r="VA27" t="s">
        <v>47</v>
      </c>
      <c r="VB27" t="s">
        <v>47</v>
      </c>
      <c r="VC27" t="s">
        <v>47</v>
      </c>
      <c r="VD27" t="s">
        <v>47</v>
      </c>
      <c r="VE27" t="s">
        <v>47</v>
      </c>
      <c r="VF27" t="s">
        <v>47</v>
      </c>
      <c r="VG27" t="s">
        <v>47</v>
      </c>
      <c r="VH27" t="s">
        <v>47</v>
      </c>
      <c r="VI27" t="s">
        <v>47</v>
      </c>
      <c r="VJ27" t="s">
        <v>47</v>
      </c>
      <c r="VK27" t="s">
        <v>47</v>
      </c>
      <c r="VL27" t="s">
        <v>47</v>
      </c>
      <c r="VM27" t="s">
        <v>47</v>
      </c>
      <c r="VN27" t="s">
        <v>47</v>
      </c>
      <c r="VO27" t="s">
        <v>47</v>
      </c>
      <c r="VP27" t="s">
        <v>47</v>
      </c>
      <c r="VQ27" t="s">
        <v>47</v>
      </c>
      <c r="VR27" t="s">
        <v>47</v>
      </c>
      <c r="VS27" t="s">
        <v>47</v>
      </c>
      <c r="VT27" t="s">
        <v>47</v>
      </c>
      <c r="VU27" t="s">
        <v>47</v>
      </c>
      <c r="VV27" t="s">
        <v>47</v>
      </c>
      <c r="VW27" t="s">
        <v>47</v>
      </c>
      <c r="VX27" t="s">
        <v>47</v>
      </c>
      <c r="VY27" t="s">
        <v>47</v>
      </c>
      <c r="VZ27" t="s">
        <v>47</v>
      </c>
      <c r="WA27" t="s">
        <v>47</v>
      </c>
      <c r="WB27" t="s">
        <v>47</v>
      </c>
      <c r="WC27" t="s">
        <v>47</v>
      </c>
      <c r="WD27" t="s">
        <v>47</v>
      </c>
      <c r="WE27" t="s">
        <v>47</v>
      </c>
      <c r="WF27" t="s">
        <v>47</v>
      </c>
      <c r="WG27" t="s">
        <v>47</v>
      </c>
      <c r="WH27" t="s">
        <v>47</v>
      </c>
      <c r="WI27" t="s">
        <v>47</v>
      </c>
      <c r="WJ27" t="s">
        <v>47</v>
      </c>
      <c r="WK27" t="s">
        <v>47</v>
      </c>
      <c r="WL27" t="s">
        <v>47</v>
      </c>
      <c r="WM27" t="s">
        <v>47</v>
      </c>
      <c r="WN27" t="s">
        <v>47</v>
      </c>
      <c r="WO27" t="s">
        <v>47</v>
      </c>
      <c r="WP27" t="s">
        <v>47</v>
      </c>
      <c r="WQ27" t="s">
        <v>47</v>
      </c>
      <c r="WR27" t="s">
        <v>47</v>
      </c>
      <c r="WS27" t="s">
        <v>47</v>
      </c>
      <c r="WT27" t="s">
        <v>47</v>
      </c>
      <c r="WU27" t="s">
        <v>47</v>
      </c>
      <c r="WV27" t="s">
        <v>47</v>
      </c>
      <c r="WW27" t="s">
        <v>47</v>
      </c>
      <c r="WX27" t="s">
        <v>47</v>
      </c>
      <c r="WY27" t="s">
        <v>47</v>
      </c>
      <c r="WZ27" t="s">
        <v>47</v>
      </c>
      <c r="XA27" t="s">
        <v>47</v>
      </c>
      <c r="XB27" t="s">
        <v>47</v>
      </c>
      <c r="XC27" t="s">
        <v>47</v>
      </c>
      <c r="XD27" t="s">
        <v>47</v>
      </c>
      <c r="XE27" t="s">
        <v>47</v>
      </c>
      <c r="XF27" t="s">
        <v>47</v>
      </c>
      <c r="XG27" t="s">
        <v>47</v>
      </c>
      <c r="XH27" t="s">
        <v>47</v>
      </c>
      <c r="XI27" t="s">
        <v>47</v>
      </c>
      <c r="XJ27" t="s">
        <v>47</v>
      </c>
      <c r="XK27" t="s">
        <v>47</v>
      </c>
      <c r="XL27" t="s">
        <v>47</v>
      </c>
      <c r="XM27" t="s">
        <v>47</v>
      </c>
      <c r="XN27" t="s">
        <v>47</v>
      </c>
      <c r="XO27" t="s">
        <v>47</v>
      </c>
      <c r="XP27" t="s">
        <v>47</v>
      </c>
      <c r="XQ27" t="s">
        <v>47</v>
      </c>
      <c r="XR27" t="s">
        <v>47</v>
      </c>
      <c r="XS27" t="s">
        <v>47</v>
      </c>
      <c r="XT27" t="s">
        <v>47</v>
      </c>
      <c r="XU27" t="s">
        <v>47</v>
      </c>
      <c r="XV27" t="s">
        <v>47</v>
      </c>
      <c r="XW27" t="s">
        <v>47</v>
      </c>
      <c r="XX27" t="s">
        <v>47</v>
      </c>
      <c r="XY27" t="s">
        <v>47</v>
      </c>
      <c r="XZ27" t="s">
        <v>47</v>
      </c>
      <c r="YA27" t="s">
        <v>47</v>
      </c>
      <c r="YB27" t="s">
        <v>47</v>
      </c>
    </row>
    <row r="28" spans="1:652" x14ac:dyDescent="0.2">
      <c r="A28" t="s">
        <v>48</v>
      </c>
      <c r="B28" s="1">
        <v>2588140</v>
      </c>
      <c r="C28" s="1">
        <v>2829140</v>
      </c>
      <c r="D28" s="1">
        <v>2897345</v>
      </c>
      <c r="E28" s="1">
        <v>2890990</v>
      </c>
      <c r="F28" s="1">
        <v>2910110</v>
      </c>
      <c r="G28" s="1">
        <v>2882125</v>
      </c>
      <c r="H28" s="1">
        <v>2874430</v>
      </c>
      <c r="I28" s="1">
        <v>2920200</v>
      </c>
      <c r="J28" s="1">
        <v>2920795</v>
      </c>
      <c r="K28" s="1">
        <v>2793385</v>
      </c>
      <c r="L28" s="1">
        <v>2878140</v>
      </c>
      <c r="M28" s="1">
        <v>2963760</v>
      </c>
      <c r="N28" s="1">
        <v>3013535</v>
      </c>
      <c r="O28" s="1">
        <v>3186520</v>
      </c>
      <c r="P28" s="1">
        <v>3337975</v>
      </c>
      <c r="Q28" s="1">
        <v>3655280</v>
      </c>
      <c r="R28" s="1">
        <v>3683250</v>
      </c>
      <c r="S28" s="1">
        <v>4138870</v>
      </c>
      <c r="T28" s="1">
        <v>4167620</v>
      </c>
      <c r="U28" s="1">
        <v>4198180</v>
      </c>
      <c r="V28" s="1">
        <v>4266550</v>
      </c>
      <c r="W28" s="1">
        <v>4348255</v>
      </c>
      <c r="X28" s="1">
        <v>4337585</v>
      </c>
      <c r="Y28" s="1">
        <v>4264500</v>
      </c>
      <c r="Z28" s="1">
        <v>4357045</v>
      </c>
      <c r="AA28" s="1">
        <v>4436130</v>
      </c>
      <c r="AB28" s="1">
        <v>4420975</v>
      </c>
      <c r="AC28" s="1">
        <v>4527495</v>
      </c>
      <c r="AD28" s="1">
        <v>4085765</v>
      </c>
      <c r="AE28" s="1">
        <v>4303350</v>
      </c>
      <c r="AF28" s="1">
        <v>4916970</v>
      </c>
      <c r="AG28" s="1">
        <v>561855</v>
      </c>
      <c r="AH28" s="1">
        <v>573045</v>
      </c>
      <c r="AI28" s="1">
        <v>583590</v>
      </c>
      <c r="AJ28" s="1">
        <v>590890</v>
      </c>
      <c r="AK28" s="1">
        <v>594945</v>
      </c>
      <c r="AL28" s="1">
        <v>601350</v>
      </c>
      <c r="AM28" s="1">
        <v>606950</v>
      </c>
      <c r="AN28" s="1">
        <v>614635</v>
      </c>
      <c r="AO28" s="1">
        <v>622275</v>
      </c>
      <c r="AP28" s="1">
        <v>614240</v>
      </c>
      <c r="AQ28" s="1">
        <v>621500</v>
      </c>
      <c r="AR28" s="1">
        <v>631295</v>
      </c>
      <c r="AS28" s="1">
        <v>640920</v>
      </c>
      <c r="AT28" s="1">
        <v>653660</v>
      </c>
      <c r="AU28" s="1">
        <v>663245</v>
      </c>
      <c r="AV28" s="1">
        <v>675775</v>
      </c>
      <c r="AW28" s="1">
        <v>684375</v>
      </c>
      <c r="AX28" s="1">
        <v>697445</v>
      </c>
      <c r="AY28" s="1">
        <v>705930</v>
      </c>
      <c r="AZ28" s="1">
        <v>716340</v>
      </c>
      <c r="BA28" s="1">
        <v>727325</v>
      </c>
      <c r="BB28" s="1">
        <v>740195</v>
      </c>
      <c r="BC28" s="1">
        <v>752185</v>
      </c>
      <c r="BD28" s="1">
        <v>760640</v>
      </c>
      <c r="BE28" s="1">
        <v>769815</v>
      </c>
      <c r="BF28" s="1">
        <v>784605</v>
      </c>
      <c r="BG28" s="1">
        <v>800510</v>
      </c>
      <c r="BH28" s="1">
        <v>814055</v>
      </c>
      <c r="BI28" s="1">
        <v>818170</v>
      </c>
      <c r="BJ28" s="1">
        <v>833670</v>
      </c>
      <c r="BK28" s="1">
        <v>857125</v>
      </c>
      <c r="BL28" s="1">
        <v>450545</v>
      </c>
      <c r="BM28" s="1">
        <v>501420</v>
      </c>
      <c r="BN28" s="1">
        <v>511840</v>
      </c>
      <c r="BO28" s="1">
        <v>517275</v>
      </c>
      <c r="BP28" s="1">
        <v>525720</v>
      </c>
      <c r="BQ28" s="1">
        <v>528585</v>
      </c>
      <c r="BR28" s="1">
        <v>526365</v>
      </c>
      <c r="BS28" s="1">
        <v>539530</v>
      </c>
      <c r="BT28" s="1">
        <v>545130</v>
      </c>
      <c r="BU28" s="1">
        <v>510305</v>
      </c>
      <c r="BV28" s="1">
        <v>525075</v>
      </c>
      <c r="BW28" s="1">
        <v>545030</v>
      </c>
      <c r="BX28" s="1">
        <v>555625</v>
      </c>
      <c r="BY28" s="1">
        <v>583285</v>
      </c>
      <c r="BZ28" s="1">
        <v>589505</v>
      </c>
      <c r="CA28" s="1">
        <v>628980</v>
      </c>
      <c r="CB28" s="1">
        <v>632870</v>
      </c>
      <c r="CC28" s="1">
        <v>672485</v>
      </c>
      <c r="CD28" s="1">
        <v>679945</v>
      </c>
      <c r="CE28" s="1">
        <v>687265</v>
      </c>
      <c r="CF28" s="1">
        <v>699490</v>
      </c>
      <c r="CG28" s="1">
        <v>712940</v>
      </c>
      <c r="CH28" s="1">
        <v>719260</v>
      </c>
      <c r="CI28" s="1">
        <v>723995</v>
      </c>
      <c r="CJ28" s="1">
        <v>728845</v>
      </c>
      <c r="CK28" s="1">
        <v>740270</v>
      </c>
      <c r="CL28" s="1">
        <v>744345</v>
      </c>
      <c r="CM28" s="1">
        <v>770650</v>
      </c>
      <c r="CN28" s="1">
        <v>673390</v>
      </c>
      <c r="CO28" s="1">
        <v>745905</v>
      </c>
      <c r="CP28" s="1">
        <v>829570</v>
      </c>
      <c r="CQ28" s="1">
        <v>416360</v>
      </c>
      <c r="CR28" s="1">
        <v>425985</v>
      </c>
      <c r="CS28" s="1">
        <v>427380</v>
      </c>
      <c r="CT28" s="1">
        <v>425595</v>
      </c>
      <c r="CU28" s="1">
        <v>429425</v>
      </c>
      <c r="CV28" s="1">
        <v>440120</v>
      </c>
      <c r="CW28" s="1">
        <v>459970</v>
      </c>
      <c r="CX28" s="1">
        <v>472645</v>
      </c>
      <c r="CY28" s="1">
        <v>477695</v>
      </c>
      <c r="CZ28" s="1">
        <v>497995</v>
      </c>
      <c r="DA28" s="1">
        <v>508045</v>
      </c>
      <c r="DB28" s="1">
        <v>511615</v>
      </c>
      <c r="DC28" s="1">
        <v>518975</v>
      </c>
      <c r="DD28" s="1">
        <v>532710</v>
      </c>
      <c r="DE28" s="1">
        <v>540930</v>
      </c>
      <c r="DF28" s="1">
        <v>557420</v>
      </c>
      <c r="DG28" s="1">
        <v>566595</v>
      </c>
      <c r="DH28" s="1">
        <v>581850</v>
      </c>
      <c r="DI28" s="1">
        <v>596495</v>
      </c>
      <c r="DJ28" s="1">
        <v>604820</v>
      </c>
      <c r="DK28" s="1">
        <v>610275</v>
      </c>
      <c r="DL28" s="1">
        <v>624640</v>
      </c>
      <c r="DM28" s="1">
        <v>636815</v>
      </c>
      <c r="DN28" s="1">
        <v>645955</v>
      </c>
      <c r="DO28" s="1">
        <v>647860</v>
      </c>
      <c r="DP28" s="1">
        <v>647750</v>
      </c>
      <c r="DQ28" s="1">
        <v>666255</v>
      </c>
      <c r="DR28" s="1">
        <v>678655</v>
      </c>
      <c r="DS28" s="1">
        <v>683270</v>
      </c>
      <c r="DT28" s="1">
        <v>712430</v>
      </c>
      <c r="DU28" s="1">
        <v>754805</v>
      </c>
      <c r="DV28" s="1">
        <v>378415</v>
      </c>
      <c r="DW28" s="1">
        <v>424620</v>
      </c>
      <c r="DX28" s="1">
        <v>432405</v>
      </c>
      <c r="DY28" s="1">
        <v>439075</v>
      </c>
      <c r="DZ28" s="1">
        <v>449120</v>
      </c>
      <c r="EA28" s="1">
        <v>449950</v>
      </c>
      <c r="EB28" s="1">
        <v>438405</v>
      </c>
      <c r="EC28" s="1">
        <v>440235</v>
      </c>
      <c r="ED28" s="1">
        <v>439855</v>
      </c>
      <c r="EE28" s="1">
        <v>386590</v>
      </c>
      <c r="EF28" s="1">
        <v>402405</v>
      </c>
      <c r="EG28" s="1">
        <v>423600</v>
      </c>
      <c r="EH28" s="1">
        <v>427630</v>
      </c>
      <c r="EI28" s="1">
        <v>454400</v>
      </c>
      <c r="EJ28" s="1">
        <v>486040</v>
      </c>
      <c r="EK28" s="1">
        <v>502400</v>
      </c>
      <c r="EL28" s="1">
        <v>503350</v>
      </c>
      <c r="EM28" s="1">
        <v>546970</v>
      </c>
      <c r="EN28" s="1">
        <v>556790</v>
      </c>
      <c r="EO28" s="1">
        <v>566790</v>
      </c>
      <c r="EP28" s="1">
        <v>581475</v>
      </c>
      <c r="EQ28" s="1">
        <v>590105</v>
      </c>
      <c r="ER28" s="1">
        <v>592270</v>
      </c>
      <c r="ES28" s="1">
        <v>587665</v>
      </c>
      <c r="ET28" s="1">
        <v>601050</v>
      </c>
      <c r="EU28" s="1">
        <v>610535</v>
      </c>
      <c r="EV28" s="1">
        <v>615120</v>
      </c>
      <c r="EW28" s="1">
        <v>625115</v>
      </c>
      <c r="EX28" s="1">
        <v>466515</v>
      </c>
      <c r="EY28" s="1">
        <v>517260</v>
      </c>
      <c r="EZ28" s="1">
        <v>694240</v>
      </c>
      <c r="FA28" s="1">
        <v>233325</v>
      </c>
      <c r="FB28" s="1">
        <v>262090</v>
      </c>
      <c r="FC28" s="1">
        <v>265280</v>
      </c>
      <c r="FD28" s="1">
        <v>274375</v>
      </c>
      <c r="FE28" s="1">
        <v>282130</v>
      </c>
      <c r="FF28" s="1">
        <v>268555</v>
      </c>
      <c r="FG28" s="1">
        <v>250025</v>
      </c>
      <c r="FH28" s="1">
        <v>255190</v>
      </c>
      <c r="FI28" s="1">
        <v>254695</v>
      </c>
      <c r="FJ28" s="1">
        <v>242550</v>
      </c>
      <c r="FK28" s="1">
        <v>250975</v>
      </c>
      <c r="FL28" s="1">
        <v>255215</v>
      </c>
      <c r="FM28" s="1">
        <v>259660</v>
      </c>
      <c r="FN28" s="1">
        <v>279710</v>
      </c>
      <c r="FO28" s="1">
        <v>300670</v>
      </c>
      <c r="FP28" s="1">
        <v>334590</v>
      </c>
      <c r="FQ28" s="1">
        <v>331420</v>
      </c>
      <c r="FR28" s="1">
        <v>399915</v>
      </c>
      <c r="FS28" s="1">
        <v>398930</v>
      </c>
      <c r="FT28" s="1">
        <v>399680</v>
      </c>
      <c r="FU28" s="1">
        <v>404830</v>
      </c>
      <c r="FV28" s="1">
        <v>415350</v>
      </c>
      <c r="FW28" s="1">
        <v>405460</v>
      </c>
      <c r="FX28" s="1">
        <v>403535</v>
      </c>
      <c r="FY28" s="1">
        <v>406495</v>
      </c>
      <c r="FZ28" s="1">
        <v>413020</v>
      </c>
      <c r="GA28" s="1">
        <v>399725</v>
      </c>
      <c r="GB28" s="1">
        <v>408300</v>
      </c>
      <c r="GC28" s="1">
        <v>346980</v>
      </c>
      <c r="GD28" s="1">
        <v>384090</v>
      </c>
      <c r="GE28" s="1">
        <v>446150</v>
      </c>
      <c r="GF28" s="1">
        <v>198105</v>
      </c>
      <c r="GG28" s="1">
        <v>221635</v>
      </c>
      <c r="GH28" s="1">
        <v>223395</v>
      </c>
      <c r="GI28" s="1">
        <v>217480</v>
      </c>
      <c r="GJ28" s="1">
        <v>214060</v>
      </c>
      <c r="GK28" s="1">
        <v>208415</v>
      </c>
      <c r="GL28" s="1">
        <v>215655</v>
      </c>
      <c r="GM28" s="1">
        <v>219170</v>
      </c>
      <c r="GN28" s="1">
        <v>216560</v>
      </c>
      <c r="GO28" s="1">
        <v>214675</v>
      </c>
      <c r="GP28" s="1">
        <v>225120</v>
      </c>
      <c r="GQ28" s="1">
        <v>227625</v>
      </c>
      <c r="GR28" s="1">
        <v>233025</v>
      </c>
      <c r="GS28" s="1">
        <v>251830</v>
      </c>
      <c r="GT28" s="1">
        <v>264200</v>
      </c>
      <c r="GU28" s="1">
        <v>308435</v>
      </c>
      <c r="GV28" s="1">
        <v>310710</v>
      </c>
      <c r="GW28" s="1">
        <v>346320</v>
      </c>
      <c r="GX28" s="1">
        <v>353085</v>
      </c>
      <c r="GY28" s="1">
        <v>358485</v>
      </c>
      <c r="GZ28" s="1">
        <v>364770</v>
      </c>
      <c r="HA28" s="1">
        <v>373350</v>
      </c>
      <c r="HB28" s="1">
        <v>375535</v>
      </c>
      <c r="HC28" s="1">
        <v>360750</v>
      </c>
      <c r="HD28" s="1">
        <v>372215</v>
      </c>
      <c r="HE28" s="1">
        <v>376895</v>
      </c>
      <c r="HF28" s="1">
        <v>365995</v>
      </c>
      <c r="HG28" s="1">
        <v>369150</v>
      </c>
      <c r="HH28" s="1">
        <v>324145</v>
      </c>
      <c r="HI28" s="1">
        <v>337485</v>
      </c>
      <c r="HJ28" s="1">
        <v>393075</v>
      </c>
      <c r="HK28" s="1">
        <v>160990</v>
      </c>
      <c r="HL28" s="1">
        <v>188535</v>
      </c>
      <c r="HM28" s="1">
        <v>193220</v>
      </c>
      <c r="HN28" s="1">
        <v>189170</v>
      </c>
      <c r="HO28" s="1">
        <v>184750</v>
      </c>
      <c r="HP28" s="1">
        <v>177020</v>
      </c>
      <c r="HQ28" s="1">
        <v>180570</v>
      </c>
      <c r="HR28" s="1">
        <v>172205</v>
      </c>
      <c r="HS28" s="1">
        <v>167690</v>
      </c>
      <c r="HT28" s="1">
        <v>142605</v>
      </c>
      <c r="HU28" s="1">
        <v>150635</v>
      </c>
      <c r="HV28" s="1">
        <v>160175</v>
      </c>
      <c r="HW28" s="1">
        <v>162995</v>
      </c>
      <c r="HX28" s="1">
        <v>184420</v>
      </c>
      <c r="HY28" s="1">
        <v>210680</v>
      </c>
      <c r="HZ28" s="1">
        <v>255810</v>
      </c>
      <c r="IA28" s="1">
        <v>256345</v>
      </c>
      <c r="IB28" s="1">
        <v>299035</v>
      </c>
      <c r="IC28" s="1">
        <v>305410</v>
      </c>
      <c r="ID28" s="1">
        <v>306075</v>
      </c>
      <c r="IE28" s="1">
        <v>310825</v>
      </c>
      <c r="IF28" s="1">
        <v>314935</v>
      </c>
      <c r="IG28" s="1">
        <v>308715</v>
      </c>
      <c r="IH28" s="1">
        <v>281660</v>
      </c>
      <c r="II28" s="1">
        <v>302275</v>
      </c>
      <c r="IJ28" s="1">
        <v>306395</v>
      </c>
      <c r="IK28" s="1">
        <v>295980</v>
      </c>
      <c r="IL28" s="1">
        <v>302245</v>
      </c>
      <c r="IM28" s="1">
        <v>263965</v>
      </c>
      <c r="IN28" s="1">
        <v>266750</v>
      </c>
      <c r="IO28" s="1">
        <v>327865</v>
      </c>
      <c r="IP28" s="1">
        <v>85425</v>
      </c>
      <c r="IQ28" s="1">
        <v>105825</v>
      </c>
      <c r="IR28" s="1">
        <v>109130</v>
      </c>
      <c r="IS28" s="1">
        <v>113040</v>
      </c>
      <c r="IT28" s="1">
        <v>107745</v>
      </c>
      <c r="IU28" s="1">
        <v>96890</v>
      </c>
      <c r="IV28" s="1">
        <v>90205</v>
      </c>
      <c r="IW28" s="1">
        <v>87030</v>
      </c>
      <c r="IX28" s="1">
        <v>80620</v>
      </c>
      <c r="IY28" s="1">
        <v>68945</v>
      </c>
      <c r="IZ28" s="1">
        <v>72360</v>
      </c>
      <c r="JA28" s="1">
        <v>77480</v>
      </c>
      <c r="JB28" s="1">
        <v>79515</v>
      </c>
      <c r="JC28" s="1">
        <v>92795</v>
      </c>
      <c r="JD28" s="1">
        <v>110530</v>
      </c>
      <c r="JE28" s="1">
        <v>155745</v>
      </c>
      <c r="JF28" s="1">
        <v>153715</v>
      </c>
      <c r="JG28" s="1">
        <v>221220</v>
      </c>
      <c r="JH28" s="1">
        <v>220455</v>
      </c>
      <c r="JI28" s="1">
        <v>217445</v>
      </c>
      <c r="JJ28" s="1">
        <v>221540</v>
      </c>
      <c r="JK28" s="1">
        <v>224755</v>
      </c>
      <c r="JL28" s="1">
        <v>214095</v>
      </c>
      <c r="JM28" s="1">
        <v>200250</v>
      </c>
      <c r="JN28" s="1">
        <v>206215</v>
      </c>
      <c r="JO28" s="1">
        <v>214480</v>
      </c>
      <c r="JP28" s="1">
        <v>201920</v>
      </c>
      <c r="JQ28" s="1">
        <v>210370</v>
      </c>
      <c r="JR28" s="1">
        <v>181425</v>
      </c>
      <c r="JS28" s="1">
        <v>184685</v>
      </c>
      <c r="JT28" s="1">
        <v>233670</v>
      </c>
      <c r="JU28" s="1">
        <v>40880</v>
      </c>
      <c r="JV28" s="1">
        <v>52700</v>
      </c>
      <c r="JW28" s="1">
        <v>53865</v>
      </c>
      <c r="JX28" s="1">
        <v>53165</v>
      </c>
      <c r="JY28" s="1">
        <v>50535</v>
      </c>
      <c r="JZ28" s="1">
        <v>45030</v>
      </c>
      <c r="KA28" s="1">
        <v>42320</v>
      </c>
      <c r="KB28" s="1">
        <v>43245</v>
      </c>
      <c r="KC28" s="1">
        <v>41180</v>
      </c>
      <c r="KD28" s="1">
        <v>38120</v>
      </c>
      <c r="KE28" s="1">
        <v>40605</v>
      </c>
      <c r="KF28" s="1">
        <v>43665</v>
      </c>
      <c r="KG28" s="1">
        <v>44860</v>
      </c>
      <c r="KH28" s="1">
        <v>51820</v>
      </c>
      <c r="KI28" s="1">
        <v>60670</v>
      </c>
      <c r="KJ28" s="1">
        <v>86740</v>
      </c>
      <c r="KK28" s="1">
        <v>89260</v>
      </c>
      <c r="KL28" s="1">
        <v>140185</v>
      </c>
      <c r="KM28" s="1">
        <v>134640</v>
      </c>
      <c r="KN28" s="1">
        <v>130725</v>
      </c>
      <c r="KO28" s="1">
        <v>132470</v>
      </c>
      <c r="KP28" s="1">
        <v>133765</v>
      </c>
      <c r="KQ28" s="1">
        <v>127325</v>
      </c>
      <c r="KR28" s="1">
        <v>113685</v>
      </c>
      <c r="KS28" s="1">
        <v>120995</v>
      </c>
      <c r="KT28" s="1">
        <v>128120</v>
      </c>
      <c r="KU28" s="1">
        <v>123300</v>
      </c>
      <c r="KV28" s="1">
        <v>127660</v>
      </c>
      <c r="KW28" s="1">
        <v>115800</v>
      </c>
      <c r="KX28" s="1">
        <v>114885</v>
      </c>
      <c r="KY28" s="1">
        <v>141840</v>
      </c>
      <c r="KZ28" s="1">
        <v>22115</v>
      </c>
      <c r="LA28" s="1">
        <v>26870</v>
      </c>
      <c r="LB28" s="1">
        <v>28275</v>
      </c>
      <c r="LC28" s="1">
        <v>27675</v>
      </c>
      <c r="LD28" s="1">
        <v>26675</v>
      </c>
      <c r="LE28" s="1">
        <v>24215</v>
      </c>
      <c r="LF28" s="1">
        <v>22870</v>
      </c>
      <c r="LG28" s="1">
        <v>24280</v>
      </c>
      <c r="LH28" s="1">
        <v>23375</v>
      </c>
      <c r="LI28" s="1">
        <v>22795</v>
      </c>
      <c r="LJ28" s="1">
        <v>24640</v>
      </c>
      <c r="LK28" s="1">
        <v>26570</v>
      </c>
      <c r="LL28" s="1">
        <v>27805</v>
      </c>
      <c r="LM28" s="1">
        <v>31965</v>
      </c>
      <c r="LN28" s="1">
        <v>35655</v>
      </c>
      <c r="LO28" s="1">
        <v>51485</v>
      </c>
      <c r="LP28" s="1">
        <v>53900</v>
      </c>
      <c r="LQ28" s="1">
        <v>85745</v>
      </c>
      <c r="LR28" s="1">
        <v>79385</v>
      </c>
      <c r="LS28" s="1">
        <v>77340</v>
      </c>
      <c r="LT28" s="1">
        <v>78660</v>
      </c>
      <c r="LU28" s="1">
        <v>79310</v>
      </c>
      <c r="LV28" s="1">
        <v>75775</v>
      </c>
      <c r="LW28" s="1">
        <v>66970</v>
      </c>
      <c r="LX28" s="1">
        <v>72690</v>
      </c>
      <c r="LY28" s="1">
        <v>78145</v>
      </c>
      <c r="LZ28" s="1">
        <v>76320</v>
      </c>
      <c r="MA28" s="1">
        <v>79960</v>
      </c>
      <c r="MB28" s="1">
        <v>72225</v>
      </c>
      <c r="MC28" s="1">
        <v>71485</v>
      </c>
      <c r="MD28" s="1">
        <v>85580</v>
      </c>
      <c r="ME28" s="1">
        <v>12515</v>
      </c>
      <c r="MF28" s="1">
        <v>15405</v>
      </c>
      <c r="MG28" s="1">
        <v>16395</v>
      </c>
      <c r="MH28" s="1">
        <v>15220</v>
      </c>
      <c r="MI28" s="1">
        <v>15090</v>
      </c>
      <c r="MJ28" s="1">
        <v>13495</v>
      </c>
      <c r="MK28" s="1">
        <v>12985</v>
      </c>
      <c r="ML28" s="1">
        <v>14830</v>
      </c>
      <c r="MM28" s="1">
        <v>15005</v>
      </c>
      <c r="MN28" s="1">
        <v>14745</v>
      </c>
      <c r="MO28" s="1">
        <v>15750</v>
      </c>
      <c r="MP28" s="1">
        <v>16705</v>
      </c>
      <c r="MQ28" s="1">
        <v>17370</v>
      </c>
      <c r="MR28" s="1">
        <v>20150</v>
      </c>
      <c r="MS28" s="1">
        <v>22220</v>
      </c>
      <c r="MT28" s="1">
        <v>31945</v>
      </c>
      <c r="MU28" s="1">
        <v>33115</v>
      </c>
      <c r="MV28" s="1">
        <v>51655</v>
      </c>
      <c r="MW28" s="1">
        <v>47150</v>
      </c>
      <c r="MX28" s="1">
        <v>45705</v>
      </c>
      <c r="MY28" s="1">
        <v>46960</v>
      </c>
      <c r="MZ28" s="1">
        <v>48490</v>
      </c>
      <c r="NA28" s="1">
        <v>45975</v>
      </c>
      <c r="NB28" s="1">
        <v>41575</v>
      </c>
      <c r="NC28" s="1">
        <v>44370</v>
      </c>
      <c r="ND28" s="1">
        <v>47725</v>
      </c>
      <c r="NE28" s="1">
        <v>45490</v>
      </c>
      <c r="NF28" s="1">
        <v>49045</v>
      </c>
      <c r="NG28" s="1">
        <v>45765</v>
      </c>
      <c r="NH28" s="1">
        <v>44325</v>
      </c>
      <c r="NI28" s="1">
        <v>52455</v>
      </c>
      <c r="NJ28" s="1">
        <v>7665</v>
      </c>
      <c r="NK28" s="1">
        <v>8420</v>
      </c>
      <c r="NL28" s="1">
        <v>10335</v>
      </c>
      <c r="NM28" s="1">
        <v>8550</v>
      </c>
      <c r="NN28" s="1">
        <v>9370</v>
      </c>
      <c r="NO28" s="1">
        <v>8245</v>
      </c>
      <c r="NP28" s="1">
        <v>8120</v>
      </c>
      <c r="NQ28" s="1">
        <v>9655</v>
      </c>
      <c r="NR28" s="1">
        <v>9815</v>
      </c>
      <c r="NS28" s="1">
        <v>10230</v>
      </c>
      <c r="NT28" s="1">
        <v>10665</v>
      </c>
      <c r="NU28" s="1">
        <v>11495</v>
      </c>
      <c r="NV28" s="1">
        <v>11645</v>
      </c>
      <c r="NW28" s="1">
        <v>13225</v>
      </c>
      <c r="NX28" s="1">
        <v>14730</v>
      </c>
      <c r="NY28" s="1">
        <v>20230</v>
      </c>
      <c r="NZ28" s="1">
        <v>21270</v>
      </c>
      <c r="OA28" s="1">
        <v>31525</v>
      </c>
      <c r="OB28" s="1">
        <v>29575</v>
      </c>
      <c r="OC28" s="1">
        <v>28970</v>
      </c>
      <c r="OD28" s="1">
        <v>29270</v>
      </c>
      <c r="OE28" s="1">
        <v>29240</v>
      </c>
      <c r="OF28" s="1">
        <v>28025</v>
      </c>
      <c r="OG28" s="1">
        <v>24975</v>
      </c>
      <c r="OH28" s="1">
        <v>27635</v>
      </c>
      <c r="OI28" s="1">
        <v>28530</v>
      </c>
      <c r="OJ28" s="1">
        <v>28060</v>
      </c>
      <c r="OK28" s="1">
        <v>29495</v>
      </c>
      <c r="OL28" s="1">
        <v>28610</v>
      </c>
      <c r="OM28" s="1">
        <v>27325</v>
      </c>
      <c r="ON28" s="1">
        <v>32110</v>
      </c>
      <c r="OO28" s="1">
        <v>4970</v>
      </c>
      <c r="OP28" s="1">
        <v>5890</v>
      </c>
      <c r="OQ28" s="1">
        <v>7055</v>
      </c>
      <c r="OR28" s="1">
        <v>5370</v>
      </c>
      <c r="OS28" s="1">
        <v>6065</v>
      </c>
      <c r="OT28" s="1">
        <v>5350</v>
      </c>
      <c r="OU28" s="1">
        <v>5080</v>
      </c>
      <c r="OV28" s="1">
        <v>7160</v>
      </c>
      <c r="OW28" s="1">
        <v>6575</v>
      </c>
      <c r="OX28" s="1">
        <v>7245</v>
      </c>
      <c r="OY28" s="1">
        <v>7405</v>
      </c>
      <c r="OZ28" s="1">
        <v>8200</v>
      </c>
      <c r="PA28" s="1">
        <v>8410</v>
      </c>
      <c r="PB28" s="1">
        <v>9255</v>
      </c>
      <c r="PC28" s="1">
        <v>10385</v>
      </c>
      <c r="PD28" s="1">
        <v>13380</v>
      </c>
      <c r="PE28" s="1">
        <v>13770</v>
      </c>
      <c r="PF28" s="1">
        <v>20740</v>
      </c>
      <c r="PG28" s="1">
        <v>18700</v>
      </c>
      <c r="PH28" s="1">
        <v>18510</v>
      </c>
      <c r="PI28" s="1">
        <v>18785</v>
      </c>
      <c r="PJ28" s="1">
        <v>19140</v>
      </c>
      <c r="PK28" s="1">
        <v>17530</v>
      </c>
      <c r="PL28" s="1">
        <v>15920</v>
      </c>
      <c r="PM28" s="1">
        <v>17170</v>
      </c>
      <c r="PN28" s="1">
        <v>17865</v>
      </c>
      <c r="PO28" s="1">
        <v>17490</v>
      </c>
      <c r="PP28" s="1">
        <v>18440</v>
      </c>
      <c r="PQ28" s="1">
        <v>19135</v>
      </c>
      <c r="PR28" s="1">
        <v>18350</v>
      </c>
      <c r="PS28" s="1">
        <v>20710</v>
      </c>
      <c r="PT28" s="1">
        <v>3500</v>
      </c>
      <c r="PU28" s="1">
        <v>3935</v>
      </c>
      <c r="PV28" s="1">
        <v>5465</v>
      </c>
      <c r="PW28" s="1">
        <v>3900</v>
      </c>
      <c r="PX28" s="1">
        <v>3925</v>
      </c>
      <c r="PY28" s="1">
        <v>3790</v>
      </c>
      <c r="PZ28" s="1">
        <v>3590</v>
      </c>
      <c r="QA28" s="1">
        <v>5060</v>
      </c>
      <c r="QB28" s="1">
        <v>5090</v>
      </c>
      <c r="QC28" s="1">
        <v>5330</v>
      </c>
      <c r="QD28" s="1">
        <v>5525</v>
      </c>
      <c r="QE28" s="1">
        <v>5885</v>
      </c>
      <c r="QF28" s="1">
        <v>6115</v>
      </c>
      <c r="QG28" s="1">
        <v>6870</v>
      </c>
      <c r="QH28" s="1">
        <v>7330</v>
      </c>
      <c r="QI28" s="1">
        <v>9315</v>
      </c>
      <c r="QJ28" s="1">
        <v>9355</v>
      </c>
      <c r="QK28" s="1">
        <v>13355</v>
      </c>
      <c r="QL28" s="1">
        <v>12485</v>
      </c>
      <c r="QM28" s="1">
        <v>12175</v>
      </c>
      <c r="QN28" s="1">
        <v>12535</v>
      </c>
      <c r="QO28" s="1">
        <v>13200</v>
      </c>
      <c r="QP28" s="1">
        <v>11240</v>
      </c>
      <c r="QQ28" s="1">
        <v>10730</v>
      </c>
      <c r="QR28" s="1">
        <v>11725</v>
      </c>
      <c r="QS28" s="1">
        <v>12280</v>
      </c>
      <c r="QT28" s="1">
        <v>11470</v>
      </c>
      <c r="QU28" s="1">
        <v>12805</v>
      </c>
      <c r="QV28" s="1">
        <v>13285</v>
      </c>
      <c r="QW28" s="1">
        <v>12520</v>
      </c>
      <c r="QX28" s="1">
        <v>13730</v>
      </c>
      <c r="QY28" s="1">
        <v>2615</v>
      </c>
      <c r="QZ28" s="1">
        <v>2805</v>
      </c>
      <c r="RA28" s="1">
        <v>4455</v>
      </c>
      <c r="RB28" s="1">
        <v>2515</v>
      </c>
      <c r="RC28" s="1">
        <v>2825</v>
      </c>
      <c r="RD28" s="1">
        <v>2530</v>
      </c>
      <c r="RE28" s="1">
        <v>2685</v>
      </c>
      <c r="RF28" s="1">
        <v>3925</v>
      </c>
      <c r="RG28" s="1">
        <v>3740</v>
      </c>
      <c r="RH28" s="1">
        <v>3970</v>
      </c>
      <c r="RI28" s="1">
        <v>4095</v>
      </c>
      <c r="RJ28" s="1">
        <v>4540</v>
      </c>
      <c r="RK28" s="1">
        <v>4760</v>
      </c>
      <c r="RL28" s="1">
        <v>5285</v>
      </c>
      <c r="RM28" s="1">
        <v>5375</v>
      </c>
      <c r="RN28" s="1">
        <v>6465</v>
      </c>
      <c r="RO28" s="1">
        <v>6555</v>
      </c>
      <c r="RP28" s="1">
        <v>9220</v>
      </c>
      <c r="RQ28" s="1">
        <v>8440</v>
      </c>
      <c r="RR28" s="1">
        <v>8230</v>
      </c>
      <c r="RS28" s="1">
        <v>8275</v>
      </c>
      <c r="RT28" s="1">
        <v>8555</v>
      </c>
      <c r="RU28" s="1">
        <v>7845</v>
      </c>
      <c r="RV28" s="1">
        <v>7360</v>
      </c>
      <c r="RW28" s="1">
        <v>7980</v>
      </c>
      <c r="RX28" s="1">
        <v>8385</v>
      </c>
      <c r="RY28" s="1">
        <v>8320</v>
      </c>
      <c r="RZ28" s="1">
        <v>8855</v>
      </c>
      <c r="SA28" s="1">
        <v>9580</v>
      </c>
      <c r="SB28" s="1">
        <v>9110</v>
      </c>
      <c r="SC28" s="1">
        <v>9800</v>
      </c>
      <c r="SD28" s="1">
        <v>2070</v>
      </c>
      <c r="SE28" s="1">
        <v>2345</v>
      </c>
      <c r="SF28" s="1">
        <v>4365</v>
      </c>
      <c r="SG28" s="1">
        <v>1835</v>
      </c>
      <c r="SH28" s="1">
        <v>1920</v>
      </c>
      <c r="SI28" s="1">
        <v>2090</v>
      </c>
      <c r="SJ28" s="1">
        <v>1890</v>
      </c>
      <c r="SK28" s="1">
        <v>2900</v>
      </c>
      <c r="SL28" s="1">
        <v>2945</v>
      </c>
      <c r="SM28" s="1">
        <v>3385</v>
      </c>
      <c r="SN28" s="1">
        <v>3335</v>
      </c>
      <c r="SO28" s="1">
        <v>3895</v>
      </c>
      <c r="SP28" s="1">
        <v>3690</v>
      </c>
      <c r="SQ28" s="1">
        <v>4075</v>
      </c>
      <c r="SR28" s="1">
        <v>4400</v>
      </c>
      <c r="SS28" s="1">
        <v>4795</v>
      </c>
      <c r="ST28" s="1">
        <v>4975</v>
      </c>
      <c r="SU28" s="1">
        <v>6700</v>
      </c>
      <c r="SV28" s="1">
        <v>6190</v>
      </c>
      <c r="SW28" s="1">
        <v>5970</v>
      </c>
      <c r="SX28" s="1">
        <v>6000</v>
      </c>
      <c r="SY28" s="1">
        <v>6345</v>
      </c>
      <c r="SZ28" s="1">
        <v>5895</v>
      </c>
      <c r="TA28" s="1">
        <v>5460</v>
      </c>
      <c r="TB28" s="1">
        <v>5700</v>
      </c>
      <c r="TC28" s="1">
        <v>6255</v>
      </c>
      <c r="TD28" s="1">
        <v>5875</v>
      </c>
      <c r="TE28" s="1">
        <v>6425</v>
      </c>
      <c r="TF28" s="1">
        <v>6840</v>
      </c>
      <c r="TG28" s="1">
        <v>7020</v>
      </c>
      <c r="TH28" s="1">
        <v>7360</v>
      </c>
      <c r="TI28" s="1">
        <v>1705</v>
      </c>
      <c r="TJ28" s="1">
        <v>1800</v>
      </c>
      <c r="TK28" s="1">
        <v>3970</v>
      </c>
      <c r="TL28" s="1">
        <v>1460</v>
      </c>
      <c r="TM28" s="1">
        <v>1575</v>
      </c>
      <c r="TN28" s="1">
        <v>1610</v>
      </c>
      <c r="TO28" s="1">
        <v>1700</v>
      </c>
      <c r="TP28" s="1">
        <v>2355</v>
      </c>
      <c r="TQ28" s="1">
        <v>2400</v>
      </c>
      <c r="TR28" s="1">
        <v>2720</v>
      </c>
      <c r="TS28" s="1">
        <v>2845</v>
      </c>
      <c r="TT28" s="1">
        <v>3110</v>
      </c>
      <c r="TU28" s="1">
        <v>2965</v>
      </c>
      <c r="TV28" s="1">
        <v>3400</v>
      </c>
      <c r="TW28" s="1">
        <v>3560</v>
      </c>
      <c r="TX28" s="1">
        <v>3865</v>
      </c>
      <c r="TY28" s="1">
        <v>3910</v>
      </c>
      <c r="TZ28" s="1">
        <v>4790</v>
      </c>
      <c r="UA28" s="1">
        <v>4595</v>
      </c>
      <c r="UB28" s="1">
        <v>4535</v>
      </c>
      <c r="UC28" s="1">
        <v>4270</v>
      </c>
      <c r="UD28" s="1">
        <v>4575</v>
      </c>
      <c r="UE28" s="1">
        <v>4435</v>
      </c>
      <c r="UF28" s="1">
        <v>4285</v>
      </c>
      <c r="UG28" s="1">
        <v>4550</v>
      </c>
      <c r="UH28" s="1">
        <v>4670</v>
      </c>
      <c r="UI28" s="1">
        <v>4730</v>
      </c>
      <c r="UJ28" s="1">
        <v>5120</v>
      </c>
      <c r="UK28" s="1">
        <v>5550</v>
      </c>
      <c r="UL28" s="1">
        <v>5230</v>
      </c>
      <c r="UM28" s="1">
        <v>5400</v>
      </c>
      <c r="UN28" s="1">
        <v>1535</v>
      </c>
      <c r="UO28" s="1">
        <v>1720</v>
      </c>
      <c r="UP28" s="1">
        <v>4560</v>
      </c>
      <c r="UQ28" s="1">
        <v>1300</v>
      </c>
      <c r="UR28" s="1">
        <v>1275</v>
      </c>
      <c r="US28" s="1">
        <v>1350</v>
      </c>
      <c r="UT28" s="1">
        <v>1440</v>
      </c>
      <c r="UU28" s="1">
        <v>1950</v>
      </c>
      <c r="UV28" s="1">
        <v>1960</v>
      </c>
      <c r="UW28" s="1">
        <v>2240</v>
      </c>
      <c r="UX28" s="1">
        <v>2325</v>
      </c>
      <c r="UY28" s="1">
        <v>2530</v>
      </c>
      <c r="UZ28" s="1">
        <v>2575</v>
      </c>
      <c r="VA28" s="1">
        <v>2970</v>
      </c>
      <c r="VB28" s="1">
        <v>2875</v>
      </c>
      <c r="VC28" s="1">
        <v>3040</v>
      </c>
      <c r="VD28" s="1">
        <v>2890</v>
      </c>
      <c r="VE28" s="1">
        <v>3785</v>
      </c>
      <c r="VF28" s="1">
        <v>3740</v>
      </c>
      <c r="VG28" s="1">
        <v>3610</v>
      </c>
      <c r="VH28" s="1">
        <v>3450</v>
      </c>
      <c r="VI28" s="1">
        <v>3715</v>
      </c>
      <c r="VJ28" s="1">
        <v>3420</v>
      </c>
      <c r="VK28" s="1">
        <v>3290</v>
      </c>
      <c r="VL28" s="1">
        <v>3370</v>
      </c>
      <c r="VM28" s="1">
        <v>3585</v>
      </c>
      <c r="VN28" s="1">
        <v>3555</v>
      </c>
      <c r="VO28" s="1">
        <v>4035</v>
      </c>
      <c r="VP28" s="1">
        <v>4420</v>
      </c>
      <c r="VQ28" s="1">
        <v>4160</v>
      </c>
      <c r="VR28" s="1">
        <v>4385</v>
      </c>
      <c r="VS28" s="1">
        <v>1370</v>
      </c>
      <c r="VT28" s="1">
        <v>1685</v>
      </c>
      <c r="VU28" s="1">
        <v>7395</v>
      </c>
      <c r="VV28" s="1">
        <v>1245</v>
      </c>
      <c r="VW28" s="1">
        <v>1185</v>
      </c>
      <c r="VX28" s="1">
        <v>1260</v>
      </c>
      <c r="VY28" s="1">
        <v>1430</v>
      </c>
      <c r="VZ28" s="1">
        <v>1740</v>
      </c>
      <c r="WA28" s="1">
        <v>1740</v>
      </c>
      <c r="WB28" s="1">
        <v>2090</v>
      </c>
      <c r="WC28" s="1">
        <v>2180</v>
      </c>
      <c r="WD28" s="1">
        <v>2365</v>
      </c>
      <c r="WE28" s="1">
        <v>2425</v>
      </c>
      <c r="WF28" s="1">
        <v>2310</v>
      </c>
      <c r="WG28" s="1">
        <v>2605</v>
      </c>
      <c r="WH28" s="1">
        <v>2515</v>
      </c>
      <c r="WI28" s="1">
        <v>2535</v>
      </c>
      <c r="WJ28" s="1">
        <v>2955</v>
      </c>
      <c r="WK28" s="1">
        <v>2820</v>
      </c>
      <c r="WL28" s="1">
        <v>2710</v>
      </c>
      <c r="WM28" s="1">
        <v>2630</v>
      </c>
      <c r="WN28" s="1">
        <v>2740</v>
      </c>
      <c r="WO28" s="1">
        <v>2825</v>
      </c>
      <c r="WP28" s="1">
        <v>2815</v>
      </c>
      <c r="WQ28" s="1">
        <v>2880</v>
      </c>
      <c r="WR28" s="1">
        <v>3270</v>
      </c>
      <c r="WS28" s="1">
        <v>3080</v>
      </c>
      <c r="WT28" s="1">
        <v>3430</v>
      </c>
      <c r="WU28" s="1">
        <v>3360</v>
      </c>
      <c r="WV28" s="1">
        <v>3360</v>
      </c>
      <c r="WW28" s="1">
        <v>3495</v>
      </c>
      <c r="WX28" s="1">
        <v>2180</v>
      </c>
      <c r="WY28" s="1">
        <v>2415</v>
      </c>
      <c r="WZ28" s="1">
        <v>4955</v>
      </c>
      <c r="XA28" s="1">
        <v>1855</v>
      </c>
      <c r="XB28" s="1">
        <v>1775</v>
      </c>
      <c r="XC28" s="1">
        <v>2270</v>
      </c>
      <c r="XD28" s="1">
        <v>2175</v>
      </c>
      <c r="XE28" s="1">
        <v>2470</v>
      </c>
      <c r="XF28" s="1">
        <v>2455</v>
      </c>
      <c r="XG28" s="1">
        <v>2620</v>
      </c>
      <c r="XH28" s="1">
        <v>2670</v>
      </c>
      <c r="XI28" s="1">
        <v>2765</v>
      </c>
      <c r="XJ28" s="1">
        <v>2560</v>
      </c>
      <c r="XK28" s="1">
        <v>2375</v>
      </c>
      <c r="XL28" s="1">
        <v>2370</v>
      </c>
      <c r="XM28" s="1">
        <v>2350</v>
      </c>
      <c r="XN28" s="1">
        <v>2320</v>
      </c>
      <c r="XO28" s="1">
        <v>2970</v>
      </c>
      <c r="XP28" s="1">
        <v>2855</v>
      </c>
      <c r="XQ28" s="1">
        <v>2790</v>
      </c>
      <c r="XR28" s="1">
        <v>2720</v>
      </c>
      <c r="XS28" s="1">
        <v>2900</v>
      </c>
      <c r="XT28" s="1">
        <v>2970</v>
      </c>
      <c r="XU28" s="1">
        <v>2985</v>
      </c>
      <c r="XV28" s="1">
        <v>3200</v>
      </c>
      <c r="XW28" s="1">
        <v>3350</v>
      </c>
      <c r="XX28" s="1">
        <v>3445</v>
      </c>
      <c r="XY28" s="1">
        <v>3680</v>
      </c>
      <c r="XZ28" s="1">
        <v>3335</v>
      </c>
      <c r="YA28" s="1">
        <v>3300</v>
      </c>
      <c r="YB28" s="1">
        <v>3600</v>
      </c>
    </row>
    <row r="29" spans="1:652" x14ac:dyDescent="0.2">
      <c r="A29" t="s">
        <v>49</v>
      </c>
      <c r="B29" s="1">
        <v>1491605</v>
      </c>
      <c r="C29" s="1">
        <v>1587345</v>
      </c>
      <c r="D29" s="1">
        <v>1787995</v>
      </c>
      <c r="E29" s="1">
        <v>1597065</v>
      </c>
      <c r="F29" s="1">
        <v>1607795</v>
      </c>
      <c r="G29" s="1">
        <v>1607140</v>
      </c>
      <c r="H29" s="1">
        <v>1634500</v>
      </c>
      <c r="I29" s="1">
        <v>1712010</v>
      </c>
      <c r="J29" s="1">
        <v>1750890</v>
      </c>
      <c r="K29" s="1">
        <v>1951130</v>
      </c>
      <c r="L29" s="1">
        <v>1944270</v>
      </c>
      <c r="M29" s="1">
        <v>1985470</v>
      </c>
      <c r="N29" s="1">
        <v>2027565</v>
      </c>
      <c r="O29" s="1">
        <v>2305740</v>
      </c>
      <c r="P29" s="1">
        <v>2303070</v>
      </c>
      <c r="Q29" s="1">
        <v>2545900</v>
      </c>
      <c r="R29" s="1">
        <v>2513820</v>
      </c>
      <c r="S29" s="1">
        <v>2743600</v>
      </c>
      <c r="T29" s="1">
        <v>2657020</v>
      </c>
      <c r="U29" s="1">
        <v>2646195</v>
      </c>
      <c r="V29" s="1">
        <v>2673630</v>
      </c>
      <c r="W29" s="1">
        <v>2693650</v>
      </c>
      <c r="X29" s="1">
        <v>2729365</v>
      </c>
      <c r="Y29" s="1">
        <v>2719080</v>
      </c>
      <c r="Z29" s="1">
        <v>2795735</v>
      </c>
      <c r="AA29" s="1">
        <v>2802995</v>
      </c>
      <c r="AB29" s="1">
        <v>2810780</v>
      </c>
      <c r="AC29" s="1">
        <v>2867840</v>
      </c>
      <c r="AD29" s="1">
        <v>3200205</v>
      </c>
      <c r="AE29" s="1">
        <v>3097805</v>
      </c>
      <c r="AF29" s="1">
        <v>3036745</v>
      </c>
      <c r="AG29" s="1">
        <v>2445</v>
      </c>
      <c r="AH29" s="1">
        <v>2055</v>
      </c>
      <c r="AI29" s="1">
        <v>1930</v>
      </c>
      <c r="AJ29" s="1">
        <v>3860</v>
      </c>
      <c r="AK29" s="1">
        <v>4140</v>
      </c>
      <c r="AL29" s="1">
        <v>4245</v>
      </c>
      <c r="AM29" s="1">
        <v>3910</v>
      </c>
      <c r="AN29" s="1">
        <v>4465</v>
      </c>
      <c r="AO29" s="1">
        <v>4785</v>
      </c>
      <c r="AP29" s="1">
        <v>11900</v>
      </c>
      <c r="AQ29" s="1">
        <v>9975</v>
      </c>
      <c r="AR29" s="1">
        <v>10520</v>
      </c>
      <c r="AS29" s="1">
        <v>10455</v>
      </c>
      <c r="AT29" s="1">
        <v>11005</v>
      </c>
      <c r="AU29" s="1">
        <v>9805</v>
      </c>
      <c r="AV29" s="1">
        <v>9325</v>
      </c>
      <c r="AW29" s="1">
        <v>10490</v>
      </c>
      <c r="AX29" s="1">
        <v>8670</v>
      </c>
      <c r="AY29" s="1">
        <v>8005</v>
      </c>
      <c r="AZ29" s="1">
        <v>8225</v>
      </c>
      <c r="BA29" s="1">
        <v>8185</v>
      </c>
      <c r="BB29" s="1">
        <v>6930</v>
      </c>
      <c r="BC29" s="1">
        <v>6765</v>
      </c>
      <c r="BD29" s="1">
        <v>6830</v>
      </c>
      <c r="BE29" s="1">
        <v>6680</v>
      </c>
      <c r="BF29" s="1">
        <v>6690</v>
      </c>
      <c r="BG29" s="1">
        <v>6645</v>
      </c>
      <c r="BH29" s="1">
        <v>6565</v>
      </c>
      <c r="BI29" s="1">
        <v>7965</v>
      </c>
      <c r="BJ29" s="1">
        <v>5185</v>
      </c>
      <c r="BK29" s="1">
        <v>6705</v>
      </c>
      <c r="BL29" s="1">
        <v>115445</v>
      </c>
      <c r="BM29" s="1">
        <v>78160</v>
      </c>
      <c r="BN29" s="1">
        <v>75885</v>
      </c>
      <c r="BO29" s="1">
        <v>78290</v>
      </c>
      <c r="BP29" s="1">
        <v>74200</v>
      </c>
      <c r="BQ29" s="1">
        <v>77570</v>
      </c>
      <c r="BR29" s="1">
        <v>84580</v>
      </c>
      <c r="BS29" s="1">
        <v>80825</v>
      </c>
      <c r="BT29" s="1">
        <v>82610</v>
      </c>
      <c r="BU29" s="1">
        <v>117275</v>
      </c>
      <c r="BV29" s="1">
        <v>105540</v>
      </c>
      <c r="BW29" s="1">
        <v>99640</v>
      </c>
      <c r="BX29" s="1">
        <v>98385</v>
      </c>
      <c r="BY29" s="1">
        <v>83535</v>
      </c>
      <c r="BZ29" s="1">
        <v>83725</v>
      </c>
      <c r="CA29" s="1">
        <v>56950</v>
      </c>
      <c r="CB29" s="1">
        <v>61700</v>
      </c>
      <c r="CC29" s="1">
        <v>32980</v>
      </c>
      <c r="CD29" s="1">
        <v>33525</v>
      </c>
      <c r="CE29" s="1">
        <v>37070</v>
      </c>
      <c r="CF29" s="1">
        <v>35650</v>
      </c>
      <c r="CG29" s="1">
        <v>34015</v>
      </c>
      <c r="CH29" s="1">
        <v>38790</v>
      </c>
      <c r="CI29" s="1">
        <v>42675</v>
      </c>
      <c r="CJ29" s="1">
        <v>46825</v>
      </c>
      <c r="CK29" s="1">
        <v>50115</v>
      </c>
      <c r="CL29" s="1">
        <v>61225</v>
      </c>
      <c r="CM29" s="1">
        <v>48910</v>
      </c>
      <c r="CN29" s="1">
        <v>151145</v>
      </c>
      <c r="CO29" s="1">
        <v>93205</v>
      </c>
      <c r="CP29" s="1">
        <v>31600</v>
      </c>
      <c r="CQ29" s="1">
        <v>104660</v>
      </c>
      <c r="CR29" s="1">
        <v>122940</v>
      </c>
      <c r="CS29" s="1">
        <v>126175</v>
      </c>
      <c r="CT29" s="1">
        <v>132560</v>
      </c>
      <c r="CU29" s="1">
        <v>131870</v>
      </c>
      <c r="CV29" s="1">
        <v>124775</v>
      </c>
      <c r="CW29" s="1">
        <v>112790</v>
      </c>
      <c r="CX29" s="1">
        <v>118530</v>
      </c>
      <c r="CY29" s="1">
        <v>121630</v>
      </c>
      <c r="CZ29" s="1">
        <v>101745</v>
      </c>
      <c r="DA29" s="1">
        <v>97065</v>
      </c>
      <c r="DB29" s="1">
        <v>108590</v>
      </c>
      <c r="DC29" s="1">
        <v>111260</v>
      </c>
      <c r="DD29" s="1">
        <v>129670</v>
      </c>
      <c r="DE29" s="1">
        <v>126660</v>
      </c>
      <c r="DF29" s="1">
        <v>127460</v>
      </c>
      <c r="DG29" s="1">
        <v>128540</v>
      </c>
      <c r="DH29" s="1">
        <v>124370</v>
      </c>
      <c r="DI29" s="1">
        <v>117815</v>
      </c>
      <c r="DJ29" s="1">
        <v>120270</v>
      </c>
      <c r="DK29" s="1">
        <v>125740</v>
      </c>
      <c r="DL29" s="1">
        <v>122805</v>
      </c>
      <c r="DM29" s="1">
        <v>121325</v>
      </c>
      <c r="DN29" s="1">
        <v>121090</v>
      </c>
      <c r="DO29" s="1">
        <v>127480</v>
      </c>
      <c r="DP29" s="1">
        <v>142025</v>
      </c>
      <c r="DQ29" s="1">
        <v>139060</v>
      </c>
      <c r="DR29" s="1">
        <v>140485</v>
      </c>
      <c r="DS29" s="1">
        <v>122450</v>
      </c>
      <c r="DT29" s="1">
        <v>116200</v>
      </c>
      <c r="DU29" s="1">
        <v>108870</v>
      </c>
      <c r="DV29" s="1">
        <v>91680</v>
      </c>
      <c r="DW29" s="1">
        <v>80920</v>
      </c>
      <c r="DX29" s="1">
        <v>79660</v>
      </c>
      <c r="DY29" s="1">
        <v>78865</v>
      </c>
      <c r="DZ29" s="1">
        <v>75035</v>
      </c>
      <c r="EA29" s="1">
        <v>82090</v>
      </c>
      <c r="EB29" s="1">
        <v>95665</v>
      </c>
      <c r="EC29" s="1">
        <v>104710</v>
      </c>
      <c r="ED29" s="1">
        <v>111200</v>
      </c>
      <c r="EE29" s="1">
        <v>161480</v>
      </c>
      <c r="EF29" s="1">
        <v>149235</v>
      </c>
      <c r="EG29" s="1">
        <v>144045</v>
      </c>
      <c r="EH29" s="1">
        <v>146225</v>
      </c>
      <c r="EI29" s="1">
        <v>146805</v>
      </c>
      <c r="EJ29" s="1">
        <v>118915</v>
      </c>
      <c r="EK29" s="1">
        <v>145445</v>
      </c>
      <c r="EL29" s="1">
        <v>148620</v>
      </c>
      <c r="EM29" s="1">
        <v>135520</v>
      </c>
      <c r="EN29" s="1">
        <v>138810</v>
      </c>
      <c r="EO29" s="1">
        <v>137020</v>
      </c>
      <c r="EP29" s="1">
        <v>131380</v>
      </c>
      <c r="EQ29" s="1">
        <v>134655</v>
      </c>
      <c r="ER29" s="1">
        <v>137980</v>
      </c>
      <c r="ES29" s="1">
        <v>144835</v>
      </c>
      <c r="ET29" s="1">
        <v>140365</v>
      </c>
      <c r="EU29" s="1">
        <v>141205</v>
      </c>
      <c r="EV29" s="1">
        <v>148335</v>
      </c>
      <c r="EW29" s="1">
        <v>158725</v>
      </c>
      <c r="EX29" s="1">
        <v>230315</v>
      </c>
      <c r="EY29" s="1">
        <v>236465</v>
      </c>
      <c r="EZ29" s="1">
        <v>160080</v>
      </c>
      <c r="FA29" s="1">
        <v>181790</v>
      </c>
      <c r="FB29" s="1">
        <v>185635</v>
      </c>
      <c r="FC29" s="1">
        <v>190060</v>
      </c>
      <c r="FD29" s="1">
        <v>196245</v>
      </c>
      <c r="FE29" s="1">
        <v>199560</v>
      </c>
      <c r="FF29" s="1">
        <v>210920</v>
      </c>
      <c r="FG29" s="1">
        <v>224980</v>
      </c>
      <c r="FH29" s="1">
        <v>227605</v>
      </c>
      <c r="FI29" s="1">
        <v>231295</v>
      </c>
      <c r="FJ29" s="1">
        <v>234910</v>
      </c>
      <c r="FK29" s="1">
        <v>236500</v>
      </c>
      <c r="FL29" s="1">
        <v>246170</v>
      </c>
      <c r="FM29" s="1">
        <v>248610</v>
      </c>
      <c r="FN29" s="1">
        <v>254880</v>
      </c>
      <c r="FO29" s="1">
        <v>238840</v>
      </c>
      <c r="FP29" s="1">
        <v>231125</v>
      </c>
      <c r="FQ29" s="1">
        <v>237695</v>
      </c>
      <c r="FR29" s="1">
        <v>199505</v>
      </c>
      <c r="FS29" s="1">
        <v>208380</v>
      </c>
      <c r="FT29" s="1">
        <v>212605</v>
      </c>
      <c r="FU29" s="1">
        <v>223115</v>
      </c>
      <c r="FV29" s="1">
        <v>222250</v>
      </c>
      <c r="FW29" s="1">
        <v>231335</v>
      </c>
      <c r="FX29" s="1">
        <v>237500</v>
      </c>
      <c r="FY29" s="1">
        <v>240445</v>
      </c>
      <c r="FZ29" s="1">
        <v>240795</v>
      </c>
      <c r="GA29" s="1">
        <v>254055</v>
      </c>
      <c r="GB29" s="1">
        <v>261390</v>
      </c>
      <c r="GC29" s="1">
        <v>261320</v>
      </c>
      <c r="GD29" s="1">
        <v>255930</v>
      </c>
      <c r="GE29" s="1">
        <v>292350</v>
      </c>
      <c r="GF29" s="1">
        <v>153275</v>
      </c>
      <c r="GG29" s="1">
        <v>162270</v>
      </c>
      <c r="GH29" s="1">
        <v>161790</v>
      </c>
      <c r="GI29" s="1">
        <v>176005</v>
      </c>
      <c r="GJ29" s="1">
        <v>182470</v>
      </c>
      <c r="GK29" s="1">
        <v>181910</v>
      </c>
      <c r="GL29" s="1">
        <v>167485</v>
      </c>
      <c r="GM29" s="1">
        <v>171360</v>
      </c>
      <c r="GN29" s="1">
        <v>177190</v>
      </c>
      <c r="GO29" s="1">
        <v>187420</v>
      </c>
      <c r="GP29" s="1">
        <v>185985</v>
      </c>
      <c r="GQ29" s="1">
        <v>189655</v>
      </c>
      <c r="GR29" s="1">
        <v>192230</v>
      </c>
      <c r="GS29" s="1">
        <v>204775</v>
      </c>
      <c r="GT29" s="1">
        <v>221585</v>
      </c>
      <c r="GU29" s="1">
        <v>199075</v>
      </c>
      <c r="GV29" s="1">
        <v>200165</v>
      </c>
      <c r="GW29" s="1">
        <v>206410</v>
      </c>
      <c r="GX29" s="1">
        <v>205335</v>
      </c>
      <c r="GY29" s="1">
        <v>207080</v>
      </c>
      <c r="GZ29" s="1">
        <v>210950</v>
      </c>
      <c r="HA29" s="1">
        <v>211675</v>
      </c>
      <c r="HB29" s="1">
        <v>212455</v>
      </c>
      <c r="HC29" s="1">
        <v>225270</v>
      </c>
      <c r="HD29" s="1">
        <v>222890</v>
      </c>
      <c r="HE29" s="1">
        <v>219930</v>
      </c>
      <c r="HF29" s="1">
        <v>226720</v>
      </c>
      <c r="HG29" s="1">
        <v>234170</v>
      </c>
      <c r="HH29" s="1">
        <v>239610</v>
      </c>
      <c r="HI29" s="1">
        <v>242250</v>
      </c>
      <c r="HJ29" s="1">
        <v>260115</v>
      </c>
      <c r="HK29" s="1">
        <v>149085</v>
      </c>
      <c r="HL29" s="1">
        <v>156925</v>
      </c>
      <c r="HM29" s="1">
        <v>154760</v>
      </c>
      <c r="HN29" s="1">
        <v>159155</v>
      </c>
      <c r="HO29" s="1">
        <v>161640</v>
      </c>
      <c r="HP29" s="1">
        <v>164290</v>
      </c>
      <c r="HQ29" s="1">
        <v>166850</v>
      </c>
      <c r="HR29" s="1">
        <v>181725</v>
      </c>
      <c r="HS29" s="1">
        <v>189095</v>
      </c>
      <c r="HT29" s="1">
        <v>215520</v>
      </c>
      <c r="HU29" s="1">
        <v>215860</v>
      </c>
      <c r="HV29" s="1">
        <v>216060</v>
      </c>
      <c r="HW29" s="1">
        <v>216685</v>
      </c>
      <c r="HX29" s="1">
        <v>223950</v>
      </c>
      <c r="HY29" s="1">
        <v>212695</v>
      </c>
      <c r="HZ29" s="1">
        <v>190850</v>
      </c>
      <c r="IA29" s="1">
        <v>189845</v>
      </c>
      <c r="IB29" s="1">
        <v>200045</v>
      </c>
      <c r="IC29" s="1">
        <v>192885</v>
      </c>
      <c r="ID29" s="1">
        <v>197245</v>
      </c>
      <c r="IE29" s="1">
        <v>197605</v>
      </c>
      <c r="IF29" s="1">
        <v>202980</v>
      </c>
      <c r="IG29" s="1">
        <v>203775</v>
      </c>
      <c r="IH29" s="1">
        <v>224350</v>
      </c>
      <c r="II29" s="1">
        <v>214235</v>
      </c>
      <c r="IJ29" s="1">
        <v>208670</v>
      </c>
      <c r="IK29" s="1">
        <v>209635</v>
      </c>
      <c r="IL29" s="1">
        <v>214480</v>
      </c>
      <c r="IM29" s="1">
        <v>224740</v>
      </c>
      <c r="IN29" s="1">
        <v>226105</v>
      </c>
      <c r="IO29" s="1">
        <v>226645</v>
      </c>
      <c r="IP29" s="1">
        <v>159210</v>
      </c>
      <c r="IQ29" s="1">
        <v>174380</v>
      </c>
      <c r="IR29" s="1">
        <v>173260</v>
      </c>
      <c r="IS29" s="1">
        <v>176065</v>
      </c>
      <c r="IT29" s="1">
        <v>181460</v>
      </c>
      <c r="IU29" s="1">
        <v>185875</v>
      </c>
      <c r="IV29" s="1">
        <v>195670</v>
      </c>
      <c r="IW29" s="1">
        <v>204215</v>
      </c>
      <c r="IX29" s="1">
        <v>208680</v>
      </c>
      <c r="IY29" s="1">
        <v>220430</v>
      </c>
      <c r="IZ29" s="1">
        <v>224260</v>
      </c>
      <c r="JA29" s="1">
        <v>227550</v>
      </c>
      <c r="JB29" s="1">
        <v>228540</v>
      </c>
      <c r="JC29" s="1">
        <v>253735</v>
      </c>
      <c r="JD29" s="1">
        <v>244685</v>
      </c>
      <c r="JE29" s="1">
        <v>243290</v>
      </c>
      <c r="JF29" s="1">
        <v>240045</v>
      </c>
      <c r="JG29" s="1">
        <v>220945</v>
      </c>
      <c r="JH29" s="1">
        <v>217795</v>
      </c>
      <c r="JI29" s="1">
        <v>222240</v>
      </c>
      <c r="JJ29" s="1">
        <v>221935</v>
      </c>
      <c r="JK29" s="1">
        <v>223420</v>
      </c>
      <c r="JL29" s="1">
        <v>229790</v>
      </c>
      <c r="JM29" s="1">
        <v>247015</v>
      </c>
      <c r="JN29" s="1">
        <v>242590</v>
      </c>
      <c r="JO29" s="1">
        <v>235500</v>
      </c>
      <c r="JP29" s="1">
        <v>240465</v>
      </c>
      <c r="JQ29" s="1">
        <v>242055</v>
      </c>
      <c r="JR29" s="1">
        <v>267975</v>
      </c>
      <c r="JS29" s="1">
        <v>270845</v>
      </c>
      <c r="JT29" s="1">
        <v>247420</v>
      </c>
      <c r="JU29" s="1">
        <v>143345</v>
      </c>
      <c r="JV29" s="1">
        <v>156330</v>
      </c>
      <c r="JW29" s="1">
        <v>154530</v>
      </c>
      <c r="JX29" s="1">
        <v>162500</v>
      </c>
      <c r="JY29" s="1">
        <v>164695</v>
      </c>
      <c r="JZ29" s="1">
        <v>163435</v>
      </c>
      <c r="KA29" s="1">
        <v>168735</v>
      </c>
      <c r="KB29" s="1">
        <v>176460</v>
      </c>
      <c r="KC29" s="1">
        <v>178085</v>
      </c>
      <c r="KD29" s="1">
        <v>189055</v>
      </c>
      <c r="KE29" s="1">
        <v>194400</v>
      </c>
      <c r="KF29" s="1">
        <v>199915</v>
      </c>
      <c r="KG29" s="1">
        <v>202465</v>
      </c>
      <c r="KH29" s="1">
        <v>242690</v>
      </c>
      <c r="KI29" s="1">
        <v>242230</v>
      </c>
      <c r="KJ29" s="1">
        <v>274490</v>
      </c>
      <c r="KK29" s="1">
        <v>271785</v>
      </c>
      <c r="KL29" s="1">
        <v>269130</v>
      </c>
      <c r="KM29" s="1">
        <v>272340</v>
      </c>
      <c r="KN29" s="1">
        <v>277695</v>
      </c>
      <c r="KO29" s="1">
        <v>278940</v>
      </c>
      <c r="KP29" s="1">
        <v>281960</v>
      </c>
      <c r="KQ29" s="1">
        <v>288370</v>
      </c>
      <c r="KR29" s="1">
        <v>290140</v>
      </c>
      <c r="KS29" s="1">
        <v>294300</v>
      </c>
      <c r="KT29" s="1">
        <v>289925</v>
      </c>
      <c r="KU29" s="1">
        <v>291020</v>
      </c>
      <c r="KV29" s="1">
        <v>294090</v>
      </c>
      <c r="KW29" s="1">
        <v>315135</v>
      </c>
      <c r="KX29" s="1">
        <v>314640</v>
      </c>
      <c r="KY29" s="1">
        <v>308775</v>
      </c>
      <c r="KZ29" s="1">
        <v>109790</v>
      </c>
      <c r="LA29" s="1">
        <v>124375</v>
      </c>
      <c r="LB29" s="1">
        <v>119040</v>
      </c>
      <c r="LC29" s="1">
        <v>125595</v>
      </c>
      <c r="LD29" s="1">
        <v>123180</v>
      </c>
      <c r="LE29" s="1">
        <v>119545</v>
      </c>
      <c r="LF29" s="1">
        <v>122640</v>
      </c>
      <c r="LG29" s="1">
        <v>129425</v>
      </c>
      <c r="LH29" s="1">
        <v>129195</v>
      </c>
      <c r="LI29" s="1">
        <v>137310</v>
      </c>
      <c r="LJ29" s="1">
        <v>143345</v>
      </c>
      <c r="LK29" s="1">
        <v>147290</v>
      </c>
      <c r="LL29" s="1">
        <v>151625</v>
      </c>
      <c r="LM29" s="1">
        <v>199735</v>
      </c>
      <c r="LN29" s="1">
        <v>211875</v>
      </c>
      <c r="LO29" s="1">
        <v>263765</v>
      </c>
      <c r="LP29" s="1">
        <v>259120</v>
      </c>
      <c r="LQ29" s="1">
        <v>286080</v>
      </c>
      <c r="LR29" s="1">
        <v>286110</v>
      </c>
      <c r="LS29" s="1">
        <v>285490</v>
      </c>
      <c r="LT29" s="1">
        <v>288295</v>
      </c>
      <c r="LU29" s="1">
        <v>291575</v>
      </c>
      <c r="LV29" s="1">
        <v>293975</v>
      </c>
      <c r="LW29" s="1">
        <v>285185</v>
      </c>
      <c r="LX29" s="1">
        <v>299095</v>
      </c>
      <c r="LY29" s="1">
        <v>299095</v>
      </c>
      <c r="LZ29" s="1">
        <v>296770</v>
      </c>
      <c r="MA29" s="1">
        <v>302885</v>
      </c>
      <c r="MB29" s="1">
        <v>319510</v>
      </c>
      <c r="MC29" s="1">
        <v>317970</v>
      </c>
      <c r="MD29" s="1">
        <v>324235</v>
      </c>
      <c r="ME29" s="1">
        <v>73460</v>
      </c>
      <c r="MF29" s="1">
        <v>86435</v>
      </c>
      <c r="MG29" s="1">
        <v>82680</v>
      </c>
      <c r="MH29" s="1">
        <v>85105</v>
      </c>
      <c r="MI29" s="1">
        <v>83950</v>
      </c>
      <c r="MJ29" s="1">
        <v>80230</v>
      </c>
      <c r="MK29" s="1">
        <v>81915</v>
      </c>
      <c r="ML29" s="1">
        <v>87390</v>
      </c>
      <c r="MM29" s="1">
        <v>88610</v>
      </c>
      <c r="MN29" s="1">
        <v>99220</v>
      </c>
      <c r="MO29" s="1">
        <v>102420</v>
      </c>
      <c r="MP29" s="1">
        <v>105870</v>
      </c>
      <c r="MQ29" s="1">
        <v>110560</v>
      </c>
      <c r="MR29" s="1">
        <v>147655</v>
      </c>
      <c r="MS29" s="1">
        <v>159565</v>
      </c>
      <c r="MT29" s="1">
        <v>216770</v>
      </c>
      <c r="MU29" s="1">
        <v>211315</v>
      </c>
      <c r="MV29" s="1">
        <v>266950</v>
      </c>
      <c r="MW29" s="1">
        <v>261645</v>
      </c>
      <c r="MX29" s="1">
        <v>256025</v>
      </c>
      <c r="MY29" s="1">
        <v>260860</v>
      </c>
      <c r="MZ29" s="1">
        <v>262755</v>
      </c>
      <c r="NA29" s="1">
        <v>262970</v>
      </c>
      <c r="NB29" s="1">
        <v>246725</v>
      </c>
      <c r="NC29" s="1">
        <v>262715</v>
      </c>
      <c r="ND29" s="1">
        <v>264935</v>
      </c>
      <c r="NE29" s="1">
        <v>260290</v>
      </c>
      <c r="NF29" s="1">
        <v>267560</v>
      </c>
      <c r="NG29" s="1">
        <v>281750</v>
      </c>
      <c r="NH29" s="1">
        <v>274200</v>
      </c>
      <c r="NI29" s="1">
        <v>293225</v>
      </c>
      <c r="NJ29" s="1">
        <v>51665</v>
      </c>
      <c r="NK29" s="1">
        <v>61035</v>
      </c>
      <c r="NL29" s="1">
        <v>61730</v>
      </c>
      <c r="NM29" s="1">
        <v>60220</v>
      </c>
      <c r="NN29" s="1">
        <v>60590</v>
      </c>
      <c r="NO29" s="1">
        <v>57895</v>
      </c>
      <c r="NP29" s="1">
        <v>58000</v>
      </c>
      <c r="NQ29" s="1">
        <v>61845</v>
      </c>
      <c r="NR29" s="1">
        <v>63260</v>
      </c>
      <c r="NS29" s="1">
        <v>73330</v>
      </c>
      <c r="NT29" s="1">
        <v>75455</v>
      </c>
      <c r="NU29" s="1">
        <v>76790</v>
      </c>
      <c r="NV29" s="1">
        <v>81370</v>
      </c>
      <c r="NW29" s="1">
        <v>107985</v>
      </c>
      <c r="NX29" s="1">
        <v>116705</v>
      </c>
      <c r="NY29" s="1">
        <v>165045</v>
      </c>
      <c r="NZ29" s="1">
        <v>160075</v>
      </c>
      <c r="OA29" s="1">
        <v>223190</v>
      </c>
      <c r="OB29" s="1">
        <v>207800</v>
      </c>
      <c r="OC29" s="1">
        <v>201450</v>
      </c>
      <c r="OD29" s="1">
        <v>203935</v>
      </c>
      <c r="OE29" s="1">
        <v>205550</v>
      </c>
      <c r="OF29" s="1">
        <v>203415</v>
      </c>
      <c r="OG29" s="1">
        <v>188825</v>
      </c>
      <c r="OH29" s="1">
        <v>202075</v>
      </c>
      <c r="OI29" s="1">
        <v>202830</v>
      </c>
      <c r="OJ29" s="1">
        <v>196740</v>
      </c>
      <c r="OK29" s="1">
        <v>204020</v>
      </c>
      <c r="OL29" s="1">
        <v>216765</v>
      </c>
      <c r="OM29" s="1">
        <v>207965</v>
      </c>
      <c r="ON29" s="1">
        <v>228855</v>
      </c>
      <c r="OO29" s="1">
        <v>37140</v>
      </c>
      <c r="OP29" s="1">
        <v>44880</v>
      </c>
      <c r="OQ29" s="1">
        <v>46750</v>
      </c>
      <c r="OR29" s="1">
        <v>44945</v>
      </c>
      <c r="OS29" s="1">
        <v>44605</v>
      </c>
      <c r="OT29" s="1">
        <v>42520</v>
      </c>
      <c r="OU29" s="1">
        <v>41600</v>
      </c>
      <c r="OV29" s="1">
        <v>45150</v>
      </c>
      <c r="OW29" s="1">
        <v>45740</v>
      </c>
      <c r="OX29" s="1">
        <v>54405</v>
      </c>
      <c r="OY29" s="1">
        <v>55195</v>
      </c>
      <c r="OZ29" s="1">
        <v>57455</v>
      </c>
      <c r="PA29" s="1">
        <v>61020</v>
      </c>
      <c r="PB29" s="1">
        <v>80820</v>
      </c>
      <c r="PC29" s="1">
        <v>85230</v>
      </c>
      <c r="PD29" s="1">
        <v>120775</v>
      </c>
      <c r="PE29" s="1">
        <v>116195</v>
      </c>
      <c r="PF29" s="1">
        <v>172390</v>
      </c>
      <c r="PG29" s="1">
        <v>151805</v>
      </c>
      <c r="PH29" s="1">
        <v>144465</v>
      </c>
      <c r="PI29" s="1">
        <v>146400</v>
      </c>
      <c r="PJ29" s="1">
        <v>147235</v>
      </c>
      <c r="PK29" s="1">
        <v>149835</v>
      </c>
      <c r="PL29" s="1">
        <v>134525</v>
      </c>
      <c r="PM29" s="1">
        <v>144245</v>
      </c>
      <c r="PN29" s="1">
        <v>145950</v>
      </c>
      <c r="PO29" s="1">
        <v>139860</v>
      </c>
      <c r="PP29" s="1">
        <v>144845</v>
      </c>
      <c r="PQ29" s="1">
        <v>161335</v>
      </c>
      <c r="PR29" s="1">
        <v>152640</v>
      </c>
      <c r="PS29" s="1">
        <v>164770</v>
      </c>
      <c r="PT29" s="1">
        <v>27550</v>
      </c>
      <c r="PU29" s="1">
        <v>33450</v>
      </c>
      <c r="PV29" s="1">
        <v>37625</v>
      </c>
      <c r="PW29" s="1">
        <v>32170</v>
      </c>
      <c r="PX29" s="1">
        <v>33245</v>
      </c>
      <c r="PY29" s="1">
        <v>30795</v>
      </c>
      <c r="PZ29" s="1">
        <v>29815</v>
      </c>
      <c r="QA29" s="1">
        <v>32925</v>
      </c>
      <c r="QB29" s="1">
        <v>32685</v>
      </c>
      <c r="QC29" s="1">
        <v>40340</v>
      </c>
      <c r="QD29" s="1">
        <v>41225</v>
      </c>
      <c r="QE29" s="1">
        <v>42190</v>
      </c>
      <c r="QF29" s="1">
        <v>44685</v>
      </c>
      <c r="QG29" s="1">
        <v>59830</v>
      </c>
      <c r="QH29" s="1">
        <v>62455</v>
      </c>
      <c r="QI29" s="1">
        <v>88445</v>
      </c>
      <c r="QJ29" s="1">
        <v>84230</v>
      </c>
      <c r="QK29" s="1">
        <v>125160</v>
      </c>
      <c r="QL29" s="1">
        <v>109185</v>
      </c>
      <c r="QM29" s="1">
        <v>104820</v>
      </c>
      <c r="QN29" s="1">
        <v>106380</v>
      </c>
      <c r="QO29" s="1">
        <v>106250</v>
      </c>
      <c r="QP29" s="1">
        <v>109470</v>
      </c>
      <c r="QQ29" s="1">
        <v>98870</v>
      </c>
      <c r="QR29" s="1">
        <v>105410</v>
      </c>
      <c r="QS29" s="1">
        <v>106855</v>
      </c>
      <c r="QT29" s="1">
        <v>103755</v>
      </c>
      <c r="QU29" s="1">
        <v>106050</v>
      </c>
      <c r="QV29" s="1">
        <v>120130</v>
      </c>
      <c r="QW29" s="1">
        <v>112675</v>
      </c>
      <c r="QX29" s="1">
        <v>118040</v>
      </c>
      <c r="QY29" s="1">
        <v>20345</v>
      </c>
      <c r="QZ29" s="1">
        <v>24315</v>
      </c>
      <c r="RA29" s="1">
        <v>31695</v>
      </c>
      <c r="RB29" s="1">
        <v>23105</v>
      </c>
      <c r="RC29" s="1">
        <v>24340</v>
      </c>
      <c r="RD29" s="1">
        <v>21845</v>
      </c>
      <c r="RE29" s="1">
        <v>21605</v>
      </c>
      <c r="RF29" s="1">
        <v>23070</v>
      </c>
      <c r="RG29" s="1">
        <v>23725</v>
      </c>
      <c r="RH29" s="1">
        <v>30085</v>
      </c>
      <c r="RI29" s="1">
        <v>29800</v>
      </c>
      <c r="RJ29" s="1">
        <v>30980</v>
      </c>
      <c r="RK29" s="1">
        <v>33560</v>
      </c>
      <c r="RL29" s="1">
        <v>44195</v>
      </c>
      <c r="RM29" s="1">
        <v>46690</v>
      </c>
      <c r="RN29" s="1">
        <v>64315</v>
      </c>
      <c r="RO29" s="1">
        <v>60280</v>
      </c>
      <c r="RP29" s="1">
        <v>88915</v>
      </c>
      <c r="RQ29" s="1">
        <v>77845</v>
      </c>
      <c r="RR29" s="1">
        <v>74555</v>
      </c>
      <c r="RS29" s="1">
        <v>75620</v>
      </c>
      <c r="RT29" s="1">
        <v>75925</v>
      </c>
      <c r="RU29" s="1">
        <v>77520</v>
      </c>
      <c r="RV29" s="1">
        <v>71460</v>
      </c>
      <c r="RW29" s="1">
        <v>75680</v>
      </c>
      <c r="RX29" s="1">
        <v>76160</v>
      </c>
      <c r="RY29" s="1">
        <v>73840</v>
      </c>
      <c r="RZ29" s="1">
        <v>75175</v>
      </c>
      <c r="SA29" s="1">
        <v>88820</v>
      </c>
      <c r="SB29" s="1">
        <v>82185</v>
      </c>
      <c r="SC29" s="1">
        <v>85605</v>
      </c>
      <c r="SD29" s="1">
        <v>15455</v>
      </c>
      <c r="SE29" s="1">
        <v>19185</v>
      </c>
      <c r="SF29" s="1">
        <v>31705</v>
      </c>
      <c r="SG29" s="1">
        <v>17430</v>
      </c>
      <c r="SH29" s="1">
        <v>18155</v>
      </c>
      <c r="SI29" s="1">
        <v>16540</v>
      </c>
      <c r="SJ29" s="1">
        <v>15990</v>
      </c>
      <c r="SK29" s="1">
        <v>17335</v>
      </c>
      <c r="SL29" s="1">
        <v>17020</v>
      </c>
      <c r="SM29" s="1">
        <v>22215</v>
      </c>
      <c r="SN29" s="1">
        <v>22295</v>
      </c>
      <c r="SO29" s="1">
        <v>23215</v>
      </c>
      <c r="SP29" s="1">
        <v>25410</v>
      </c>
      <c r="SQ29" s="1">
        <v>33645</v>
      </c>
      <c r="SR29" s="1">
        <v>34920</v>
      </c>
      <c r="SS29" s="1">
        <v>47220</v>
      </c>
      <c r="ST29" s="1">
        <v>43215</v>
      </c>
      <c r="SU29" s="1">
        <v>63480</v>
      </c>
      <c r="SV29" s="1">
        <v>55665</v>
      </c>
      <c r="SW29" s="1">
        <v>52845</v>
      </c>
      <c r="SX29" s="1">
        <v>53230</v>
      </c>
      <c r="SY29" s="1">
        <v>54035</v>
      </c>
      <c r="SZ29" s="1">
        <v>54185</v>
      </c>
      <c r="TA29" s="1">
        <v>50265</v>
      </c>
      <c r="TB29" s="1">
        <v>54645</v>
      </c>
      <c r="TC29" s="1">
        <v>54435</v>
      </c>
      <c r="TD29" s="1">
        <v>52475</v>
      </c>
      <c r="TE29" s="1">
        <v>53180</v>
      </c>
      <c r="TF29" s="1">
        <v>63505</v>
      </c>
      <c r="TG29" s="1">
        <v>58450</v>
      </c>
      <c r="TH29" s="1">
        <v>59305</v>
      </c>
      <c r="TI29" s="1">
        <v>12985</v>
      </c>
      <c r="TJ29" s="1">
        <v>15390</v>
      </c>
      <c r="TK29" s="1">
        <v>32130</v>
      </c>
      <c r="TL29" s="1">
        <v>12425</v>
      </c>
      <c r="TM29" s="1">
        <v>13190</v>
      </c>
      <c r="TN29" s="1">
        <v>12235</v>
      </c>
      <c r="TO29" s="1">
        <v>11415</v>
      </c>
      <c r="TP29" s="1">
        <v>12575</v>
      </c>
      <c r="TQ29" s="1">
        <v>12810</v>
      </c>
      <c r="TR29" s="1">
        <v>16480</v>
      </c>
      <c r="TS29" s="1">
        <v>16355</v>
      </c>
      <c r="TT29" s="1">
        <v>17105</v>
      </c>
      <c r="TU29" s="1">
        <v>19235</v>
      </c>
      <c r="TV29" s="1">
        <v>25135</v>
      </c>
      <c r="TW29" s="1">
        <v>26720</v>
      </c>
      <c r="TX29" s="1">
        <v>34115</v>
      </c>
      <c r="TY29" s="1">
        <v>31030</v>
      </c>
      <c r="TZ29" s="1">
        <v>44985</v>
      </c>
      <c r="UA29" s="1">
        <v>39740</v>
      </c>
      <c r="UB29" s="1">
        <v>37785</v>
      </c>
      <c r="UC29" s="1">
        <v>37045</v>
      </c>
      <c r="UD29" s="1">
        <v>38165</v>
      </c>
      <c r="UE29" s="1">
        <v>37295</v>
      </c>
      <c r="UF29" s="1">
        <v>35560</v>
      </c>
      <c r="UG29" s="1">
        <v>39105</v>
      </c>
      <c r="UH29" s="1">
        <v>38315</v>
      </c>
      <c r="UI29" s="1">
        <v>35820</v>
      </c>
      <c r="UJ29" s="1">
        <v>36400</v>
      </c>
      <c r="UK29" s="1">
        <v>44595</v>
      </c>
      <c r="UL29" s="1">
        <v>40875</v>
      </c>
      <c r="UM29" s="1">
        <v>39870</v>
      </c>
      <c r="UN29" s="1">
        <v>10345</v>
      </c>
      <c r="UO29" s="1">
        <v>13410</v>
      </c>
      <c r="UP29" s="1">
        <v>37255</v>
      </c>
      <c r="UQ29" s="1">
        <v>9520</v>
      </c>
      <c r="UR29" s="1">
        <v>9890</v>
      </c>
      <c r="US29" s="1">
        <v>8980</v>
      </c>
      <c r="UT29" s="1">
        <v>8645</v>
      </c>
      <c r="UU29" s="1">
        <v>9205</v>
      </c>
      <c r="UV29" s="1">
        <v>9605</v>
      </c>
      <c r="UW29" s="1">
        <v>12175</v>
      </c>
      <c r="UX29" s="1">
        <v>12230</v>
      </c>
      <c r="UY29" s="1">
        <v>13325</v>
      </c>
      <c r="UZ29" s="1">
        <v>14705</v>
      </c>
      <c r="VA29" s="1">
        <v>19095</v>
      </c>
      <c r="VB29" s="1">
        <v>21015</v>
      </c>
      <c r="VC29" s="1">
        <v>25165</v>
      </c>
      <c r="VD29" s="1">
        <v>21900</v>
      </c>
      <c r="VE29" s="1">
        <v>31290</v>
      </c>
      <c r="VF29" s="1">
        <v>28160</v>
      </c>
      <c r="VG29" s="1">
        <v>26655</v>
      </c>
      <c r="VH29" s="1">
        <v>26455</v>
      </c>
      <c r="VI29" s="1">
        <v>27130</v>
      </c>
      <c r="VJ29" s="1">
        <v>25655</v>
      </c>
      <c r="VK29" s="1">
        <v>24430</v>
      </c>
      <c r="VL29" s="1">
        <v>27770</v>
      </c>
      <c r="VM29" s="1">
        <v>27380</v>
      </c>
      <c r="VN29" s="1">
        <v>25520</v>
      </c>
      <c r="VO29" s="1">
        <v>26070</v>
      </c>
      <c r="VP29" s="1">
        <v>30850</v>
      </c>
      <c r="VQ29" s="1">
        <v>30085</v>
      </c>
      <c r="VR29" s="1">
        <v>27590</v>
      </c>
      <c r="VS29" s="1">
        <v>9840</v>
      </c>
      <c r="VT29" s="1">
        <v>12665</v>
      </c>
      <c r="VU29" s="1">
        <v>59970</v>
      </c>
      <c r="VV29" s="1">
        <v>7560</v>
      </c>
      <c r="VW29" s="1">
        <v>7685</v>
      </c>
      <c r="VX29" s="1">
        <v>7330</v>
      </c>
      <c r="VY29" s="1">
        <v>7035</v>
      </c>
      <c r="VZ29" s="1">
        <v>7615</v>
      </c>
      <c r="WA29" s="1">
        <v>8115</v>
      </c>
      <c r="WB29" s="1">
        <v>9965</v>
      </c>
      <c r="WC29" s="1">
        <v>10440</v>
      </c>
      <c r="WD29" s="1">
        <v>11410</v>
      </c>
      <c r="WE29" s="1">
        <v>12285</v>
      </c>
      <c r="WF29" s="1">
        <v>15770</v>
      </c>
      <c r="WG29" s="1">
        <v>17365</v>
      </c>
      <c r="WH29" s="1">
        <v>19190</v>
      </c>
      <c r="WI29" s="1">
        <v>16690</v>
      </c>
      <c r="WJ29" s="1">
        <v>21285</v>
      </c>
      <c r="WK29" s="1">
        <v>20655</v>
      </c>
      <c r="WL29" s="1">
        <v>19915</v>
      </c>
      <c r="WM29" s="1">
        <v>18890</v>
      </c>
      <c r="WN29" s="1">
        <v>20070</v>
      </c>
      <c r="WO29" s="1">
        <v>19205</v>
      </c>
      <c r="WP29" s="1">
        <v>18890</v>
      </c>
      <c r="WQ29" s="1">
        <v>21530</v>
      </c>
      <c r="WR29" s="1">
        <v>21950</v>
      </c>
      <c r="WS29" s="1">
        <v>20095</v>
      </c>
      <c r="WT29" s="1">
        <v>21100</v>
      </c>
      <c r="WU29" s="1">
        <v>23170</v>
      </c>
      <c r="WV29" s="1">
        <v>24790</v>
      </c>
      <c r="WW29" s="1">
        <v>21610</v>
      </c>
      <c r="WX29" s="1">
        <v>22085</v>
      </c>
      <c r="WY29" s="1">
        <v>32575</v>
      </c>
      <c r="WZ29" s="1">
        <v>129370</v>
      </c>
      <c r="XA29" s="1">
        <v>15440</v>
      </c>
      <c r="XB29" s="1">
        <v>13885</v>
      </c>
      <c r="XC29" s="1">
        <v>14125</v>
      </c>
      <c r="XD29" s="1">
        <v>15175</v>
      </c>
      <c r="XE29" s="1">
        <v>15580</v>
      </c>
      <c r="XF29" s="1">
        <v>15560</v>
      </c>
      <c r="XG29" s="1">
        <v>15870</v>
      </c>
      <c r="XH29" s="1">
        <v>16685</v>
      </c>
      <c r="XI29" s="1">
        <v>17685</v>
      </c>
      <c r="XJ29" s="1">
        <v>18250</v>
      </c>
      <c r="XK29" s="1">
        <v>20830</v>
      </c>
      <c r="XL29" s="1">
        <v>21400</v>
      </c>
      <c r="XM29" s="1">
        <v>23080</v>
      </c>
      <c r="XN29" s="1">
        <v>20895</v>
      </c>
      <c r="XO29" s="1">
        <v>22315</v>
      </c>
      <c r="XP29" s="1">
        <v>23530</v>
      </c>
      <c r="XQ29" s="1">
        <v>22740</v>
      </c>
      <c r="XR29" s="1">
        <v>23015</v>
      </c>
      <c r="XS29" s="1">
        <v>24270</v>
      </c>
      <c r="XT29" s="1">
        <v>25260</v>
      </c>
      <c r="XU29" s="1">
        <v>24650</v>
      </c>
      <c r="XV29" s="1">
        <v>27670</v>
      </c>
      <c r="XW29" s="1">
        <v>30230</v>
      </c>
      <c r="XX29" s="1">
        <v>28465</v>
      </c>
      <c r="XY29" s="1">
        <v>29695</v>
      </c>
      <c r="XZ29" s="1">
        <v>29125</v>
      </c>
      <c r="YA29" s="1">
        <v>35160</v>
      </c>
      <c r="YB29" s="1">
        <v>31085</v>
      </c>
    </row>
    <row r="30" spans="1:652" x14ac:dyDescent="0.2">
      <c r="A30" t="s">
        <v>50</v>
      </c>
      <c r="B30" s="1">
        <v>2941325</v>
      </c>
      <c r="C30" s="1">
        <v>3078120</v>
      </c>
      <c r="D30" s="1">
        <v>3122950</v>
      </c>
      <c r="E30" s="1">
        <v>3081250</v>
      </c>
      <c r="F30" s="1">
        <v>3094850</v>
      </c>
      <c r="G30" s="1">
        <v>3071900</v>
      </c>
      <c r="H30" s="1">
        <v>3070955</v>
      </c>
      <c r="I30" s="1">
        <v>3172060</v>
      </c>
      <c r="J30" s="1">
        <v>3257190</v>
      </c>
      <c r="K30" s="1">
        <v>3811830</v>
      </c>
      <c r="L30" s="1">
        <v>3772850</v>
      </c>
      <c r="M30" s="1">
        <v>3819765</v>
      </c>
      <c r="N30" s="1">
        <v>3999460</v>
      </c>
      <c r="O30" s="1">
        <v>4259305</v>
      </c>
      <c r="P30" s="1">
        <v>4179025</v>
      </c>
      <c r="Q30" s="1">
        <v>4222960</v>
      </c>
      <c r="R30" s="1">
        <v>4230380</v>
      </c>
      <c r="S30" s="1">
        <v>4315805</v>
      </c>
      <c r="T30" s="1">
        <v>4301225</v>
      </c>
      <c r="U30" s="1">
        <v>4312310</v>
      </c>
      <c r="V30" s="1">
        <v>4363735</v>
      </c>
      <c r="W30" s="1">
        <v>4406670</v>
      </c>
      <c r="X30" s="1">
        <v>4560850</v>
      </c>
      <c r="Y30" s="1">
        <v>4672045</v>
      </c>
      <c r="Z30" s="1">
        <v>4882830</v>
      </c>
      <c r="AA30" s="1">
        <v>4942000</v>
      </c>
      <c r="AB30" s="1">
        <v>5073645</v>
      </c>
      <c r="AC30" s="1">
        <v>5157110</v>
      </c>
      <c r="AD30" s="1">
        <v>5555960</v>
      </c>
      <c r="AE30" s="1">
        <v>5530560</v>
      </c>
      <c r="AF30" s="1">
        <v>5325715</v>
      </c>
      <c r="AG30" s="1">
        <v>1295</v>
      </c>
      <c r="AH30" s="1">
        <v>1075</v>
      </c>
      <c r="AI30">
        <v>955</v>
      </c>
      <c r="AJ30" s="1">
        <v>2775</v>
      </c>
      <c r="AK30" s="1">
        <v>3300</v>
      </c>
      <c r="AL30" s="1">
        <v>3420</v>
      </c>
      <c r="AM30" s="1">
        <v>3140</v>
      </c>
      <c r="AN30" s="1">
        <v>3620</v>
      </c>
      <c r="AO30" s="1">
        <v>3870</v>
      </c>
      <c r="AP30" s="1">
        <v>7290</v>
      </c>
      <c r="AQ30" s="1">
        <v>4615</v>
      </c>
      <c r="AR30" s="1">
        <v>5895</v>
      </c>
      <c r="AS30" s="1">
        <v>5890</v>
      </c>
      <c r="AT30" s="1">
        <v>5725</v>
      </c>
      <c r="AU30" s="1">
        <v>5140</v>
      </c>
      <c r="AV30" s="1">
        <v>4355</v>
      </c>
      <c r="AW30" s="1">
        <v>4930</v>
      </c>
      <c r="AX30" s="1">
        <v>3675</v>
      </c>
      <c r="AY30" s="1">
        <v>3015</v>
      </c>
      <c r="AZ30" s="1">
        <v>3020</v>
      </c>
      <c r="BA30" s="1">
        <v>2660</v>
      </c>
      <c r="BB30" s="1">
        <v>2575</v>
      </c>
      <c r="BC30" s="1">
        <v>2380</v>
      </c>
      <c r="BD30" s="1">
        <v>2215</v>
      </c>
      <c r="BE30" s="1">
        <v>2445</v>
      </c>
      <c r="BF30" t="s">
        <v>51</v>
      </c>
      <c r="BG30" s="1">
        <v>2500</v>
      </c>
      <c r="BH30" s="1">
        <v>2170</v>
      </c>
      <c r="BI30" s="1">
        <v>2220</v>
      </c>
      <c r="BJ30" s="1">
        <v>2745</v>
      </c>
      <c r="BK30" s="1">
        <v>2940</v>
      </c>
      <c r="BL30" s="1">
        <v>1355</v>
      </c>
      <c r="BM30" s="1">
        <v>1220</v>
      </c>
      <c r="BN30" s="1">
        <v>1370</v>
      </c>
      <c r="BO30" s="1">
        <v>3235</v>
      </c>
      <c r="BP30" s="1">
        <v>3545</v>
      </c>
      <c r="BQ30" s="1">
        <v>4105</v>
      </c>
      <c r="BR30" s="1">
        <v>3840</v>
      </c>
      <c r="BS30" s="1">
        <v>4335</v>
      </c>
      <c r="BT30" s="1">
        <v>4920</v>
      </c>
      <c r="BU30" s="1">
        <v>7960</v>
      </c>
      <c r="BV30" s="1">
        <v>5910</v>
      </c>
      <c r="BW30" s="1">
        <v>6155</v>
      </c>
      <c r="BX30" s="1">
        <v>6255</v>
      </c>
      <c r="BY30" s="1">
        <v>6395</v>
      </c>
      <c r="BZ30" s="1">
        <v>6025</v>
      </c>
      <c r="CA30" s="1">
        <v>4830</v>
      </c>
      <c r="CB30" s="1">
        <v>5390</v>
      </c>
      <c r="CC30" s="1">
        <v>5035</v>
      </c>
      <c r="CD30" s="1">
        <v>4490</v>
      </c>
      <c r="CE30" s="1">
        <v>4160</v>
      </c>
      <c r="CF30" s="1">
        <v>4630</v>
      </c>
      <c r="CG30" s="1">
        <v>3970</v>
      </c>
      <c r="CH30" s="1">
        <v>3480</v>
      </c>
      <c r="CI30" s="1">
        <v>3530</v>
      </c>
      <c r="CJ30" s="1">
        <v>3620</v>
      </c>
      <c r="CK30" s="1">
        <v>3580</v>
      </c>
      <c r="CL30" s="1">
        <v>4350</v>
      </c>
      <c r="CM30" s="1">
        <v>4210</v>
      </c>
      <c r="CN30" s="1">
        <v>4740</v>
      </c>
      <c r="CO30" s="1">
        <v>3390</v>
      </c>
      <c r="CP30" s="1">
        <v>5995</v>
      </c>
      <c r="CQ30" s="1">
        <v>46540</v>
      </c>
      <c r="CR30" s="1">
        <v>32695</v>
      </c>
      <c r="CS30" s="1">
        <v>36390</v>
      </c>
      <c r="CT30" s="1">
        <v>40480</v>
      </c>
      <c r="CU30" s="1">
        <v>42610</v>
      </c>
      <c r="CV30" s="1">
        <v>45330</v>
      </c>
      <c r="CW30" s="1">
        <v>42615</v>
      </c>
      <c r="CX30" s="1">
        <v>34335</v>
      </c>
      <c r="CY30" s="1">
        <v>34625</v>
      </c>
      <c r="CZ30" s="1">
        <v>37465</v>
      </c>
      <c r="DA30" s="1">
        <v>32055</v>
      </c>
      <c r="DB30" s="1">
        <v>30875</v>
      </c>
      <c r="DC30" s="1">
        <v>30860</v>
      </c>
      <c r="DD30" s="1">
        <v>11885</v>
      </c>
      <c r="DE30" s="1">
        <v>13625</v>
      </c>
      <c r="DF30" s="1">
        <v>5720</v>
      </c>
      <c r="DG30" s="1">
        <v>6295</v>
      </c>
      <c r="DH30" s="1">
        <v>4735</v>
      </c>
      <c r="DI30" s="1">
        <v>4150</v>
      </c>
      <c r="DJ30" s="1">
        <v>3975</v>
      </c>
      <c r="DK30" s="1">
        <v>4475</v>
      </c>
      <c r="DL30" s="1">
        <v>3625</v>
      </c>
      <c r="DM30" s="1">
        <v>3560</v>
      </c>
      <c r="DN30" s="1">
        <v>3530</v>
      </c>
      <c r="DO30" s="1">
        <v>4205</v>
      </c>
      <c r="DP30" s="1">
        <v>4240</v>
      </c>
      <c r="DQ30" s="1">
        <v>5120</v>
      </c>
      <c r="DR30" s="1">
        <v>4855</v>
      </c>
      <c r="DS30" s="1">
        <v>23975</v>
      </c>
      <c r="DT30" s="1">
        <v>14570</v>
      </c>
      <c r="DU30" s="1">
        <v>4380</v>
      </c>
      <c r="DV30" s="1">
        <v>97350</v>
      </c>
      <c r="DW30" s="1">
        <v>76145</v>
      </c>
      <c r="DX30" s="1">
        <v>78090</v>
      </c>
      <c r="DY30" s="1">
        <v>81175</v>
      </c>
      <c r="DZ30" s="1">
        <v>80075</v>
      </c>
      <c r="EA30" s="1">
        <v>79035</v>
      </c>
      <c r="EB30" s="1">
        <v>81635</v>
      </c>
      <c r="EC30" s="1">
        <v>80885</v>
      </c>
      <c r="ED30" s="1">
        <v>83030</v>
      </c>
      <c r="EE30" s="1">
        <v>89035</v>
      </c>
      <c r="EF30" s="1">
        <v>85485</v>
      </c>
      <c r="EG30" s="1">
        <v>83955</v>
      </c>
      <c r="EH30" s="1">
        <v>87485</v>
      </c>
      <c r="EI30" s="1">
        <v>73065</v>
      </c>
      <c r="EJ30" s="1">
        <v>76335</v>
      </c>
      <c r="EK30" s="1">
        <v>43385</v>
      </c>
      <c r="EL30" s="1">
        <v>49400</v>
      </c>
      <c r="EM30" s="1">
        <v>27920</v>
      </c>
      <c r="EN30" s="1">
        <v>22875</v>
      </c>
      <c r="EO30" s="1">
        <v>25210</v>
      </c>
      <c r="EP30" s="1">
        <v>27510</v>
      </c>
      <c r="EQ30" s="1">
        <v>26825</v>
      </c>
      <c r="ER30" s="1">
        <v>31775</v>
      </c>
      <c r="ES30" s="1">
        <v>38045</v>
      </c>
      <c r="ET30" s="1">
        <v>37980</v>
      </c>
      <c r="EU30" s="1">
        <v>42545</v>
      </c>
      <c r="EV30" s="1">
        <v>46735</v>
      </c>
      <c r="EW30" s="1">
        <v>40430</v>
      </c>
      <c r="EX30" s="1">
        <v>132655</v>
      </c>
      <c r="EY30" s="1">
        <v>89040</v>
      </c>
      <c r="EZ30" s="1">
        <v>13855</v>
      </c>
      <c r="FA30" s="1">
        <v>151890</v>
      </c>
      <c r="FB30" s="1">
        <v>133870</v>
      </c>
      <c r="FC30" s="1">
        <v>134220</v>
      </c>
      <c r="FD30" s="1">
        <v>128110</v>
      </c>
      <c r="FE30" s="1">
        <v>122400</v>
      </c>
      <c r="FF30" s="1">
        <v>130770</v>
      </c>
      <c r="FG30" s="1">
        <v>139580</v>
      </c>
      <c r="FH30" s="1">
        <v>142405</v>
      </c>
      <c r="FI30" s="1">
        <v>147530</v>
      </c>
      <c r="FJ30" s="1">
        <v>158885</v>
      </c>
      <c r="FK30" s="1">
        <v>149420</v>
      </c>
      <c r="FL30" s="1">
        <v>149490</v>
      </c>
      <c r="FM30" s="1">
        <v>152430</v>
      </c>
      <c r="FN30" s="1">
        <v>139420</v>
      </c>
      <c r="FO30" s="1">
        <v>141325</v>
      </c>
      <c r="FP30" s="1">
        <v>125005</v>
      </c>
      <c r="FQ30" s="1">
        <v>132185</v>
      </c>
      <c r="FR30" s="1">
        <v>111070</v>
      </c>
      <c r="FS30" s="1">
        <v>110895</v>
      </c>
      <c r="FT30" s="1">
        <v>116505</v>
      </c>
      <c r="FU30" s="1">
        <v>112250</v>
      </c>
      <c r="FV30" s="1">
        <v>113595</v>
      </c>
      <c r="FW30" s="1">
        <v>124655</v>
      </c>
      <c r="FX30" s="1">
        <v>129280</v>
      </c>
      <c r="FY30" s="1">
        <v>132585</v>
      </c>
      <c r="FZ30" s="1">
        <v>140330</v>
      </c>
      <c r="GA30" s="1">
        <v>156090</v>
      </c>
      <c r="GB30" s="1">
        <v>154115</v>
      </c>
      <c r="GC30" s="1">
        <v>220920</v>
      </c>
      <c r="GD30" s="1">
        <v>202825</v>
      </c>
      <c r="GE30" s="1">
        <v>129135</v>
      </c>
      <c r="GF30" s="1">
        <v>181640</v>
      </c>
      <c r="GG30" s="1">
        <v>180770</v>
      </c>
      <c r="GH30" s="1">
        <v>184330</v>
      </c>
      <c r="GI30" s="1">
        <v>187555</v>
      </c>
      <c r="GJ30" s="1">
        <v>187500</v>
      </c>
      <c r="GK30" s="1">
        <v>194280</v>
      </c>
      <c r="GL30" s="1">
        <v>201475</v>
      </c>
      <c r="GM30" s="1">
        <v>214290</v>
      </c>
      <c r="GN30" s="1">
        <v>225250</v>
      </c>
      <c r="GO30" s="1">
        <v>229930</v>
      </c>
      <c r="GP30" s="1">
        <v>222140</v>
      </c>
      <c r="GQ30" s="1">
        <v>230130</v>
      </c>
      <c r="GR30" s="1">
        <v>231870</v>
      </c>
      <c r="GS30" s="1">
        <v>216875</v>
      </c>
      <c r="GT30" s="1">
        <v>194920</v>
      </c>
      <c r="GU30" s="1">
        <v>183335</v>
      </c>
      <c r="GV30" s="1">
        <v>190575</v>
      </c>
      <c r="GW30" s="1">
        <v>157435</v>
      </c>
      <c r="GX30" s="1">
        <v>159715</v>
      </c>
      <c r="GY30" s="1">
        <v>163065</v>
      </c>
      <c r="GZ30" s="1">
        <v>164460</v>
      </c>
      <c r="HA30" s="1">
        <v>166055</v>
      </c>
      <c r="HB30" s="1">
        <v>173345</v>
      </c>
      <c r="HC30" s="1">
        <v>184330</v>
      </c>
      <c r="HD30" s="1">
        <v>184135</v>
      </c>
      <c r="HE30" s="1">
        <v>197065</v>
      </c>
      <c r="HF30" s="1">
        <v>217100</v>
      </c>
      <c r="HG30" s="1">
        <v>220185</v>
      </c>
      <c r="HH30" s="1">
        <v>265135</v>
      </c>
      <c r="HI30" s="1">
        <v>262725</v>
      </c>
      <c r="HJ30" s="1">
        <v>214465</v>
      </c>
      <c r="HK30" s="1">
        <v>180275</v>
      </c>
      <c r="HL30" s="1">
        <v>174235</v>
      </c>
      <c r="HM30" s="1">
        <v>176770</v>
      </c>
      <c r="HN30" s="1">
        <v>187490</v>
      </c>
      <c r="HO30" s="1">
        <v>193585</v>
      </c>
      <c r="HP30" s="1">
        <v>200395</v>
      </c>
      <c r="HQ30" s="1">
        <v>199655</v>
      </c>
      <c r="HR30" s="1">
        <v>208220</v>
      </c>
      <c r="HS30" s="1">
        <v>215800</v>
      </c>
      <c r="HT30" s="1">
        <v>236220</v>
      </c>
      <c r="HU30" s="1">
        <v>235440</v>
      </c>
      <c r="HV30" s="1">
        <v>239720</v>
      </c>
      <c r="HW30" s="1">
        <v>245250</v>
      </c>
      <c r="HX30" s="1">
        <v>263130</v>
      </c>
      <c r="HY30" s="1">
        <v>254780</v>
      </c>
      <c r="HZ30" s="1">
        <v>243295</v>
      </c>
      <c r="IA30" s="1">
        <v>254115</v>
      </c>
      <c r="IB30" s="1">
        <v>211140</v>
      </c>
      <c r="IC30" s="1">
        <v>219365</v>
      </c>
      <c r="ID30" s="1">
        <v>224890</v>
      </c>
      <c r="IE30" s="1">
        <v>231125</v>
      </c>
      <c r="IF30" s="1">
        <v>232780</v>
      </c>
      <c r="IG30" s="1">
        <v>248335</v>
      </c>
      <c r="IH30" s="1">
        <v>263470</v>
      </c>
      <c r="II30" s="1">
        <v>261950</v>
      </c>
      <c r="IJ30" s="1">
        <v>277965</v>
      </c>
      <c r="IK30" s="1">
        <v>303195</v>
      </c>
      <c r="IL30" s="1">
        <v>306085</v>
      </c>
      <c r="IM30" s="1">
        <v>339275</v>
      </c>
      <c r="IN30" s="1">
        <v>348760</v>
      </c>
      <c r="IO30" s="1">
        <v>312510</v>
      </c>
      <c r="IP30" s="1">
        <v>217870</v>
      </c>
      <c r="IQ30" s="1">
        <v>213940</v>
      </c>
      <c r="IR30" s="1">
        <v>216880</v>
      </c>
      <c r="IS30" s="1">
        <v>223445</v>
      </c>
      <c r="IT30" s="1">
        <v>228390</v>
      </c>
      <c r="IU30" s="1">
        <v>235590</v>
      </c>
      <c r="IV30" s="1">
        <v>238470</v>
      </c>
      <c r="IW30" s="1">
        <v>246375</v>
      </c>
      <c r="IX30" s="1">
        <v>253440</v>
      </c>
      <c r="IY30" s="1">
        <v>272605</v>
      </c>
      <c r="IZ30" s="1">
        <v>270035</v>
      </c>
      <c r="JA30" s="1">
        <v>275300</v>
      </c>
      <c r="JB30" s="1">
        <v>280375</v>
      </c>
      <c r="JC30" s="1">
        <v>302330</v>
      </c>
      <c r="JD30" s="1">
        <v>292755</v>
      </c>
      <c r="JE30" s="1">
        <v>285570</v>
      </c>
      <c r="JF30" s="1">
        <v>298710</v>
      </c>
      <c r="JG30" s="1">
        <v>265995</v>
      </c>
      <c r="JH30" s="1">
        <v>277255</v>
      </c>
      <c r="JI30" s="1">
        <v>285725</v>
      </c>
      <c r="JJ30" s="1">
        <v>293590</v>
      </c>
      <c r="JK30" s="1">
        <v>299840</v>
      </c>
      <c r="JL30" s="1">
        <v>312950</v>
      </c>
      <c r="JM30" s="1">
        <v>317750</v>
      </c>
      <c r="JN30" s="1">
        <v>324695</v>
      </c>
      <c r="JO30" s="1">
        <v>336880</v>
      </c>
      <c r="JP30" s="1">
        <v>357810</v>
      </c>
      <c r="JQ30" s="1">
        <v>363905</v>
      </c>
      <c r="JR30" s="1">
        <v>362000</v>
      </c>
      <c r="JS30" s="1">
        <v>371635</v>
      </c>
      <c r="JT30" s="1">
        <v>381870</v>
      </c>
      <c r="JU30" s="1">
        <v>247555</v>
      </c>
      <c r="JV30" s="1">
        <v>256190</v>
      </c>
      <c r="JW30" s="1">
        <v>258310</v>
      </c>
      <c r="JX30" s="1">
        <v>260885</v>
      </c>
      <c r="JY30" s="1">
        <v>265630</v>
      </c>
      <c r="JZ30" s="1">
        <v>267775</v>
      </c>
      <c r="KA30" s="1">
        <v>268250</v>
      </c>
      <c r="KB30" s="1">
        <v>272445</v>
      </c>
      <c r="KC30" s="1">
        <v>274775</v>
      </c>
      <c r="KD30" s="1">
        <v>290320</v>
      </c>
      <c r="KE30" s="1">
        <v>287895</v>
      </c>
      <c r="KF30" s="1">
        <v>291955</v>
      </c>
      <c r="KG30" s="1">
        <v>303685</v>
      </c>
      <c r="KH30" s="1">
        <v>310545</v>
      </c>
      <c r="KI30" s="1">
        <v>306020</v>
      </c>
      <c r="KJ30" s="1">
        <v>270185</v>
      </c>
      <c r="KK30" s="1">
        <v>274190</v>
      </c>
      <c r="KL30" s="1">
        <v>276570</v>
      </c>
      <c r="KM30" s="1">
        <v>283515</v>
      </c>
      <c r="KN30" s="1">
        <v>285510</v>
      </c>
      <c r="KO30" s="1">
        <v>293330</v>
      </c>
      <c r="KP30" s="1">
        <v>298510</v>
      </c>
      <c r="KQ30" s="1">
        <v>297645</v>
      </c>
      <c r="KR30" s="1">
        <v>311370</v>
      </c>
      <c r="KS30" s="1">
        <v>312630</v>
      </c>
      <c r="KT30" s="1">
        <v>311880</v>
      </c>
      <c r="KU30" s="1">
        <v>320795</v>
      </c>
      <c r="KV30" s="1">
        <v>331000</v>
      </c>
      <c r="KW30" s="1">
        <v>312230</v>
      </c>
      <c r="KX30" s="1">
        <v>322075</v>
      </c>
      <c r="KY30" s="1">
        <v>346755</v>
      </c>
      <c r="KZ30" s="1">
        <v>279555</v>
      </c>
      <c r="LA30" s="1">
        <v>291040</v>
      </c>
      <c r="LB30" s="1">
        <v>293000</v>
      </c>
      <c r="LC30" s="1">
        <v>292805</v>
      </c>
      <c r="LD30" s="1">
        <v>296895</v>
      </c>
      <c r="LE30" s="1">
        <v>300630</v>
      </c>
      <c r="LF30" s="1">
        <v>298505</v>
      </c>
      <c r="LG30" s="1">
        <v>297945</v>
      </c>
      <c r="LH30" s="1">
        <v>302170</v>
      </c>
      <c r="LI30" s="1">
        <v>321855</v>
      </c>
      <c r="LJ30" s="1">
        <v>318220</v>
      </c>
      <c r="LK30" s="1">
        <v>323380</v>
      </c>
      <c r="LL30" s="1">
        <v>336450</v>
      </c>
      <c r="LM30" s="1">
        <v>322960</v>
      </c>
      <c r="LN30" s="1">
        <v>309455</v>
      </c>
      <c r="LO30" s="1">
        <v>264635</v>
      </c>
      <c r="LP30" s="1">
        <v>265600</v>
      </c>
      <c r="LQ30" s="1">
        <v>262935</v>
      </c>
      <c r="LR30" s="1">
        <v>268220</v>
      </c>
      <c r="LS30" s="1">
        <v>271430</v>
      </c>
      <c r="LT30" s="1">
        <v>277800</v>
      </c>
      <c r="LU30" s="1">
        <v>281440</v>
      </c>
      <c r="LV30" s="1">
        <v>279330</v>
      </c>
      <c r="LW30" s="1">
        <v>301245</v>
      </c>
      <c r="LX30" s="1">
        <v>301545</v>
      </c>
      <c r="LY30" s="1">
        <v>297560</v>
      </c>
      <c r="LZ30" s="1">
        <v>305295</v>
      </c>
      <c r="MA30" s="1">
        <v>310395</v>
      </c>
      <c r="MB30" s="1">
        <v>300680</v>
      </c>
      <c r="MC30" s="1">
        <v>312150</v>
      </c>
      <c r="MD30" s="1">
        <v>318500</v>
      </c>
      <c r="ME30" s="1">
        <v>288385</v>
      </c>
      <c r="MF30" s="1">
        <v>308260</v>
      </c>
      <c r="MG30" s="1">
        <v>302095</v>
      </c>
      <c r="MH30" s="1">
        <v>307550</v>
      </c>
      <c r="MI30" s="1">
        <v>310860</v>
      </c>
      <c r="MJ30" s="1">
        <v>306115</v>
      </c>
      <c r="MK30" s="1">
        <v>301190</v>
      </c>
      <c r="ML30" s="1">
        <v>305555</v>
      </c>
      <c r="MM30" s="1">
        <v>311370</v>
      </c>
      <c r="MN30" s="1">
        <v>337880</v>
      </c>
      <c r="MO30" s="1">
        <v>337445</v>
      </c>
      <c r="MP30" s="1">
        <v>342220</v>
      </c>
      <c r="MQ30" s="1">
        <v>356725</v>
      </c>
      <c r="MR30" s="1">
        <v>351425</v>
      </c>
      <c r="MS30" s="1">
        <v>336935</v>
      </c>
      <c r="MT30" s="1">
        <v>296920</v>
      </c>
      <c r="MU30" s="1">
        <v>301180</v>
      </c>
      <c r="MV30" s="1">
        <v>275385</v>
      </c>
      <c r="MW30" s="1">
        <v>281715</v>
      </c>
      <c r="MX30" s="1">
        <v>289730</v>
      </c>
      <c r="MY30" s="1">
        <v>291270</v>
      </c>
      <c r="MZ30" s="1">
        <v>295345</v>
      </c>
      <c r="NA30" s="1">
        <v>297335</v>
      </c>
      <c r="NB30" s="1">
        <v>321050</v>
      </c>
      <c r="NC30" s="1">
        <v>328295</v>
      </c>
      <c r="ND30" s="1">
        <v>325280</v>
      </c>
      <c r="NE30" s="1">
        <v>333010</v>
      </c>
      <c r="NF30" s="1">
        <v>333815</v>
      </c>
      <c r="NG30" s="1">
        <v>336835</v>
      </c>
      <c r="NH30" s="1">
        <v>349935</v>
      </c>
      <c r="NI30" s="1">
        <v>339030</v>
      </c>
      <c r="NJ30" s="1">
        <v>263000</v>
      </c>
      <c r="NK30" s="1">
        <v>288505</v>
      </c>
      <c r="NL30" s="1">
        <v>277265</v>
      </c>
      <c r="NM30" s="1">
        <v>289320</v>
      </c>
      <c r="NN30" s="1">
        <v>286990</v>
      </c>
      <c r="NO30" s="1">
        <v>282680</v>
      </c>
      <c r="NP30" s="1">
        <v>279565</v>
      </c>
      <c r="NQ30" s="1">
        <v>284580</v>
      </c>
      <c r="NR30" s="1">
        <v>291250</v>
      </c>
      <c r="NS30" s="1">
        <v>333390</v>
      </c>
      <c r="NT30" s="1">
        <v>334895</v>
      </c>
      <c r="NU30" s="1">
        <v>339350</v>
      </c>
      <c r="NV30" s="1">
        <v>356560</v>
      </c>
      <c r="NW30" s="1">
        <v>371410</v>
      </c>
      <c r="NX30" s="1">
        <v>362935</v>
      </c>
      <c r="NY30" s="1">
        <v>345570</v>
      </c>
      <c r="NZ30" s="1">
        <v>351005</v>
      </c>
      <c r="OA30" s="1">
        <v>317235</v>
      </c>
      <c r="OB30" s="1">
        <v>332275</v>
      </c>
      <c r="OC30" s="1">
        <v>339945</v>
      </c>
      <c r="OD30" s="1">
        <v>343175</v>
      </c>
      <c r="OE30" s="1">
        <v>348050</v>
      </c>
      <c r="OF30" s="1">
        <v>354050</v>
      </c>
      <c r="OG30" s="1">
        <v>378545</v>
      </c>
      <c r="OH30" s="1">
        <v>385370</v>
      </c>
      <c r="OI30" s="1">
        <v>390770</v>
      </c>
      <c r="OJ30" s="1">
        <v>398515</v>
      </c>
      <c r="OK30" s="1">
        <v>401535</v>
      </c>
      <c r="OL30" s="1">
        <v>412025</v>
      </c>
      <c r="OM30" s="1">
        <v>422340</v>
      </c>
      <c r="ON30" s="1">
        <v>406675</v>
      </c>
      <c r="OO30" s="1">
        <v>231300</v>
      </c>
      <c r="OP30" s="1">
        <v>255445</v>
      </c>
      <c r="OQ30" s="1">
        <v>241065</v>
      </c>
      <c r="OR30" s="1">
        <v>256300</v>
      </c>
      <c r="OS30" s="1">
        <v>255165</v>
      </c>
      <c r="OT30" s="1">
        <v>247125</v>
      </c>
      <c r="OU30" s="1">
        <v>246110</v>
      </c>
      <c r="OV30" s="1">
        <v>254320</v>
      </c>
      <c r="OW30" s="1">
        <v>260145</v>
      </c>
      <c r="OX30" s="1">
        <v>309340</v>
      </c>
      <c r="OY30" s="1">
        <v>312035</v>
      </c>
      <c r="OZ30" s="1">
        <v>316515</v>
      </c>
      <c r="PA30" s="1">
        <v>331420</v>
      </c>
      <c r="PB30" s="1">
        <v>367320</v>
      </c>
      <c r="PC30" s="1">
        <v>366065</v>
      </c>
      <c r="PD30" s="1">
        <v>377670</v>
      </c>
      <c r="PE30" s="1">
        <v>382135</v>
      </c>
      <c r="PF30" s="1">
        <v>364760</v>
      </c>
      <c r="PG30" s="1">
        <v>382225</v>
      </c>
      <c r="PH30" s="1">
        <v>388305</v>
      </c>
      <c r="PI30" s="1">
        <v>391825</v>
      </c>
      <c r="PJ30" s="1">
        <v>396435</v>
      </c>
      <c r="PK30" s="1">
        <v>409565</v>
      </c>
      <c r="PL30" s="1">
        <v>430885</v>
      </c>
      <c r="PM30" s="1">
        <v>438285</v>
      </c>
      <c r="PN30" s="1">
        <v>444770</v>
      </c>
      <c r="PO30" s="1">
        <v>455710</v>
      </c>
      <c r="PP30" s="1">
        <v>460865</v>
      </c>
      <c r="PQ30" s="1">
        <v>472475</v>
      </c>
      <c r="PR30" s="1">
        <v>481550</v>
      </c>
      <c r="PS30" s="1">
        <v>476600</v>
      </c>
      <c r="PT30" s="1">
        <v>196295</v>
      </c>
      <c r="PU30" s="1">
        <v>218640</v>
      </c>
      <c r="PV30" s="1">
        <v>203705</v>
      </c>
      <c r="PW30" s="1">
        <v>216510</v>
      </c>
      <c r="PX30" s="1">
        <v>213975</v>
      </c>
      <c r="PY30" s="1">
        <v>206020</v>
      </c>
      <c r="PZ30" s="1">
        <v>205695</v>
      </c>
      <c r="QA30" s="1">
        <v>217780</v>
      </c>
      <c r="QB30" s="1">
        <v>221020</v>
      </c>
      <c r="QC30" s="1">
        <v>276135</v>
      </c>
      <c r="QD30" s="1">
        <v>278565</v>
      </c>
      <c r="QE30" s="1">
        <v>283185</v>
      </c>
      <c r="QF30" s="1">
        <v>296960</v>
      </c>
      <c r="QG30" s="1">
        <v>344535</v>
      </c>
      <c r="QH30" s="1">
        <v>343340</v>
      </c>
      <c r="QI30" s="1">
        <v>384590</v>
      </c>
      <c r="QJ30" s="1">
        <v>387230</v>
      </c>
      <c r="QK30" s="1">
        <v>398630</v>
      </c>
      <c r="QL30" s="1">
        <v>408425</v>
      </c>
      <c r="QM30" s="1">
        <v>407160</v>
      </c>
      <c r="QN30" s="1">
        <v>413705</v>
      </c>
      <c r="QO30" s="1">
        <v>416020</v>
      </c>
      <c r="QP30" s="1">
        <v>438730</v>
      </c>
      <c r="QQ30" s="1">
        <v>448420</v>
      </c>
      <c r="QR30" s="1">
        <v>454885</v>
      </c>
      <c r="QS30" s="1">
        <v>458770</v>
      </c>
      <c r="QT30" s="1">
        <v>464180</v>
      </c>
      <c r="QU30" s="1">
        <v>474695</v>
      </c>
      <c r="QV30" s="1">
        <v>490465</v>
      </c>
      <c r="QW30" s="1">
        <v>495945</v>
      </c>
      <c r="QX30" s="1">
        <v>505925</v>
      </c>
      <c r="QY30" s="1">
        <v>157705</v>
      </c>
      <c r="QZ30" s="1">
        <v>179095</v>
      </c>
      <c r="RA30" s="1">
        <v>163920</v>
      </c>
      <c r="RB30" s="1">
        <v>175530</v>
      </c>
      <c r="RC30" s="1">
        <v>174350</v>
      </c>
      <c r="RD30" s="1">
        <v>166760</v>
      </c>
      <c r="RE30" s="1">
        <v>166385</v>
      </c>
      <c r="RF30" s="1">
        <v>178755</v>
      </c>
      <c r="RG30" s="1">
        <v>182155</v>
      </c>
      <c r="RH30" s="1">
        <v>242860</v>
      </c>
      <c r="RI30" s="1">
        <v>242090</v>
      </c>
      <c r="RJ30" s="1">
        <v>244930</v>
      </c>
      <c r="RK30" s="1">
        <v>260340</v>
      </c>
      <c r="RL30" s="1">
        <v>307285</v>
      </c>
      <c r="RM30" s="1">
        <v>306840</v>
      </c>
      <c r="RN30" s="1">
        <v>360130</v>
      </c>
      <c r="RO30" s="1">
        <v>355495</v>
      </c>
      <c r="RP30" s="1">
        <v>403180</v>
      </c>
      <c r="RQ30" s="1">
        <v>397320</v>
      </c>
      <c r="RR30" s="1">
        <v>391745</v>
      </c>
      <c r="RS30" s="1">
        <v>397545</v>
      </c>
      <c r="RT30" s="1">
        <v>398320</v>
      </c>
      <c r="RU30" s="1">
        <v>424025</v>
      </c>
      <c r="RV30" s="1">
        <v>419705</v>
      </c>
      <c r="RW30" s="1">
        <v>432390</v>
      </c>
      <c r="RX30" s="1">
        <v>434055</v>
      </c>
      <c r="RY30" s="1">
        <v>437375</v>
      </c>
      <c r="RZ30" s="1">
        <v>451985</v>
      </c>
      <c r="SA30" s="1">
        <v>471665</v>
      </c>
      <c r="SB30" s="1">
        <v>467465</v>
      </c>
      <c r="SC30" s="1">
        <v>481085</v>
      </c>
      <c r="SD30" s="1">
        <v>124995</v>
      </c>
      <c r="SE30" s="1">
        <v>141125</v>
      </c>
      <c r="SF30" s="1">
        <v>131985</v>
      </c>
      <c r="SG30" s="1">
        <v>141315</v>
      </c>
      <c r="SH30" s="1">
        <v>141140</v>
      </c>
      <c r="SI30" s="1">
        <v>133490</v>
      </c>
      <c r="SJ30" s="1">
        <v>133760</v>
      </c>
      <c r="SK30" s="1">
        <v>144790</v>
      </c>
      <c r="SL30" s="1">
        <v>150165</v>
      </c>
      <c r="SM30" s="1">
        <v>209795</v>
      </c>
      <c r="SN30" s="1">
        <v>208860</v>
      </c>
      <c r="SO30" s="1">
        <v>209610</v>
      </c>
      <c r="SP30" s="1">
        <v>225550</v>
      </c>
      <c r="SQ30" s="1">
        <v>268765</v>
      </c>
      <c r="SR30" s="1">
        <v>268140</v>
      </c>
      <c r="SS30" s="1">
        <v>319945</v>
      </c>
      <c r="ST30" s="1">
        <v>311220</v>
      </c>
      <c r="SU30" s="1">
        <v>375770</v>
      </c>
      <c r="SV30" s="1">
        <v>358255</v>
      </c>
      <c r="SW30" s="1">
        <v>349515</v>
      </c>
      <c r="SX30" s="1">
        <v>351750</v>
      </c>
      <c r="SY30" s="1">
        <v>354620</v>
      </c>
      <c r="SZ30" s="1">
        <v>374410</v>
      </c>
      <c r="TA30" s="1">
        <v>363695</v>
      </c>
      <c r="TB30" s="1">
        <v>386115</v>
      </c>
      <c r="TC30" s="1">
        <v>386785</v>
      </c>
      <c r="TD30" s="1">
        <v>387385</v>
      </c>
      <c r="TE30" s="1">
        <v>399920</v>
      </c>
      <c r="TF30" s="1">
        <v>419725</v>
      </c>
      <c r="TG30" s="1">
        <v>416100</v>
      </c>
      <c r="TH30" s="1">
        <v>428000</v>
      </c>
      <c r="TI30" s="1">
        <v>98650</v>
      </c>
      <c r="TJ30" s="1">
        <v>112550</v>
      </c>
      <c r="TK30" s="1">
        <v>107775</v>
      </c>
      <c r="TL30" s="1">
        <v>111325</v>
      </c>
      <c r="TM30" s="1">
        <v>113560</v>
      </c>
      <c r="TN30" s="1">
        <v>107510</v>
      </c>
      <c r="TO30" s="1">
        <v>106215</v>
      </c>
      <c r="TP30" s="1">
        <v>114065</v>
      </c>
      <c r="TQ30" s="1">
        <v>118220</v>
      </c>
      <c r="TR30" s="1">
        <v>173185</v>
      </c>
      <c r="TS30" s="1">
        <v>172310</v>
      </c>
      <c r="TT30" s="1">
        <v>171060</v>
      </c>
      <c r="TU30" s="1">
        <v>185715</v>
      </c>
      <c r="TV30" s="1">
        <v>226655</v>
      </c>
      <c r="TW30" s="1">
        <v>222055</v>
      </c>
      <c r="TX30" s="1">
        <v>268395</v>
      </c>
      <c r="TY30" s="1">
        <v>259030</v>
      </c>
      <c r="TZ30" s="1">
        <v>326690</v>
      </c>
      <c r="UA30" s="1">
        <v>302025</v>
      </c>
      <c r="UB30" s="1">
        <v>294605</v>
      </c>
      <c r="UC30" s="1">
        <v>297605</v>
      </c>
      <c r="UD30" s="1">
        <v>299290</v>
      </c>
      <c r="UE30" s="1">
        <v>311105</v>
      </c>
      <c r="UF30" s="1">
        <v>298675</v>
      </c>
      <c r="UG30" s="1">
        <v>333865</v>
      </c>
      <c r="UH30" s="1">
        <v>332275</v>
      </c>
      <c r="UI30" s="1">
        <v>334665</v>
      </c>
      <c r="UJ30" s="1">
        <v>343495</v>
      </c>
      <c r="UK30" s="1">
        <v>364650</v>
      </c>
      <c r="UL30" s="1">
        <v>359165</v>
      </c>
      <c r="UM30" s="1">
        <v>368390</v>
      </c>
      <c r="UN30" s="1">
        <v>74925</v>
      </c>
      <c r="UO30" s="1">
        <v>86320</v>
      </c>
      <c r="UP30" s="1">
        <v>89530</v>
      </c>
      <c r="UQ30" s="1">
        <v>84580</v>
      </c>
      <c r="UR30" s="1">
        <v>85775</v>
      </c>
      <c r="US30" s="1">
        <v>79690</v>
      </c>
      <c r="UT30" s="1">
        <v>77340</v>
      </c>
      <c r="UU30" s="1">
        <v>83810</v>
      </c>
      <c r="UV30" s="1">
        <v>89455</v>
      </c>
      <c r="UW30" s="1">
        <v>136910</v>
      </c>
      <c r="UX30" s="1">
        <v>135295</v>
      </c>
      <c r="UY30" s="1">
        <v>133865</v>
      </c>
      <c r="UZ30" s="1">
        <v>146010</v>
      </c>
      <c r="VA30" s="1">
        <v>177635</v>
      </c>
      <c r="VB30" s="1">
        <v>174290</v>
      </c>
      <c r="VC30" s="1">
        <v>210785</v>
      </c>
      <c r="VD30" s="1">
        <v>199305</v>
      </c>
      <c r="VE30" s="1">
        <v>261795</v>
      </c>
      <c r="VF30" s="1">
        <v>238040</v>
      </c>
      <c r="VG30" s="1">
        <v>231080</v>
      </c>
      <c r="VH30" s="1">
        <v>230975</v>
      </c>
      <c r="VI30" s="1">
        <v>232330</v>
      </c>
      <c r="VJ30" s="1">
        <v>235805</v>
      </c>
      <c r="VK30" s="1">
        <v>225920</v>
      </c>
      <c r="VL30" s="1">
        <v>271545</v>
      </c>
      <c r="VM30" s="1">
        <v>269295</v>
      </c>
      <c r="VN30" s="1">
        <v>268755</v>
      </c>
      <c r="VO30" s="1">
        <v>274600</v>
      </c>
      <c r="VP30" s="1">
        <v>301655</v>
      </c>
      <c r="VQ30" s="1">
        <v>289785</v>
      </c>
      <c r="VR30" s="1">
        <v>291995</v>
      </c>
      <c r="VS30" s="1">
        <v>55780</v>
      </c>
      <c r="VT30" s="1">
        <v>67670</v>
      </c>
      <c r="VU30" s="1">
        <v>89955</v>
      </c>
      <c r="VV30" s="1">
        <v>57340</v>
      </c>
      <c r="VW30" s="1">
        <v>57320</v>
      </c>
      <c r="VX30" s="1">
        <v>52575</v>
      </c>
      <c r="VY30" s="1">
        <v>50570</v>
      </c>
      <c r="VZ30" s="1">
        <v>55140</v>
      </c>
      <c r="WA30" s="1">
        <v>58515</v>
      </c>
      <c r="WB30" s="1">
        <v>95635</v>
      </c>
      <c r="WC30" s="1">
        <v>94890</v>
      </c>
      <c r="WD30" s="1">
        <v>94265</v>
      </c>
      <c r="WE30" s="1">
        <v>104965</v>
      </c>
      <c r="WF30" s="1">
        <v>125695</v>
      </c>
      <c r="WG30" s="1">
        <v>126985</v>
      </c>
      <c r="WH30" s="1">
        <v>149015</v>
      </c>
      <c r="WI30" s="1">
        <v>135925</v>
      </c>
      <c r="WJ30" s="1">
        <v>181200</v>
      </c>
      <c r="WK30" s="1">
        <v>163590</v>
      </c>
      <c r="WL30" s="1">
        <v>156205</v>
      </c>
      <c r="WM30" s="1">
        <v>155485</v>
      </c>
      <c r="WN30" s="1">
        <v>156795</v>
      </c>
      <c r="WO30" s="1">
        <v>157675</v>
      </c>
      <c r="WP30" s="1">
        <v>151320</v>
      </c>
      <c r="WQ30" s="1">
        <v>188405</v>
      </c>
      <c r="WR30" s="1">
        <v>185650</v>
      </c>
      <c r="WS30" s="1">
        <v>183080</v>
      </c>
      <c r="WT30" s="1">
        <v>186450</v>
      </c>
      <c r="WU30" s="1">
        <v>214970</v>
      </c>
      <c r="WV30" s="1">
        <v>202910</v>
      </c>
      <c r="WW30" s="1">
        <v>197540</v>
      </c>
      <c r="WX30" s="1">
        <v>44965</v>
      </c>
      <c r="WY30" s="1">
        <v>59335</v>
      </c>
      <c r="WZ30" s="1">
        <v>135340</v>
      </c>
      <c r="XA30" s="1">
        <v>33525</v>
      </c>
      <c r="XB30" s="1">
        <v>31780</v>
      </c>
      <c r="XC30" s="1">
        <v>28605</v>
      </c>
      <c r="XD30" s="1">
        <v>26960</v>
      </c>
      <c r="XE30" s="1">
        <v>28405</v>
      </c>
      <c r="XF30" s="1">
        <v>29480</v>
      </c>
      <c r="XG30" s="1">
        <v>45140</v>
      </c>
      <c r="XH30" s="1">
        <v>45240</v>
      </c>
      <c r="XI30" s="1">
        <v>47910</v>
      </c>
      <c r="XJ30" s="1">
        <v>54655</v>
      </c>
      <c r="XK30" s="1">
        <v>66250</v>
      </c>
      <c r="XL30" s="1">
        <v>71060</v>
      </c>
      <c r="XM30" s="1">
        <v>79630</v>
      </c>
      <c r="XN30" s="1">
        <v>66465</v>
      </c>
      <c r="XO30" s="1">
        <v>84655</v>
      </c>
      <c r="XP30" s="1">
        <v>83860</v>
      </c>
      <c r="XQ30" s="1">
        <v>80515</v>
      </c>
      <c r="XR30" s="1">
        <v>78575</v>
      </c>
      <c r="XS30" s="1">
        <v>80240</v>
      </c>
      <c r="XT30" s="1">
        <v>80695</v>
      </c>
      <c r="XU30" s="1">
        <v>79070</v>
      </c>
      <c r="XV30" s="1">
        <v>97880</v>
      </c>
      <c r="XW30" s="1">
        <v>100250</v>
      </c>
      <c r="XX30" s="1">
        <v>91975</v>
      </c>
      <c r="XY30" s="1">
        <v>92415</v>
      </c>
      <c r="XZ30" s="1">
        <v>107665</v>
      </c>
      <c r="YA30" s="1">
        <v>115460</v>
      </c>
      <c r="YB30" s="1">
        <v>100065</v>
      </c>
    </row>
    <row r="31" spans="1:652" x14ac:dyDescent="0.2">
      <c r="A31" t="s">
        <v>52</v>
      </c>
      <c r="B31" s="1">
        <v>3207785</v>
      </c>
      <c r="C31" s="1">
        <v>3139305</v>
      </c>
      <c r="D31" s="1">
        <v>3030685</v>
      </c>
      <c r="E31" s="1">
        <v>3232070</v>
      </c>
      <c r="F31" s="1">
        <v>3236400</v>
      </c>
      <c r="G31" s="1">
        <v>3290875</v>
      </c>
      <c r="H31" s="1">
        <v>3289295</v>
      </c>
      <c r="I31" s="1">
        <v>3277760</v>
      </c>
      <c r="J31" s="1">
        <v>3418970</v>
      </c>
      <c r="K31" s="1">
        <v>3431275</v>
      </c>
      <c r="L31" s="1">
        <v>3382915</v>
      </c>
      <c r="M31" s="1">
        <v>3468335</v>
      </c>
      <c r="N31" s="1">
        <v>3466875</v>
      </c>
      <c r="O31" s="1">
        <v>3081270</v>
      </c>
      <c r="P31" s="1">
        <v>3129560</v>
      </c>
      <c r="Q31" s="1">
        <v>2772685</v>
      </c>
      <c r="R31" s="1">
        <v>2906580</v>
      </c>
      <c r="S31" s="1">
        <v>2486855</v>
      </c>
      <c r="T31" s="1">
        <v>2653775</v>
      </c>
      <c r="U31" s="1">
        <v>2772560</v>
      </c>
      <c r="V31" s="1">
        <v>2821180</v>
      </c>
      <c r="W31" s="1">
        <v>2866365</v>
      </c>
      <c r="X31" s="1">
        <v>2894575</v>
      </c>
      <c r="Y31" s="1">
        <v>3019800</v>
      </c>
      <c r="Z31" s="1">
        <v>2935555</v>
      </c>
      <c r="AA31" s="1">
        <v>3047850</v>
      </c>
      <c r="AB31" s="1">
        <v>3197300</v>
      </c>
      <c r="AC31" s="1">
        <v>3224000</v>
      </c>
      <c r="AD31" s="1">
        <v>3085655</v>
      </c>
      <c r="AE31" s="1">
        <v>3193540</v>
      </c>
      <c r="AF31" s="1">
        <v>3254995</v>
      </c>
      <c r="AG31">
        <v>655</v>
      </c>
      <c r="AH31">
        <v>605</v>
      </c>
      <c r="AI31">
        <v>435</v>
      </c>
      <c r="AJ31" s="1">
        <v>1195</v>
      </c>
      <c r="AK31" s="1">
        <v>1440</v>
      </c>
      <c r="AL31" s="1">
        <v>1685</v>
      </c>
      <c r="AM31" s="1">
        <v>1555</v>
      </c>
      <c r="AN31" s="1">
        <v>2010</v>
      </c>
      <c r="AO31" s="1">
        <v>2130</v>
      </c>
      <c r="AP31" s="1">
        <v>3280</v>
      </c>
      <c r="AQ31" s="1">
        <v>1720</v>
      </c>
      <c r="AR31" s="1">
        <v>2545</v>
      </c>
      <c r="AS31" s="1">
        <v>2675</v>
      </c>
      <c r="AT31" s="1">
        <v>3650</v>
      </c>
      <c r="AU31" s="1">
        <v>2650</v>
      </c>
      <c r="AV31" s="1">
        <v>2130</v>
      </c>
      <c r="AW31" s="1">
        <v>2205</v>
      </c>
      <c r="AX31" s="1">
        <v>1280</v>
      </c>
      <c r="AY31" s="1">
        <v>1410</v>
      </c>
      <c r="AZ31" s="1">
        <v>1300</v>
      </c>
      <c r="BA31" s="1">
        <v>2385</v>
      </c>
      <c r="BB31" s="1">
        <v>1270</v>
      </c>
      <c r="BC31">
        <v>850</v>
      </c>
      <c r="BD31">
        <v>900</v>
      </c>
      <c r="BE31">
        <v>875</v>
      </c>
      <c r="BF31" t="s">
        <v>51</v>
      </c>
      <c r="BG31" t="s">
        <v>51</v>
      </c>
      <c r="BH31" t="s">
        <v>51</v>
      </c>
      <c r="BI31" t="s">
        <v>51</v>
      </c>
      <c r="BJ31" t="s">
        <v>51</v>
      </c>
      <c r="BK31" t="s">
        <v>51</v>
      </c>
      <c r="BL31">
        <v>500</v>
      </c>
      <c r="BM31">
        <v>430</v>
      </c>
      <c r="BN31">
        <v>485</v>
      </c>
      <c r="BO31" s="1">
        <v>1125</v>
      </c>
      <c r="BP31" s="1">
        <v>1755</v>
      </c>
      <c r="BQ31" s="1">
        <v>1850</v>
      </c>
      <c r="BR31" s="1">
        <v>1710</v>
      </c>
      <c r="BS31" s="1">
        <v>1850</v>
      </c>
      <c r="BT31" s="1">
        <v>2160</v>
      </c>
      <c r="BU31" s="1">
        <v>3130</v>
      </c>
      <c r="BV31" s="1">
        <v>1595</v>
      </c>
      <c r="BW31" s="1">
        <v>2195</v>
      </c>
      <c r="BX31" s="1">
        <v>2140</v>
      </c>
      <c r="BY31" s="1">
        <v>2230</v>
      </c>
      <c r="BZ31" s="1">
        <v>3365</v>
      </c>
      <c r="CA31" s="1">
        <v>1270</v>
      </c>
      <c r="CB31" s="1">
        <v>2810</v>
      </c>
      <c r="CC31" s="1">
        <v>1040</v>
      </c>
      <c r="CD31">
        <v>990</v>
      </c>
      <c r="CE31" s="1">
        <v>1035</v>
      </c>
      <c r="CF31" s="1">
        <v>1185</v>
      </c>
      <c r="CG31" s="1">
        <v>1055</v>
      </c>
      <c r="CH31">
        <v>835</v>
      </c>
      <c r="CI31">
        <v>840</v>
      </c>
      <c r="CJ31">
        <v>855</v>
      </c>
      <c r="CK31" t="s">
        <v>51</v>
      </c>
      <c r="CL31" t="s">
        <v>51</v>
      </c>
      <c r="CM31" t="s">
        <v>51</v>
      </c>
      <c r="CN31" t="s">
        <v>51</v>
      </c>
      <c r="CO31" t="s">
        <v>51</v>
      </c>
      <c r="CP31" t="s">
        <v>51</v>
      </c>
      <c r="CQ31">
        <v>430</v>
      </c>
      <c r="CR31">
        <v>410</v>
      </c>
      <c r="CS31">
        <v>465</v>
      </c>
      <c r="CT31" s="1">
        <v>1335</v>
      </c>
      <c r="CU31" s="1">
        <v>1440</v>
      </c>
      <c r="CV31" s="1">
        <v>1885</v>
      </c>
      <c r="CW31" s="1">
        <v>1420</v>
      </c>
      <c r="CX31" s="1">
        <v>1440</v>
      </c>
      <c r="CY31" s="1">
        <v>1395</v>
      </c>
      <c r="CZ31" s="1">
        <v>1745</v>
      </c>
      <c r="DA31" s="1">
        <v>1065</v>
      </c>
      <c r="DB31" s="1">
        <v>1480</v>
      </c>
      <c r="DC31" s="1">
        <v>1490</v>
      </c>
      <c r="DD31" s="1">
        <v>1300</v>
      </c>
      <c r="DE31" s="1">
        <v>1785</v>
      </c>
      <c r="DF31" s="1">
        <v>1655</v>
      </c>
      <c r="DG31" s="1">
        <v>1500</v>
      </c>
      <c r="DH31">
        <v>795</v>
      </c>
      <c r="DI31">
        <v>650</v>
      </c>
      <c r="DJ31">
        <v>735</v>
      </c>
      <c r="DK31">
        <v>770</v>
      </c>
      <c r="DL31">
        <v>770</v>
      </c>
      <c r="DM31">
        <v>640</v>
      </c>
      <c r="DN31">
        <v>635</v>
      </c>
      <c r="DO31">
        <v>615</v>
      </c>
      <c r="DP31" t="s">
        <v>51</v>
      </c>
      <c r="DQ31" t="s">
        <v>51</v>
      </c>
      <c r="DR31" t="s">
        <v>51</v>
      </c>
      <c r="DS31" t="s">
        <v>51</v>
      </c>
      <c r="DT31" t="s">
        <v>51</v>
      </c>
      <c r="DU31" t="s">
        <v>51</v>
      </c>
      <c r="DV31">
        <v>440</v>
      </c>
      <c r="DW31">
        <v>410</v>
      </c>
      <c r="DX31">
        <v>335</v>
      </c>
      <c r="DY31" s="1">
        <v>1020</v>
      </c>
      <c r="DZ31" s="1">
        <v>1210</v>
      </c>
      <c r="EA31" s="1">
        <v>1285</v>
      </c>
      <c r="EB31" s="1">
        <v>1250</v>
      </c>
      <c r="EC31" s="1">
        <v>1230</v>
      </c>
      <c r="ED31" s="1">
        <v>1320</v>
      </c>
      <c r="EE31" s="1">
        <v>2125</v>
      </c>
      <c r="EF31" s="1">
        <v>1230</v>
      </c>
      <c r="EG31" s="1">
        <v>1425</v>
      </c>
      <c r="EH31" s="1">
        <v>1510</v>
      </c>
      <c r="EI31" s="1">
        <v>1320</v>
      </c>
      <c r="EJ31" s="1">
        <v>1670</v>
      </c>
      <c r="EK31" s="1">
        <v>1450</v>
      </c>
      <c r="EL31" s="1">
        <v>1400</v>
      </c>
      <c r="EM31" s="1">
        <v>1195</v>
      </c>
      <c r="EN31">
        <v>755</v>
      </c>
      <c r="EO31">
        <v>765</v>
      </c>
      <c r="EP31">
        <v>915</v>
      </c>
      <c r="EQ31">
        <v>625</v>
      </c>
      <c r="ER31">
        <v>650</v>
      </c>
      <c r="ES31">
        <v>710</v>
      </c>
      <c r="ET31">
        <v>630</v>
      </c>
      <c r="EU31" t="s">
        <v>51</v>
      </c>
      <c r="EV31" t="s">
        <v>51</v>
      </c>
      <c r="EW31" t="s">
        <v>51</v>
      </c>
      <c r="EX31" t="s">
        <v>51</v>
      </c>
      <c r="EY31" t="s">
        <v>51</v>
      </c>
      <c r="EZ31" t="s">
        <v>51</v>
      </c>
      <c r="FA31" s="1">
        <v>1210</v>
      </c>
      <c r="FB31">
        <v>720</v>
      </c>
      <c r="FC31">
        <v>805</v>
      </c>
      <c r="FD31" s="1">
        <v>1315</v>
      </c>
      <c r="FE31" s="1">
        <v>1485</v>
      </c>
      <c r="FF31" s="1">
        <v>2055</v>
      </c>
      <c r="FG31" s="1">
        <v>2210</v>
      </c>
      <c r="FH31" s="1">
        <v>1770</v>
      </c>
      <c r="FI31" s="1">
        <v>1805</v>
      </c>
      <c r="FJ31" s="1">
        <v>2490</v>
      </c>
      <c r="FK31" s="1">
        <v>1505</v>
      </c>
      <c r="FL31" s="1">
        <v>1865</v>
      </c>
      <c r="FM31" s="1">
        <v>2055</v>
      </c>
      <c r="FN31" s="1">
        <v>1720</v>
      </c>
      <c r="FO31" s="1">
        <v>2110</v>
      </c>
      <c r="FP31" s="1">
        <v>1625</v>
      </c>
      <c r="FQ31" s="1">
        <v>1565</v>
      </c>
      <c r="FR31" s="1">
        <v>1265</v>
      </c>
      <c r="FS31">
        <v>845</v>
      </c>
      <c r="FT31">
        <v>975</v>
      </c>
      <c r="FU31" s="1">
        <v>1105</v>
      </c>
      <c r="FV31" s="1">
        <v>1000</v>
      </c>
      <c r="FW31">
        <v>935</v>
      </c>
      <c r="FX31" s="1">
        <v>1000</v>
      </c>
      <c r="FY31">
        <v>840</v>
      </c>
      <c r="FZ31" t="s">
        <v>51</v>
      </c>
      <c r="GA31" t="s">
        <v>51</v>
      </c>
      <c r="GB31" t="s">
        <v>51</v>
      </c>
      <c r="GC31" t="s">
        <v>51</v>
      </c>
      <c r="GD31" t="s">
        <v>51</v>
      </c>
      <c r="GE31" t="s">
        <v>51</v>
      </c>
      <c r="GF31" s="1">
        <v>34910</v>
      </c>
      <c r="GG31" s="1">
        <v>17575</v>
      </c>
      <c r="GH31" s="1">
        <v>21020</v>
      </c>
      <c r="GI31" s="1">
        <v>19200</v>
      </c>
      <c r="GJ31" s="1">
        <v>21410</v>
      </c>
      <c r="GK31" s="1">
        <v>27680</v>
      </c>
      <c r="GL31" s="1">
        <v>32300</v>
      </c>
      <c r="GM31" s="1">
        <v>22060</v>
      </c>
      <c r="GN31" s="1">
        <v>16360</v>
      </c>
      <c r="GO31" s="1">
        <v>6945</v>
      </c>
      <c r="GP31" s="1">
        <v>4970</v>
      </c>
      <c r="GQ31" s="1">
        <v>5440</v>
      </c>
      <c r="GR31" s="1">
        <v>5620</v>
      </c>
      <c r="GS31" s="1">
        <v>2040</v>
      </c>
      <c r="GT31" s="1">
        <v>2180</v>
      </c>
      <c r="GU31" s="1">
        <v>1755</v>
      </c>
      <c r="GV31" s="1">
        <v>1535</v>
      </c>
      <c r="GW31" s="1">
        <v>1430</v>
      </c>
      <c r="GX31" s="1">
        <v>1045</v>
      </c>
      <c r="GY31" s="1">
        <v>1150</v>
      </c>
      <c r="GZ31" s="1">
        <v>1125</v>
      </c>
      <c r="HA31" s="1">
        <v>1045</v>
      </c>
      <c r="HB31" s="1">
        <v>1190</v>
      </c>
      <c r="HC31" s="1">
        <v>1000</v>
      </c>
      <c r="HD31">
        <v>845</v>
      </c>
      <c r="HE31" t="s">
        <v>51</v>
      </c>
      <c r="HF31" t="s">
        <v>51</v>
      </c>
      <c r="HG31" t="s">
        <v>51</v>
      </c>
      <c r="HH31" t="s">
        <v>51</v>
      </c>
      <c r="HI31" t="s">
        <v>51</v>
      </c>
      <c r="HJ31" t="s">
        <v>51</v>
      </c>
      <c r="HK31" s="1">
        <v>77615</v>
      </c>
      <c r="HL31" s="1">
        <v>62350</v>
      </c>
      <c r="HM31" s="1">
        <v>65455</v>
      </c>
      <c r="HN31" s="1">
        <v>64230</v>
      </c>
      <c r="HO31" s="1">
        <v>65425</v>
      </c>
      <c r="HP31" s="1">
        <v>70605</v>
      </c>
      <c r="HQ31" s="1">
        <v>69675</v>
      </c>
      <c r="HR31" s="1">
        <v>64680</v>
      </c>
      <c r="HS31" s="1">
        <v>62860</v>
      </c>
      <c r="HT31" s="1">
        <v>44635</v>
      </c>
      <c r="HU31" s="1">
        <v>36255</v>
      </c>
      <c r="HV31" s="1">
        <v>36760</v>
      </c>
      <c r="HW31" s="1">
        <v>37830</v>
      </c>
      <c r="HX31" s="1">
        <v>4225</v>
      </c>
      <c r="HY31" s="1">
        <v>4880</v>
      </c>
      <c r="HZ31" s="1">
        <v>2410</v>
      </c>
      <c r="IA31" s="1">
        <v>2505</v>
      </c>
      <c r="IB31" s="1">
        <v>1545</v>
      </c>
      <c r="IC31" s="1">
        <v>1465</v>
      </c>
      <c r="ID31" s="1">
        <v>1565</v>
      </c>
      <c r="IE31" s="1">
        <v>1750</v>
      </c>
      <c r="IF31" s="1">
        <v>1550</v>
      </c>
      <c r="IG31" s="1">
        <v>1660</v>
      </c>
      <c r="IH31" s="1">
        <v>1725</v>
      </c>
      <c r="II31" s="1">
        <v>1810</v>
      </c>
      <c r="IJ31" t="s">
        <v>51</v>
      </c>
      <c r="IK31" s="1">
        <v>2140</v>
      </c>
      <c r="IL31" t="s">
        <v>51</v>
      </c>
      <c r="IM31" t="s">
        <v>51</v>
      </c>
      <c r="IN31" t="s">
        <v>51</v>
      </c>
      <c r="IO31" t="s">
        <v>51</v>
      </c>
      <c r="IP31" s="1">
        <v>105515</v>
      </c>
      <c r="IQ31" s="1">
        <v>88120</v>
      </c>
      <c r="IR31" s="1">
        <v>91225</v>
      </c>
      <c r="IS31" s="1">
        <v>87480</v>
      </c>
      <c r="IT31" s="1">
        <v>87770</v>
      </c>
      <c r="IU31" s="1">
        <v>93960</v>
      </c>
      <c r="IV31" s="1">
        <v>92615</v>
      </c>
      <c r="IW31" s="1">
        <v>89425</v>
      </c>
      <c r="IX31" s="1">
        <v>92685</v>
      </c>
      <c r="IY31" s="1">
        <v>76910</v>
      </c>
      <c r="IZ31" s="1">
        <v>71700</v>
      </c>
      <c r="JA31" s="1">
        <v>72450</v>
      </c>
      <c r="JB31" s="1">
        <v>74310</v>
      </c>
      <c r="JC31" s="1">
        <v>26740</v>
      </c>
      <c r="JD31" s="1">
        <v>34975</v>
      </c>
      <c r="JE31" s="1">
        <v>7865</v>
      </c>
      <c r="JF31" s="1">
        <v>10425</v>
      </c>
      <c r="JG31" s="1">
        <v>3470</v>
      </c>
      <c r="JH31" s="1">
        <v>3545</v>
      </c>
      <c r="JI31" s="1">
        <v>4440</v>
      </c>
      <c r="JJ31" s="1">
        <v>4145</v>
      </c>
      <c r="JK31" s="1">
        <v>4190</v>
      </c>
      <c r="JL31" s="1">
        <v>5515</v>
      </c>
      <c r="JM31" s="1">
        <v>6240</v>
      </c>
      <c r="JN31" s="1">
        <v>6625</v>
      </c>
      <c r="JO31" s="1">
        <v>8065</v>
      </c>
      <c r="JP31" s="1">
        <v>10870</v>
      </c>
      <c r="JQ31" s="1">
        <v>8335</v>
      </c>
      <c r="JR31" s="1">
        <v>18585</v>
      </c>
      <c r="JS31" s="1">
        <v>16455</v>
      </c>
      <c r="JT31" s="1">
        <v>5920</v>
      </c>
      <c r="JU31" s="1">
        <v>136100</v>
      </c>
      <c r="JV31" s="1">
        <v>116820</v>
      </c>
      <c r="JW31" s="1">
        <v>123545</v>
      </c>
      <c r="JX31" s="1">
        <v>123470</v>
      </c>
      <c r="JY31" s="1">
        <v>124370</v>
      </c>
      <c r="JZ31" s="1">
        <v>135760</v>
      </c>
      <c r="KA31" s="1">
        <v>137555</v>
      </c>
      <c r="KB31" s="1">
        <v>134935</v>
      </c>
      <c r="KC31" s="1">
        <v>141190</v>
      </c>
      <c r="KD31" s="1">
        <v>121400</v>
      </c>
      <c r="KE31" s="1">
        <v>115330</v>
      </c>
      <c r="KF31" s="1">
        <v>117300</v>
      </c>
      <c r="KG31" s="1">
        <v>111775</v>
      </c>
      <c r="KH31" s="1">
        <v>70525</v>
      </c>
      <c r="KI31" s="1">
        <v>74030</v>
      </c>
      <c r="KJ31" s="1">
        <v>61000</v>
      </c>
      <c r="KK31" s="1">
        <v>67670</v>
      </c>
      <c r="KL31" s="1">
        <v>25850</v>
      </c>
      <c r="KM31" s="1">
        <v>28595</v>
      </c>
      <c r="KN31" s="1">
        <v>35835</v>
      </c>
      <c r="KO31" s="1">
        <v>36455</v>
      </c>
      <c r="KP31" s="1">
        <v>37960</v>
      </c>
      <c r="KQ31" s="1">
        <v>49080</v>
      </c>
      <c r="KR31" s="1">
        <v>55950</v>
      </c>
      <c r="KS31" s="1">
        <v>52135</v>
      </c>
      <c r="KT31" s="1">
        <v>64925</v>
      </c>
      <c r="KU31" s="1">
        <v>75810</v>
      </c>
      <c r="KV31" s="1">
        <v>71900</v>
      </c>
      <c r="KW31" s="1">
        <v>86865</v>
      </c>
      <c r="KX31" s="1">
        <v>91855</v>
      </c>
      <c r="KY31" s="1">
        <v>71605</v>
      </c>
      <c r="KZ31" s="1">
        <v>156350</v>
      </c>
      <c r="LA31" s="1">
        <v>139920</v>
      </c>
      <c r="LB31" s="1">
        <v>150015</v>
      </c>
      <c r="LC31" s="1">
        <v>153815</v>
      </c>
      <c r="LD31" s="1">
        <v>158490</v>
      </c>
      <c r="LE31" s="1">
        <v>167620</v>
      </c>
      <c r="LF31" s="1">
        <v>172775</v>
      </c>
      <c r="LG31" s="1">
        <v>174855</v>
      </c>
      <c r="LH31" s="1">
        <v>180215</v>
      </c>
      <c r="LI31" s="1">
        <v>156950</v>
      </c>
      <c r="LJ31" s="1">
        <v>151960</v>
      </c>
      <c r="LK31" s="1">
        <v>155520</v>
      </c>
      <c r="LL31" s="1">
        <v>146810</v>
      </c>
      <c r="LM31" s="1">
        <v>120865</v>
      </c>
      <c r="LN31" s="1">
        <v>125885</v>
      </c>
      <c r="LO31" s="1">
        <v>112490</v>
      </c>
      <c r="LP31" s="1">
        <v>124120</v>
      </c>
      <c r="LQ31" s="1">
        <v>76765</v>
      </c>
      <c r="LR31" s="1">
        <v>85390</v>
      </c>
      <c r="LS31" s="1">
        <v>95445</v>
      </c>
      <c r="LT31" s="1">
        <v>96400</v>
      </c>
      <c r="LU31" s="1">
        <v>99795</v>
      </c>
      <c r="LV31" s="1">
        <v>113305</v>
      </c>
      <c r="LW31" s="1">
        <v>117625</v>
      </c>
      <c r="LX31" s="1">
        <v>106630</v>
      </c>
      <c r="LY31" s="1">
        <v>120070</v>
      </c>
      <c r="LZ31" s="1">
        <v>132430</v>
      </c>
      <c r="MA31" s="1">
        <v>131385</v>
      </c>
      <c r="MB31" s="1">
        <v>137505</v>
      </c>
      <c r="MC31" s="1">
        <v>141840</v>
      </c>
      <c r="MD31" s="1">
        <v>140505</v>
      </c>
      <c r="ME31" s="1">
        <v>186220</v>
      </c>
      <c r="MF31" s="1">
        <v>169155</v>
      </c>
      <c r="MG31" s="1">
        <v>181890</v>
      </c>
      <c r="MH31" s="1">
        <v>186810</v>
      </c>
      <c r="MI31" s="1">
        <v>187625</v>
      </c>
      <c r="MJ31" s="1">
        <v>199240</v>
      </c>
      <c r="MK31" s="1">
        <v>205005</v>
      </c>
      <c r="ML31" s="1">
        <v>202825</v>
      </c>
      <c r="MM31" s="1">
        <v>204970</v>
      </c>
      <c r="MN31" s="1">
        <v>186600</v>
      </c>
      <c r="MO31" s="1">
        <v>182260</v>
      </c>
      <c r="MP31" s="1">
        <v>187560</v>
      </c>
      <c r="MQ31" s="1">
        <v>177790</v>
      </c>
      <c r="MR31" s="1">
        <v>156175</v>
      </c>
      <c r="MS31" s="1">
        <v>163950</v>
      </c>
      <c r="MT31" s="1">
        <v>146710</v>
      </c>
      <c r="MU31" s="1">
        <v>157060</v>
      </c>
      <c r="MV31" s="1">
        <v>117655</v>
      </c>
      <c r="MW31" s="1">
        <v>128495</v>
      </c>
      <c r="MX31" s="1">
        <v>138200</v>
      </c>
      <c r="MY31" s="1">
        <v>141900</v>
      </c>
      <c r="MZ31" s="1">
        <v>145330</v>
      </c>
      <c r="NA31" s="1">
        <v>155880</v>
      </c>
      <c r="NB31" s="1">
        <v>161690</v>
      </c>
      <c r="NC31" s="1">
        <v>144540</v>
      </c>
      <c r="ND31" s="1">
        <v>156960</v>
      </c>
      <c r="NE31" s="1">
        <v>172055</v>
      </c>
      <c r="NF31" s="1">
        <v>174070</v>
      </c>
      <c r="NG31" s="1">
        <v>165475</v>
      </c>
      <c r="NH31" s="1">
        <v>175020</v>
      </c>
      <c r="NI31" s="1">
        <v>184060</v>
      </c>
      <c r="NJ31" s="1">
        <v>217015</v>
      </c>
      <c r="NK31" s="1">
        <v>202530</v>
      </c>
      <c r="NL31" s="1">
        <v>211785</v>
      </c>
      <c r="NM31" s="1">
        <v>211155</v>
      </c>
      <c r="NN31" s="1">
        <v>214500</v>
      </c>
      <c r="NO31" s="1">
        <v>222365</v>
      </c>
      <c r="NP31" s="1">
        <v>226495</v>
      </c>
      <c r="NQ31" s="1">
        <v>224590</v>
      </c>
      <c r="NR31" s="1">
        <v>226510</v>
      </c>
      <c r="NS31" s="1">
        <v>212745</v>
      </c>
      <c r="NT31" s="1">
        <v>209575</v>
      </c>
      <c r="NU31" s="1">
        <v>217025</v>
      </c>
      <c r="NV31" s="1">
        <v>208180</v>
      </c>
      <c r="NW31" s="1">
        <v>182155</v>
      </c>
      <c r="NX31" s="1">
        <v>187820</v>
      </c>
      <c r="NY31" s="1">
        <v>161115</v>
      </c>
      <c r="NZ31" s="1">
        <v>169965</v>
      </c>
      <c r="OA31" s="1">
        <v>139600</v>
      </c>
      <c r="OB31" s="1">
        <v>149245</v>
      </c>
      <c r="OC31" s="1">
        <v>159085</v>
      </c>
      <c r="OD31" s="1">
        <v>164505</v>
      </c>
      <c r="OE31" s="1">
        <v>169090</v>
      </c>
      <c r="OF31" s="1">
        <v>176445</v>
      </c>
      <c r="OG31" s="1">
        <v>178340</v>
      </c>
      <c r="OH31" s="1">
        <v>164790</v>
      </c>
      <c r="OI31" s="1">
        <v>172535</v>
      </c>
      <c r="OJ31" s="1">
        <v>187385</v>
      </c>
      <c r="OK31" s="1">
        <v>189405</v>
      </c>
      <c r="OL31" s="1">
        <v>172420</v>
      </c>
      <c r="OM31" s="1">
        <v>185775</v>
      </c>
      <c r="ON31" s="1">
        <v>200915</v>
      </c>
      <c r="OO31" s="1">
        <v>245630</v>
      </c>
      <c r="OP31" s="1">
        <v>237985</v>
      </c>
      <c r="OQ31" s="1">
        <v>249390</v>
      </c>
      <c r="OR31" s="1">
        <v>245865</v>
      </c>
      <c r="OS31" s="1">
        <v>248755</v>
      </c>
      <c r="OT31" s="1">
        <v>258170</v>
      </c>
      <c r="OU31" s="1">
        <v>260825</v>
      </c>
      <c r="OV31" s="1">
        <v>256590</v>
      </c>
      <c r="OW31" s="1">
        <v>263275</v>
      </c>
      <c r="OX31" s="1">
        <v>242780</v>
      </c>
      <c r="OY31" s="1">
        <v>239770</v>
      </c>
      <c r="OZ31" s="1">
        <v>245690</v>
      </c>
      <c r="PA31" s="1">
        <v>239955</v>
      </c>
      <c r="PB31" s="1">
        <v>206910</v>
      </c>
      <c r="PC31" s="1">
        <v>207725</v>
      </c>
      <c r="PD31" s="1">
        <v>170875</v>
      </c>
      <c r="PE31" s="1">
        <v>178705</v>
      </c>
      <c r="PF31" s="1">
        <v>152505</v>
      </c>
      <c r="PG31" s="1">
        <v>164250</v>
      </c>
      <c r="PH31" s="1">
        <v>174115</v>
      </c>
      <c r="PI31" s="1">
        <v>179510</v>
      </c>
      <c r="PJ31" s="1">
        <v>183830</v>
      </c>
      <c r="PK31" s="1">
        <v>176625</v>
      </c>
      <c r="PL31" s="1">
        <v>180685</v>
      </c>
      <c r="PM31" s="1">
        <v>179680</v>
      </c>
      <c r="PN31" s="1">
        <v>185060</v>
      </c>
      <c r="PO31" s="1">
        <v>196335</v>
      </c>
      <c r="PP31" s="1">
        <v>199110</v>
      </c>
      <c r="PQ31" s="1">
        <v>175810</v>
      </c>
      <c r="PR31" s="1">
        <v>188810</v>
      </c>
      <c r="PS31" s="1">
        <v>205125</v>
      </c>
      <c r="PT31" s="1">
        <v>274230</v>
      </c>
      <c r="PU31" s="1">
        <v>271880</v>
      </c>
      <c r="PV31" s="1">
        <v>279620</v>
      </c>
      <c r="PW31" s="1">
        <v>280860</v>
      </c>
      <c r="PX31" s="1">
        <v>282000</v>
      </c>
      <c r="PY31" s="1">
        <v>290885</v>
      </c>
      <c r="PZ31" s="1">
        <v>292305</v>
      </c>
      <c r="QA31" s="1">
        <v>288595</v>
      </c>
      <c r="QB31" s="1">
        <v>302300</v>
      </c>
      <c r="QC31" s="1">
        <v>283815</v>
      </c>
      <c r="QD31" s="1">
        <v>281340</v>
      </c>
      <c r="QE31" s="1">
        <v>288905</v>
      </c>
      <c r="QF31" s="1">
        <v>286215</v>
      </c>
      <c r="QG31" s="1">
        <v>242075</v>
      </c>
      <c r="QH31" s="1">
        <v>245130</v>
      </c>
      <c r="QI31" s="1">
        <v>188750</v>
      </c>
      <c r="QJ31" s="1">
        <v>197570</v>
      </c>
      <c r="QK31" s="1">
        <v>162020</v>
      </c>
      <c r="QL31" s="1">
        <v>172800</v>
      </c>
      <c r="QM31" s="1">
        <v>185855</v>
      </c>
      <c r="QN31" s="1">
        <v>187645</v>
      </c>
      <c r="QO31" s="1">
        <v>193630</v>
      </c>
      <c r="QP31" s="1">
        <v>177305</v>
      </c>
      <c r="QQ31" s="1">
        <v>187550</v>
      </c>
      <c r="QR31" s="1">
        <v>200720</v>
      </c>
      <c r="QS31" s="1">
        <v>207050</v>
      </c>
      <c r="QT31" s="1">
        <v>218575</v>
      </c>
      <c r="QU31" s="1">
        <v>218960</v>
      </c>
      <c r="QV31" s="1">
        <v>193805</v>
      </c>
      <c r="QW31" s="1">
        <v>206135</v>
      </c>
      <c r="QX31" s="1">
        <v>214400</v>
      </c>
      <c r="QY31" s="1">
        <v>302655</v>
      </c>
      <c r="QZ31" s="1">
        <v>304985</v>
      </c>
      <c r="RA31" s="1">
        <v>309855</v>
      </c>
      <c r="RB31" s="1">
        <v>314025</v>
      </c>
      <c r="RC31" s="1">
        <v>313505</v>
      </c>
      <c r="RD31" s="1">
        <v>319420</v>
      </c>
      <c r="RE31" s="1">
        <v>321985</v>
      </c>
      <c r="RF31" s="1">
        <v>319575</v>
      </c>
      <c r="RG31" s="1">
        <v>334875</v>
      </c>
      <c r="RH31" s="1">
        <v>322040</v>
      </c>
      <c r="RI31" s="1">
        <v>323465</v>
      </c>
      <c r="RJ31" s="1">
        <v>330535</v>
      </c>
      <c r="RK31" s="1">
        <v>329055</v>
      </c>
      <c r="RL31" s="1">
        <v>290225</v>
      </c>
      <c r="RM31" s="1">
        <v>291560</v>
      </c>
      <c r="RN31" s="1">
        <v>232940</v>
      </c>
      <c r="RO31" s="1">
        <v>247185</v>
      </c>
      <c r="RP31" s="1">
        <v>190975</v>
      </c>
      <c r="RQ31" s="1">
        <v>211845</v>
      </c>
      <c r="RR31" s="1">
        <v>227415</v>
      </c>
      <c r="RS31" s="1">
        <v>230870</v>
      </c>
      <c r="RT31" s="1">
        <v>238625</v>
      </c>
      <c r="RU31" s="1">
        <v>219035</v>
      </c>
      <c r="RV31" s="1">
        <v>239315</v>
      </c>
      <c r="RW31" s="1">
        <v>243390</v>
      </c>
      <c r="RX31" s="1">
        <v>252335</v>
      </c>
      <c r="RY31" s="1">
        <v>264510</v>
      </c>
      <c r="RZ31" s="1">
        <v>262100</v>
      </c>
      <c r="SA31" s="1">
        <v>235665</v>
      </c>
      <c r="SB31" s="1">
        <v>255900</v>
      </c>
      <c r="SC31" s="1">
        <v>258735</v>
      </c>
      <c r="SD31" s="1">
        <v>327040</v>
      </c>
      <c r="SE31" s="1">
        <v>331895</v>
      </c>
      <c r="SF31" s="1">
        <v>326380</v>
      </c>
      <c r="SG31" s="1">
        <v>337510</v>
      </c>
      <c r="SH31" s="1">
        <v>336880</v>
      </c>
      <c r="SI31" s="1">
        <v>340885</v>
      </c>
      <c r="SJ31" s="1">
        <v>342750</v>
      </c>
      <c r="SK31" s="1">
        <v>345235</v>
      </c>
      <c r="SL31" s="1">
        <v>363630</v>
      </c>
      <c r="SM31" s="1">
        <v>351520</v>
      </c>
      <c r="SN31" s="1">
        <v>352920</v>
      </c>
      <c r="SO31" s="1">
        <v>361115</v>
      </c>
      <c r="SP31" s="1">
        <v>361885</v>
      </c>
      <c r="SQ31" s="1">
        <v>327205</v>
      </c>
      <c r="SR31" s="1">
        <v>330775</v>
      </c>
      <c r="SS31" s="1">
        <v>282140</v>
      </c>
      <c r="ST31" s="1">
        <v>299495</v>
      </c>
      <c r="SU31" s="1">
        <v>237745</v>
      </c>
      <c r="SV31" s="1">
        <v>266975</v>
      </c>
      <c r="SW31" s="1">
        <v>283905</v>
      </c>
      <c r="SX31" s="1">
        <v>289750</v>
      </c>
      <c r="SY31" s="1">
        <v>294555</v>
      </c>
      <c r="SZ31" s="1">
        <v>284280</v>
      </c>
      <c r="TA31" s="1">
        <v>309410</v>
      </c>
      <c r="TB31" s="1">
        <v>302685</v>
      </c>
      <c r="TC31" s="1">
        <v>313275</v>
      </c>
      <c r="TD31" s="1">
        <v>328130</v>
      </c>
      <c r="TE31" s="1">
        <v>328520</v>
      </c>
      <c r="TF31" s="1">
        <v>308140</v>
      </c>
      <c r="TG31" s="1">
        <v>324025</v>
      </c>
      <c r="TH31" s="1">
        <v>329195</v>
      </c>
      <c r="TI31" s="1">
        <v>341140</v>
      </c>
      <c r="TJ31" s="1">
        <v>349965</v>
      </c>
      <c r="TK31" s="1">
        <v>335365</v>
      </c>
      <c r="TL31" s="1">
        <v>355025</v>
      </c>
      <c r="TM31" s="1">
        <v>352420</v>
      </c>
      <c r="TN31" s="1">
        <v>353420</v>
      </c>
      <c r="TO31" s="1">
        <v>353205</v>
      </c>
      <c r="TP31" s="1">
        <v>359295</v>
      </c>
      <c r="TQ31" s="1">
        <v>375885</v>
      </c>
      <c r="TR31" s="1">
        <v>384830</v>
      </c>
      <c r="TS31" s="1">
        <v>384525</v>
      </c>
      <c r="TT31" s="1">
        <v>395335</v>
      </c>
      <c r="TU31" s="1">
        <v>396425</v>
      </c>
      <c r="TV31" s="1">
        <v>366300</v>
      </c>
      <c r="TW31" s="1">
        <v>374540</v>
      </c>
      <c r="TX31" s="1">
        <v>338490</v>
      </c>
      <c r="TY31" s="1">
        <v>355385</v>
      </c>
      <c r="TZ31" s="1">
        <v>297490</v>
      </c>
      <c r="UA31" s="1">
        <v>329220</v>
      </c>
      <c r="UB31" s="1">
        <v>342705</v>
      </c>
      <c r="UC31" s="1">
        <v>349705</v>
      </c>
      <c r="UD31" s="1">
        <v>354455</v>
      </c>
      <c r="UE31" s="1">
        <v>358005</v>
      </c>
      <c r="UF31" s="1">
        <v>381680</v>
      </c>
      <c r="UG31" s="1">
        <v>358075</v>
      </c>
      <c r="UH31" s="1">
        <v>372440</v>
      </c>
      <c r="UI31" s="1">
        <v>385795</v>
      </c>
      <c r="UJ31" s="1">
        <v>391440</v>
      </c>
      <c r="UK31" s="1">
        <v>373985</v>
      </c>
      <c r="UL31" s="1">
        <v>389010</v>
      </c>
      <c r="UM31" s="1">
        <v>396310</v>
      </c>
      <c r="UN31" s="1">
        <v>336915</v>
      </c>
      <c r="UO31" s="1">
        <v>349130</v>
      </c>
      <c r="UP31" s="1">
        <v>313430</v>
      </c>
      <c r="UQ31" s="1">
        <v>349980</v>
      </c>
      <c r="UR31" s="1">
        <v>347875</v>
      </c>
      <c r="US31" s="1">
        <v>342440</v>
      </c>
      <c r="UT31" s="1">
        <v>337675</v>
      </c>
      <c r="UU31" s="1">
        <v>342780</v>
      </c>
      <c r="UV31" s="1">
        <v>360925</v>
      </c>
      <c r="UW31" s="1">
        <v>403530</v>
      </c>
      <c r="UX31" s="1">
        <v>403045</v>
      </c>
      <c r="UY31" s="1">
        <v>414070</v>
      </c>
      <c r="UZ31" s="1">
        <v>420440</v>
      </c>
      <c r="VA31" s="1">
        <v>404905</v>
      </c>
      <c r="VB31" s="1">
        <v>411455</v>
      </c>
      <c r="VC31" s="1">
        <v>390285</v>
      </c>
      <c r="VD31" s="1">
        <v>407955</v>
      </c>
      <c r="VE31" s="1">
        <v>365735</v>
      </c>
      <c r="VF31" s="1">
        <v>391550</v>
      </c>
      <c r="VG31" s="1">
        <v>402755</v>
      </c>
      <c r="VH31" s="1">
        <v>408995</v>
      </c>
      <c r="VI31" s="1">
        <v>413505</v>
      </c>
      <c r="VJ31" s="1">
        <v>427935</v>
      </c>
      <c r="VK31" s="1">
        <v>447790</v>
      </c>
      <c r="VL31" s="1">
        <v>415270</v>
      </c>
      <c r="VM31" s="1">
        <v>428610</v>
      </c>
      <c r="VN31" s="1">
        <v>443180</v>
      </c>
      <c r="VO31" s="1">
        <v>452865</v>
      </c>
      <c r="VP31" s="1">
        <v>434645</v>
      </c>
      <c r="VQ31" s="1">
        <v>449355</v>
      </c>
      <c r="VR31" s="1">
        <v>463225</v>
      </c>
      <c r="VS31" s="1">
        <v>294700</v>
      </c>
      <c r="VT31" s="1">
        <v>311175</v>
      </c>
      <c r="VU31" s="1">
        <v>246200</v>
      </c>
      <c r="VV31" s="1">
        <v>317220</v>
      </c>
      <c r="VW31" s="1">
        <v>315985</v>
      </c>
      <c r="VX31" s="1">
        <v>303390</v>
      </c>
      <c r="VY31" s="1">
        <v>291870</v>
      </c>
      <c r="VZ31" s="1">
        <v>295580</v>
      </c>
      <c r="WA31" s="1">
        <v>319995</v>
      </c>
      <c r="WB31" s="1">
        <v>389305</v>
      </c>
      <c r="WC31" s="1">
        <v>385960</v>
      </c>
      <c r="WD31" s="1">
        <v>395415</v>
      </c>
      <c r="WE31" s="1">
        <v>408690</v>
      </c>
      <c r="WF31" s="1">
        <v>409630</v>
      </c>
      <c r="WG31" s="1">
        <v>406410</v>
      </c>
      <c r="WH31" s="1">
        <v>406000</v>
      </c>
      <c r="WI31" s="1">
        <v>418285</v>
      </c>
      <c r="WJ31" s="1">
        <v>417310</v>
      </c>
      <c r="WK31" s="1">
        <v>427800</v>
      </c>
      <c r="WL31" s="1">
        <v>432460</v>
      </c>
      <c r="WM31" s="1">
        <v>437985</v>
      </c>
      <c r="WN31" s="1">
        <v>438725</v>
      </c>
      <c r="WO31" s="1">
        <v>454025</v>
      </c>
      <c r="WP31" s="1">
        <v>462345</v>
      </c>
      <c r="WQ31" s="1">
        <v>453445</v>
      </c>
      <c r="WR31" s="1">
        <v>460010</v>
      </c>
      <c r="WS31" s="1">
        <v>473040</v>
      </c>
      <c r="WT31" s="1">
        <v>482495</v>
      </c>
      <c r="WU31" s="1">
        <v>466365</v>
      </c>
      <c r="WV31" s="1">
        <v>467480</v>
      </c>
      <c r="WW31" s="1">
        <v>481630</v>
      </c>
      <c r="WX31" s="1">
        <v>168515</v>
      </c>
      <c r="WY31" s="1">
        <v>183240</v>
      </c>
      <c r="WZ31" s="1">
        <v>122990</v>
      </c>
      <c r="XA31" s="1">
        <v>179440</v>
      </c>
      <c r="XB31" s="1">
        <v>172065</v>
      </c>
      <c r="XC31" s="1">
        <v>156275</v>
      </c>
      <c r="XD31" s="1">
        <v>144125</v>
      </c>
      <c r="XE31" s="1">
        <v>148440</v>
      </c>
      <c r="XF31" s="1">
        <v>164475</v>
      </c>
      <c r="XG31" s="1">
        <v>234500</v>
      </c>
      <c r="XH31" s="1">
        <v>232735</v>
      </c>
      <c r="XI31" s="1">
        <v>235700</v>
      </c>
      <c r="XJ31" s="1">
        <v>252015</v>
      </c>
      <c r="XK31" s="1">
        <v>261080</v>
      </c>
      <c r="XL31" s="1">
        <v>256660</v>
      </c>
      <c r="XM31" s="1">
        <v>261735</v>
      </c>
      <c r="XN31" s="1">
        <v>259255</v>
      </c>
      <c r="XO31" s="1">
        <v>291190</v>
      </c>
      <c r="XP31" s="1">
        <v>286905</v>
      </c>
      <c r="XQ31" s="1">
        <v>282810</v>
      </c>
      <c r="XR31" s="1">
        <v>284075</v>
      </c>
      <c r="XS31" s="1">
        <v>285365</v>
      </c>
      <c r="XT31" s="1">
        <v>290385</v>
      </c>
      <c r="XU31" s="1">
        <v>284380</v>
      </c>
      <c r="XV31" s="1">
        <v>301095</v>
      </c>
      <c r="XW31" s="1">
        <v>299510</v>
      </c>
      <c r="XX31" s="1">
        <v>301350</v>
      </c>
      <c r="XY31" s="1">
        <v>306155</v>
      </c>
      <c r="XZ31" s="1">
        <v>310000</v>
      </c>
      <c r="YA31" s="1">
        <v>294155</v>
      </c>
      <c r="YB31" s="1">
        <v>294040</v>
      </c>
    </row>
    <row r="32" spans="1:652" x14ac:dyDescent="0.2">
      <c r="A32" t="s">
        <v>53</v>
      </c>
      <c r="B32" s="1">
        <v>997400</v>
      </c>
      <c r="C32" s="1">
        <v>888790</v>
      </c>
      <c r="D32" s="1">
        <v>859315</v>
      </c>
      <c r="E32" s="1">
        <v>1040870</v>
      </c>
      <c r="F32" s="1">
        <v>1081805</v>
      </c>
      <c r="G32" s="1">
        <v>1185540</v>
      </c>
      <c r="H32" s="1">
        <v>1230105</v>
      </c>
      <c r="I32" s="1">
        <v>1218275</v>
      </c>
      <c r="J32" s="1">
        <v>1157515</v>
      </c>
      <c r="K32" s="1">
        <v>684920</v>
      </c>
      <c r="L32" s="1">
        <v>678300</v>
      </c>
      <c r="M32" s="1">
        <v>710580</v>
      </c>
      <c r="N32" s="1">
        <v>647820</v>
      </c>
      <c r="O32" s="1">
        <v>579985</v>
      </c>
      <c r="P32" s="1">
        <v>604860</v>
      </c>
      <c r="Q32" s="1">
        <v>548875</v>
      </c>
      <c r="R32" s="1">
        <v>608775</v>
      </c>
      <c r="S32" s="1">
        <v>455735</v>
      </c>
      <c r="T32" s="1">
        <v>506835</v>
      </c>
      <c r="U32" s="1">
        <v>561650</v>
      </c>
      <c r="V32" s="1">
        <v>590125</v>
      </c>
      <c r="W32" s="1">
        <v>614825</v>
      </c>
      <c r="X32" s="1">
        <v>612505</v>
      </c>
      <c r="Y32" s="1">
        <v>626535</v>
      </c>
      <c r="Z32" s="1">
        <v>505805</v>
      </c>
      <c r="AA32" s="1">
        <v>533325</v>
      </c>
      <c r="AB32" s="1">
        <v>569935</v>
      </c>
      <c r="AC32" s="1">
        <v>569775</v>
      </c>
      <c r="AD32" s="1">
        <v>527910</v>
      </c>
      <c r="AE32" s="1">
        <v>584710</v>
      </c>
      <c r="AF32" s="1">
        <v>662630</v>
      </c>
      <c r="AG32" s="1">
        <v>1530</v>
      </c>
      <c r="AH32" s="1">
        <v>1025</v>
      </c>
      <c r="AI32">
        <v>920</v>
      </c>
      <c r="AJ32" s="1">
        <v>1235</v>
      </c>
      <c r="AK32" s="1">
        <v>1325</v>
      </c>
      <c r="AL32" s="1">
        <v>1380</v>
      </c>
      <c r="AM32" s="1">
        <v>1265</v>
      </c>
      <c r="AN32" s="1">
        <v>1750</v>
      </c>
      <c r="AO32" s="1">
        <v>1830</v>
      </c>
      <c r="AP32" s="1">
        <v>1905</v>
      </c>
      <c r="AQ32">
        <v>405</v>
      </c>
      <c r="AR32" s="1">
        <v>1375</v>
      </c>
      <c r="AS32" s="1">
        <v>1960</v>
      </c>
      <c r="AT32">
        <v>920</v>
      </c>
      <c r="AU32" s="1">
        <v>1290</v>
      </c>
      <c r="AV32">
        <v>205</v>
      </c>
      <c r="AW32">
        <v>310</v>
      </c>
      <c r="AX32">
        <v>255</v>
      </c>
      <c r="AY32">
        <v>235</v>
      </c>
      <c r="AZ32">
        <v>315</v>
      </c>
      <c r="BA32">
        <v>415</v>
      </c>
      <c r="BB32">
        <v>365</v>
      </c>
      <c r="BC32" t="s">
        <v>51</v>
      </c>
      <c r="BD32" t="s">
        <v>51</v>
      </c>
      <c r="BE32" t="s">
        <v>51</v>
      </c>
      <c r="BF32" t="s">
        <v>51</v>
      </c>
      <c r="BG32" t="s">
        <v>51</v>
      </c>
      <c r="BH32" t="s">
        <v>51</v>
      </c>
      <c r="BI32" t="s">
        <v>51</v>
      </c>
      <c r="BJ32" t="s">
        <v>51</v>
      </c>
      <c r="BK32" t="s">
        <v>51</v>
      </c>
      <c r="BL32">
        <v>405</v>
      </c>
      <c r="BM32">
        <v>345</v>
      </c>
      <c r="BN32">
        <v>350</v>
      </c>
      <c r="BO32">
        <v>390</v>
      </c>
      <c r="BP32">
        <v>500</v>
      </c>
      <c r="BQ32">
        <v>545</v>
      </c>
      <c r="BR32">
        <v>600</v>
      </c>
      <c r="BS32">
        <v>515</v>
      </c>
      <c r="BT32">
        <v>685</v>
      </c>
      <c r="BU32">
        <v>520</v>
      </c>
      <c r="BV32" t="s">
        <v>51</v>
      </c>
      <c r="BW32">
        <v>505</v>
      </c>
      <c r="BX32">
        <v>480</v>
      </c>
      <c r="BY32">
        <v>220</v>
      </c>
      <c r="BZ32">
        <v>540</v>
      </c>
      <c r="CA32" t="s">
        <v>51</v>
      </c>
      <c r="CB32" t="s">
        <v>51</v>
      </c>
      <c r="CC32" t="s">
        <v>51</v>
      </c>
      <c r="CD32" t="s">
        <v>51</v>
      </c>
      <c r="CE32" t="s">
        <v>51</v>
      </c>
      <c r="CF32">
        <v>220</v>
      </c>
      <c r="CG32" t="s">
        <v>51</v>
      </c>
      <c r="CH32" t="s">
        <v>51</v>
      </c>
      <c r="CI32" t="s">
        <v>51</v>
      </c>
      <c r="CJ32" t="s">
        <v>51</v>
      </c>
      <c r="CK32" t="s">
        <v>54</v>
      </c>
      <c r="CL32" t="s">
        <v>51</v>
      </c>
      <c r="CM32" t="s">
        <v>51</v>
      </c>
      <c r="CN32" t="s">
        <v>51</v>
      </c>
      <c r="CO32" t="s">
        <v>54</v>
      </c>
      <c r="CP32" t="s">
        <v>51</v>
      </c>
      <c r="CQ32">
        <v>270</v>
      </c>
      <c r="CR32">
        <v>265</v>
      </c>
      <c r="CS32">
        <v>200</v>
      </c>
      <c r="CT32">
        <v>365</v>
      </c>
      <c r="CU32">
        <v>305</v>
      </c>
      <c r="CV32">
        <v>385</v>
      </c>
      <c r="CW32">
        <v>350</v>
      </c>
      <c r="CX32">
        <v>350</v>
      </c>
      <c r="CY32">
        <v>315</v>
      </c>
      <c r="CZ32">
        <v>240</v>
      </c>
      <c r="DA32" t="s">
        <v>51</v>
      </c>
      <c r="DB32">
        <v>250</v>
      </c>
      <c r="DC32">
        <v>260</v>
      </c>
      <c r="DD32" t="s">
        <v>51</v>
      </c>
      <c r="DE32" t="s">
        <v>51</v>
      </c>
      <c r="DF32" t="s">
        <v>51</v>
      </c>
      <c r="DG32" t="s">
        <v>51</v>
      </c>
      <c r="DH32" t="s">
        <v>51</v>
      </c>
      <c r="DI32" t="s">
        <v>51</v>
      </c>
      <c r="DJ32" t="s">
        <v>51</v>
      </c>
      <c r="DK32" t="s">
        <v>51</v>
      </c>
      <c r="DL32" t="s">
        <v>51</v>
      </c>
      <c r="DM32" t="s">
        <v>51</v>
      </c>
      <c r="DN32" t="s">
        <v>51</v>
      </c>
      <c r="DO32" t="s">
        <v>51</v>
      </c>
      <c r="DP32" t="s">
        <v>54</v>
      </c>
      <c r="DQ32" t="s">
        <v>54</v>
      </c>
      <c r="DR32" t="s">
        <v>54</v>
      </c>
      <c r="DS32" t="s">
        <v>54</v>
      </c>
      <c r="DT32" t="s">
        <v>54</v>
      </c>
      <c r="DU32" t="s">
        <v>51</v>
      </c>
      <c r="DV32">
        <v>240</v>
      </c>
      <c r="DW32" t="s">
        <v>51</v>
      </c>
      <c r="DX32">
        <v>215</v>
      </c>
      <c r="DY32" t="s">
        <v>51</v>
      </c>
      <c r="DZ32">
        <v>215</v>
      </c>
      <c r="EA32">
        <v>265</v>
      </c>
      <c r="EB32" t="s">
        <v>51</v>
      </c>
      <c r="EC32">
        <v>230</v>
      </c>
      <c r="ED32">
        <v>215</v>
      </c>
      <c r="EE32">
        <v>280</v>
      </c>
      <c r="EF32" t="s">
        <v>51</v>
      </c>
      <c r="EG32" t="s">
        <v>51</v>
      </c>
      <c r="EH32">
        <v>205</v>
      </c>
      <c r="EI32" t="s">
        <v>51</v>
      </c>
      <c r="EJ32">
        <v>205</v>
      </c>
      <c r="EK32" t="s">
        <v>51</v>
      </c>
      <c r="EL32" t="s">
        <v>51</v>
      </c>
      <c r="EM32" t="s">
        <v>51</v>
      </c>
      <c r="EN32" t="s">
        <v>51</v>
      </c>
      <c r="EO32" t="s">
        <v>51</v>
      </c>
      <c r="EP32" t="s">
        <v>51</v>
      </c>
      <c r="EQ32" t="s">
        <v>51</v>
      </c>
      <c r="ER32" t="s">
        <v>51</v>
      </c>
      <c r="ES32" t="s">
        <v>51</v>
      </c>
      <c r="ET32" t="s">
        <v>51</v>
      </c>
      <c r="EU32" t="s">
        <v>54</v>
      </c>
      <c r="EV32" t="s">
        <v>54</v>
      </c>
      <c r="EW32" t="s">
        <v>54</v>
      </c>
      <c r="EX32" t="s">
        <v>54</v>
      </c>
      <c r="EY32" t="s">
        <v>54</v>
      </c>
      <c r="EZ32" t="s">
        <v>54</v>
      </c>
      <c r="FA32">
        <v>245</v>
      </c>
      <c r="FB32" t="s">
        <v>51</v>
      </c>
      <c r="FC32">
        <v>235</v>
      </c>
      <c r="FD32" t="s">
        <v>51</v>
      </c>
      <c r="FE32">
        <v>235</v>
      </c>
      <c r="FF32">
        <v>275</v>
      </c>
      <c r="FG32">
        <v>260</v>
      </c>
      <c r="FH32">
        <v>305</v>
      </c>
      <c r="FI32">
        <v>310</v>
      </c>
      <c r="FJ32">
        <v>325</v>
      </c>
      <c r="FK32" t="s">
        <v>51</v>
      </c>
      <c r="FL32">
        <v>260</v>
      </c>
      <c r="FM32">
        <v>265</v>
      </c>
      <c r="FN32" t="s">
        <v>51</v>
      </c>
      <c r="FO32" t="s">
        <v>51</v>
      </c>
      <c r="FP32" t="s">
        <v>51</v>
      </c>
      <c r="FQ32" t="s">
        <v>51</v>
      </c>
      <c r="FR32" t="s">
        <v>51</v>
      </c>
      <c r="FS32" t="s">
        <v>51</v>
      </c>
      <c r="FT32" t="s">
        <v>51</v>
      </c>
      <c r="FU32" t="s">
        <v>51</v>
      </c>
      <c r="FV32" t="s">
        <v>51</v>
      </c>
      <c r="FW32" t="s">
        <v>51</v>
      </c>
      <c r="FX32" t="s">
        <v>51</v>
      </c>
      <c r="FY32" t="s">
        <v>51</v>
      </c>
      <c r="FZ32" t="s">
        <v>54</v>
      </c>
      <c r="GA32" t="s">
        <v>51</v>
      </c>
      <c r="GB32" t="s">
        <v>54</v>
      </c>
      <c r="GC32" t="s">
        <v>54</v>
      </c>
      <c r="GD32" t="s">
        <v>54</v>
      </c>
      <c r="GE32" t="s">
        <v>51</v>
      </c>
      <c r="GF32">
        <v>310</v>
      </c>
      <c r="GG32" t="s">
        <v>51</v>
      </c>
      <c r="GH32" t="s">
        <v>51</v>
      </c>
      <c r="GI32">
        <v>220</v>
      </c>
      <c r="GJ32">
        <v>255</v>
      </c>
      <c r="GK32">
        <v>285</v>
      </c>
      <c r="GL32">
        <v>355</v>
      </c>
      <c r="GM32">
        <v>325</v>
      </c>
      <c r="GN32">
        <v>310</v>
      </c>
      <c r="GO32">
        <v>365</v>
      </c>
      <c r="GP32" t="s">
        <v>51</v>
      </c>
      <c r="GQ32">
        <v>270</v>
      </c>
      <c r="GR32">
        <v>215</v>
      </c>
      <c r="GS32" t="s">
        <v>51</v>
      </c>
      <c r="GT32" t="s">
        <v>51</v>
      </c>
      <c r="GU32" t="s">
        <v>51</v>
      </c>
      <c r="GV32" t="s">
        <v>51</v>
      </c>
      <c r="GW32" t="s">
        <v>51</v>
      </c>
      <c r="GX32" t="s">
        <v>51</v>
      </c>
      <c r="GY32" t="s">
        <v>51</v>
      </c>
      <c r="GZ32" t="s">
        <v>51</v>
      </c>
      <c r="HA32" t="s">
        <v>51</v>
      </c>
      <c r="HB32" t="s">
        <v>51</v>
      </c>
      <c r="HC32" t="s">
        <v>51</v>
      </c>
      <c r="HD32" t="s">
        <v>51</v>
      </c>
      <c r="HE32" t="s">
        <v>54</v>
      </c>
      <c r="HF32" t="s">
        <v>51</v>
      </c>
      <c r="HG32" t="s">
        <v>51</v>
      </c>
      <c r="HH32" t="s">
        <v>54</v>
      </c>
      <c r="HI32" t="s">
        <v>54</v>
      </c>
      <c r="HJ32" t="s">
        <v>51</v>
      </c>
      <c r="HK32">
        <v>290</v>
      </c>
      <c r="HL32">
        <v>265</v>
      </c>
      <c r="HM32">
        <v>265</v>
      </c>
      <c r="HN32">
        <v>275</v>
      </c>
      <c r="HO32">
        <v>290</v>
      </c>
      <c r="HP32">
        <v>365</v>
      </c>
      <c r="HQ32">
        <v>350</v>
      </c>
      <c r="HR32">
        <v>335</v>
      </c>
      <c r="HS32">
        <v>290</v>
      </c>
      <c r="HT32">
        <v>410</v>
      </c>
      <c r="HU32" t="s">
        <v>51</v>
      </c>
      <c r="HV32">
        <v>270</v>
      </c>
      <c r="HW32" t="s">
        <v>51</v>
      </c>
      <c r="HX32" t="s">
        <v>51</v>
      </c>
      <c r="HY32" t="s">
        <v>51</v>
      </c>
      <c r="HZ32" t="s">
        <v>51</v>
      </c>
      <c r="IA32" t="s">
        <v>51</v>
      </c>
      <c r="IB32" t="s">
        <v>51</v>
      </c>
      <c r="IC32" t="s">
        <v>51</v>
      </c>
      <c r="ID32" t="s">
        <v>51</v>
      </c>
      <c r="IE32" t="s">
        <v>51</v>
      </c>
      <c r="IF32" t="s">
        <v>51</v>
      </c>
      <c r="IG32" t="s">
        <v>51</v>
      </c>
      <c r="IH32" t="s">
        <v>51</v>
      </c>
      <c r="II32" t="s">
        <v>51</v>
      </c>
      <c r="IJ32" t="s">
        <v>51</v>
      </c>
      <c r="IK32" t="s">
        <v>54</v>
      </c>
      <c r="IL32" t="s">
        <v>51</v>
      </c>
      <c r="IM32" t="s">
        <v>54</v>
      </c>
      <c r="IN32" t="s">
        <v>54</v>
      </c>
      <c r="IO32" t="s">
        <v>51</v>
      </c>
      <c r="IP32">
        <v>320</v>
      </c>
      <c r="IQ32">
        <v>265</v>
      </c>
      <c r="IR32">
        <v>290</v>
      </c>
      <c r="IS32">
        <v>295</v>
      </c>
      <c r="IT32">
        <v>285</v>
      </c>
      <c r="IU32">
        <v>365</v>
      </c>
      <c r="IV32">
        <v>235</v>
      </c>
      <c r="IW32">
        <v>220</v>
      </c>
      <c r="IX32">
        <v>280</v>
      </c>
      <c r="IY32">
        <v>385</v>
      </c>
      <c r="IZ32" t="s">
        <v>51</v>
      </c>
      <c r="JA32">
        <v>235</v>
      </c>
      <c r="JB32">
        <v>230</v>
      </c>
      <c r="JC32" t="s">
        <v>51</v>
      </c>
      <c r="JD32" t="s">
        <v>51</v>
      </c>
      <c r="JE32" t="s">
        <v>51</v>
      </c>
      <c r="JF32" t="s">
        <v>51</v>
      </c>
      <c r="JG32" t="s">
        <v>51</v>
      </c>
      <c r="JH32" t="s">
        <v>51</v>
      </c>
      <c r="JI32" t="s">
        <v>51</v>
      </c>
      <c r="JJ32" t="s">
        <v>51</v>
      </c>
      <c r="JK32" t="s">
        <v>51</v>
      </c>
      <c r="JL32" t="s">
        <v>51</v>
      </c>
      <c r="JM32" t="s">
        <v>51</v>
      </c>
      <c r="JN32" t="s">
        <v>51</v>
      </c>
      <c r="JO32" t="s">
        <v>51</v>
      </c>
      <c r="JP32" t="s">
        <v>51</v>
      </c>
      <c r="JQ32" t="s">
        <v>51</v>
      </c>
      <c r="JR32" t="s">
        <v>51</v>
      </c>
      <c r="JS32" t="s">
        <v>51</v>
      </c>
      <c r="JT32" t="s">
        <v>51</v>
      </c>
      <c r="JU32">
        <v>335</v>
      </c>
      <c r="JV32">
        <v>305</v>
      </c>
      <c r="JW32">
        <v>335</v>
      </c>
      <c r="JX32">
        <v>250</v>
      </c>
      <c r="JY32">
        <v>325</v>
      </c>
      <c r="JZ32">
        <v>395</v>
      </c>
      <c r="KA32">
        <v>300</v>
      </c>
      <c r="KB32">
        <v>280</v>
      </c>
      <c r="KC32">
        <v>365</v>
      </c>
      <c r="KD32">
        <v>510</v>
      </c>
      <c r="KE32">
        <v>210</v>
      </c>
      <c r="KF32">
        <v>290</v>
      </c>
      <c r="KG32">
        <v>280</v>
      </c>
      <c r="KH32">
        <v>220</v>
      </c>
      <c r="KI32">
        <v>275</v>
      </c>
      <c r="KJ32">
        <v>205</v>
      </c>
      <c r="KK32">
        <v>210</v>
      </c>
      <c r="KL32" t="s">
        <v>51</v>
      </c>
      <c r="KM32" t="s">
        <v>51</v>
      </c>
      <c r="KN32" t="s">
        <v>51</v>
      </c>
      <c r="KO32">
        <v>225</v>
      </c>
      <c r="KP32" t="s">
        <v>51</v>
      </c>
      <c r="KQ32" t="s">
        <v>51</v>
      </c>
      <c r="KR32">
        <v>220</v>
      </c>
      <c r="KS32">
        <v>255</v>
      </c>
      <c r="KT32" t="s">
        <v>51</v>
      </c>
      <c r="KU32" t="s">
        <v>51</v>
      </c>
      <c r="KV32" t="s">
        <v>51</v>
      </c>
      <c r="KW32" t="s">
        <v>51</v>
      </c>
      <c r="KX32" t="s">
        <v>51</v>
      </c>
      <c r="KY32" t="s">
        <v>51</v>
      </c>
      <c r="KZ32">
        <v>340</v>
      </c>
      <c r="LA32">
        <v>285</v>
      </c>
      <c r="LB32">
        <v>385</v>
      </c>
      <c r="LC32">
        <v>340</v>
      </c>
      <c r="LD32">
        <v>400</v>
      </c>
      <c r="LE32">
        <v>555</v>
      </c>
      <c r="LF32">
        <v>515</v>
      </c>
      <c r="LG32">
        <v>690</v>
      </c>
      <c r="LH32">
        <v>675</v>
      </c>
      <c r="LI32">
        <v>475</v>
      </c>
      <c r="LJ32">
        <v>245</v>
      </c>
      <c r="LK32">
        <v>390</v>
      </c>
      <c r="LL32">
        <v>390</v>
      </c>
      <c r="LM32">
        <v>290</v>
      </c>
      <c r="LN32">
        <v>335</v>
      </c>
      <c r="LO32">
        <v>225</v>
      </c>
      <c r="LP32">
        <v>260</v>
      </c>
      <c r="LQ32">
        <v>230</v>
      </c>
      <c r="LR32" t="s">
        <v>51</v>
      </c>
      <c r="LS32">
        <v>255</v>
      </c>
      <c r="LT32">
        <v>275</v>
      </c>
      <c r="LU32">
        <v>250</v>
      </c>
      <c r="LV32">
        <v>225</v>
      </c>
      <c r="LW32">
        <v>340</v>
      </c>
      <c r="LX32">
        <v>270</v>
      </c>
      <c r="LY32" t="s">
        <v>51</v>
      </c>
      <c r="LZ32" t="s">
        <v>51</v>
      </c>
      <c r="MA32" t="s">
        <v>51</v>
      </c>
      <c r="MB32" t="s">
        <v>51</v>
      </c>
      <c r="MC32" t="s">
        <v>51</v>
      </c>
      <c r="MD32" t="s">
        <v>51</v>
      </c>
      <c r="ME32" s="1">
        <v>7695</v>
      </c>
      <c r="MF32" s="1">
        <v>3155</v>
      </c>
      <c r="MG32" s="1">
        <v>7395</v>
      </c>
      <c r="MH32" s="1">
        <v>5535</v>
      </c>
      <c r="MI32" s="1">
        <v>7890</v>
      </c>
      <c r="MJ32" s="1">
        <v>13345</v>
      </c>
      <c r="MK32" s="1">
        <v>15980</v>
      </c>
      <c r="ML32" s="1">
        <v>16695</v>
      </c>
      <c r="MM32" s="1">
        <v>15705</v>
      </c>
      <c r="MN32">
        <v>835</v>
      </c>
      <c r="MO32">
        <v>530</v>
      </c>
      <c r="MP32">
        <v>645</v>
      </c>
      <c r="MQ32">
        <v>505</v>
      </c>
      <c r="MR32">
        <v>430</v>
      </c>
      <c r="MS32">
        <v>430</v>
      </c>
      <c r="MT32">
        <v>285</v>
      </c>
      <c r="MU32">
        <v>280</v>
      </c>
      <c r="MV32">
        <v>210</v>
      </c>
      <c r="MW32" t="s">
        <v>51</v>
      </c>
      <c r="MX32">
        <v>285</v>
      </c>
      <c r="MY32">
        <v>380</v>
      </c>
      <c r="MZ32">
        <v>395</v>
      </c>
      <c r="NA32">
        <v>350</v>
      </c>
      <c r="NB32">
        <v>340</v>
      </c>
      <c r="NC32">
        <v>305</v>
      </c>
      <c r="ND32" t="s">
        <v>51</v>
      </c>
      <c r="NE32" t="s">
        <v>51</v>
      </c>
      <c r="NF32" t="s">
        <v>51</v>
      </c>
      <c r="NG32" t="s">
        <v>51</v>
      </c>
      <c r="NH32" t="s">
        <v>51</v>
      </c>
      <c r="NI32" t="s">
        <v>51</v>
      </c>
      <c r="NJ32" s="1">
        <v>28730</v>
      </c>
      <c r="NK32" s="1">
        <v>21865</v>
      </c>
      <c r="NL32" s="1">
        <v>29410</v>
      </c>
      <c r="NM32" s="1">
        <v>30865</v>
      </c>
      <c r="NN32" s="1">
        <v>34090</v>
      </c>
      <c r="NO32" s="1">
        <v>41150</v>
      </c>
      <c r="NP32" s="1">
        <v>45000</v>
      </c>
      <c r="NQ32" s="1">
        <v>46550</v>
      </c>
      <c r="NR32" s="1">
        <v>44855</v>
      </c>
      <c r="NS32" s="1">
        <v>9665</v>
      </c>
      <c r="NT32" s="1">
        <v>7855</v>
      </c>
      <c r="NU32" s="1">
        <v>8445</v>
      </c>
      <c r="NV32" s="1">
        <v>5255</v>
      </c>
      <c r="NW32">
        <v>960</v>
      </c>
      <c r="NX32">
        <v>990</v>
      </c>
      <c r="NY32">
        <v>640</v>
      </c>
      <c r="NZ32">
        <v>710</v>
      </c>
      <c r="OA32">
        <v>275</v>
      </c>
      <c r="OB32">
        <v>360</v>
      </c>
      <c r="OC32">
        <v>455</v>
      </c>
      <c r="OD32">
        <v>550</v>
      </c>
      <c r="OE32">
        <v>480</v>
      </c>
      <c r="OF32">
        <v>560</v>
      </c>
      <c r="OG32">
        <v>650</v>
      </c>
      <c r="OH32">
        <v>290</v>
      </c>
      <c r="OI32" t="s">
        <v>51</v>
      </c>
      <c r="OJ32" t="s">
        <v>51</v>
      </c>
      <c r="OK32" t="s">
        <v>51</v>
      </c>
      <c r="OL32" t="s">
        <v>51</v>
      </c>
      <c r="OM32" t="s">
        <v>51</v>
      </c>
      <c r="ON32" t="s">
        <v>51</v>
      </c>
      <c r="OO32" s="1">
        <v>48965</v>
      </c>
      <c r="OP32" s="1">
        <v>38290</v>
      </c>
      <c r="OQ32" s="1">
        <v>46245</v>
      </c>
      <c r="OR32" s="1">
        <v>47470</v>
      </c>
      <c r="OS32" s="1">
        <v>50820</v>
      </c>
      <c r="OT32" s="1">
        <v>59070</v>
      </c>
      <c r="OU32" s="1">
        <v>63480</v>
      </c>
      <c r="OV32" s="1">
        <v>63870</v>
      </c>
      <c r="OW32" s="1">
        <v>59825</v>
      </c>
      <c r="OX32" s="1">
        <v>25530</v>
      </c>
      <c r="OY32" s="1">
        <v>24055</v>
      </c>
      <c r="OZ32" s="1">
        <v>25140</v>
      </c>
      <c r="PA32" s="1">
        <v>22140</v>
      </c>
      <c r="PB32" s="1">
        <v>11530</v>
      </c>
      <c r="PC32" s="1">
        <v>13835</v>
      </c>
      <c r="PD32" s="1">
        <v>9870</v>
      </c>
      <c r="PE32" s="1">
        <v>12225</v>
      </c>
      <c r="PF32" s="1">
        <v>1400</v>
      </c>
      <c r="PG32" s="1">
        <v>2250</v>
      </c>
      <c r="PH32" s="1">
        <v>4570</v>
      </c>
      <c r="PI32" s="1">
        <v>4830</v>
      </c>
      <c r="PJ32" s="1">
        <v>5695</v>
      </c>
      <c r="PK32" s="1">
        <v>9005</v>
      </c>
      <c r="PL32" s="1">
        <v>9395</v>
      </c>
      <c r="PM32">
        <v>900</v>
      </c>
      <c r="PN32" t="s">
        <v>51</v>
      </c>
      <c r="PO32" t="s">
        <v>51</v>
      </c>
      <c r="PP32" t="s">
        <v>51</v>
      </c>
      <c r="PQ32" t="s">
        <v>51</v>
      </c>
      <c r="PR32" s="1">
        <v>2385</v>
      </c>
      <c r="PS32" t="s">
        <v>51</v>
      </c>
      <c r="PT32" s="1">
        <v>66475</v>
      </c>
      <c r="PU32" s="1">
        <v>54370</v>
      </c>
      <c r="PV32" s="1">
        <v>63995</v>
      </c>
      <c r="PW32" s="1">
        <v>66605</v>
      </c>
      <c r="PX32" s="1">
        <v>72125</v>
      </c>
      <c r="PY32" s="1">
        <v>80695</v>
      </c>
      <c r="PZ32" s="1">
        <v>85590</v>
      </c>
      <c r="QA32" s="1">
        <v>82870</v>
      </c>
      <c r="QB32" s="1">
        <v>74495</v>
      </c>
      <c r="QC32" s="1">
        <v>33665</v>
      </c>
      <c r="QD32" s="1">
        <v>31790</v>
      </c>
      <c r="QE32" s="1">
        <v>32925</v>
      </c>
      <c r="QF32" s="1">
        <v>29115</v>
      </c>
      <c r="QG32" s="1">
        <v>22465</v>
      </c>
      <c r="QH32" s="1">
        <v>24815</v>
      </c>
      <c r="QI32" s="1">
        <v>21545</v>
      </c>
      <c r="QJ32" s="1">
        <v>24650</v>
      </c>
      <c r="QK32" s="1">
        <v>12595</v>
      </c>
      <c r="QL32" s="1">
        <v>16290</v>
      </c>
      <c r="QM32" s="1">
        <v>19900</v>
      </c>
      <c r="QN32" s="1">
        <v>21120</v>
      </c>
      <c r="QO32" s="1">
        <v>23295</v>
      </c>
      <c r="QP32" s="1">
        <v>25840</v>
      </c>
      <c r="QQ32" s="1">
        <v>25755</v>
      </c>
      <c r="QR32" s="1">
        <v>7525</v>
      </c>
      <c r="QS32" s="1">
        <v>10060</v>
      </c>
      <c r="QT32" s="1">
        <v>13100</v>
      </c>
      <c r="QU32" s="1">
        <v>12235</v>
      </c>
      <c r="QV32" s="1">
        <v>12315</v>
      </c>
      <c r="QW32" s="1">
        <v>16375</v>
      </c>
      <c r="QX32" s="1">
        <v>16970</v>
      </c>
      <c r="QY32" s="1">
        <v>84660</v>
      </c>
      <c r="QZ32" s="1">
        <v>71000</v>
      </c>
      <c r="RA32" s="1">
        <v>80470</v>
      </c>
      <c r="RB32" s="1">
        <v>84700</v>
      </c>
      <c r="RC32" s="1">
        <v>90260</v>
      </c>
      <c r="RD32" s="1">
        <v>101350</v>
      </c>
      <c r="RE32" s="1">
        <v>103620</v>
      </c>
      <c r="RF32" s="1">
        <v>101065</v>
      </c>
      <c r="RG32" s="1">
        <v>91110</v>
      </c>
      <c r="RH32" s="1">
        <v>40290</v>
      </c>
      <c r="RI32" s="1">
        <v>38950</v>
      </c>
      <c r="RJ32" s="1">
        <v>42110</v>
      </c>
      <c r="RK32" s="1">
        <v>35265</v>
      </c>
      <c r="RL32" s="1">
        <v>28705</v>
      </c>
      <c r="RM32" s="1">
        <v>32670</v>
      </c>
      <c r="RN32" s="1">
        <v>28755</v>
      </c>
      <c r="RO32" s="1">
        <v>33450</v>
      </c>
      <c r="RP32" s="1">
        <v>19505</v>
      </c>
      <c r="RQ32" s="1">
        <v>23750</v>
      </c>
      <c r="RR32" s="1">
        <v>27925</v>
      </c>
      <c r="RS32" s="1">
        <v>29080</v>
      </c>
      <c r="RT32" s="1">
        <v>30835</v>
      </c>
      <c r="RU32" s="1">
        <v>34055</v>
      </c>
      <c r="RV32" s="1">
        <v>33470</v>
      </c>
      <c r="RW32" s="1">
        <v>20765</v>
      </c>
      <c r="RX32" s="1">
        <v>24085</v>
      </c>
      <c r="RY32" s="1">
        <v>27065</v>
      </c>
      <c r="RZ32" s="1">
        <v>26705</v>
      </c>
      <c r="SA32" s="1">
        <v>24300</v>
      </c>
      <c r="SB32" s="1">
        <v>28980</v>
      </c>
      <c r="SC32" s="1">
        <v>33790</v>
      </c>
      <c r="SD32" s="1">
        <v>97250</v>
      </c>
      <c r="SE32" s="1">
        <v>87105</v>
      </c>
      <c r="SF32" s="1">
        <v>93840</v>
      </c>
      <c r="SG32" s="1">
        <v>99725</v>
      </c>
      <c r="SH32" s="1">
        <v>104085</v>
      </c>
      <c r="SI32" s="1">
        <v>114195</v>
      </c>
      <c r="SJ32" s="1">
        <v>116030</v>
      </c>
      <c r="SK32" s="1">
        <v>110285</v>
      </c>
      <c r="SL32" s="1">
        <v>98810</v>
      </c>
      <c r="SM32" s="1">
        <v>52285</v>
      </c>
      <c r="SN32" s="1">
        <v>50960</v>
      </c>
      <c r="SO32" s="1">
        <v>55155</v>
      </c>
      <c r="SP32" s="1">
        <v>46390</v>
      </c>
      <c r="SQ32" s="1">
        <v>41915</v>
      </c>
      <c r="SR32" s="1">
        <v>44810</v>
      </c>
      <c r="SS32" s="1">
        <v>38395</v>
      </c>
      <c r="ST32" s="1">
        <v>44055</v>
      </c>
      <c r="SU32" s="1">
        <v>28065</v>
      </c>
      <c r="SV32" s="1">
        <v>32055</v>
      </c>
      <c r="SW32" s="1">
        <v>37595</v>
      </c>
      <c r="SX32" s="1">
        <v>40625</v>
      </c>
      <c r="SY32" s="1">
        <v>42795</v>
      </c>
      <c r="SZ32" s="1">
        <v>43670</v>
      </c>
      <c r="TA32" s="1">
        <v>42460</v>
      </c>
      <c r="TB32" s="1">
        <v>31005</v>
      </c>
      <c r="TC32" s="1">
        <v>34265</v>
      </c>
      <c r="TD32" s="1">
        <v>37165</v>
      </c>
      <c r="TE32" s="1">
        <v>36725</v>
      </c>
      <c r="TF32" s="1">
        <v>31780</v>
      </c>
      <c r="TG32" s="1">
        <v>38010</v>
      </c>
      <c r="TH32" s="1">
        <v>45125</v>
      </c>
      <c r="TI32" s="1">
        <v>109000</v>
      </c>
      <c r="TJ32" s="1">
        <v>99405</v>
      </c>
      <c r="TK32" s="1">
        <v>105540</v>
      </c>
      <c r="TL32" s="1">
        <v>113655</v>
      </c>
      <c r="TM32" s="1">
        <v>117515</v>
      </c>
      <c r="TN32" s="1">
        <v>127960</v>
      </c>
      <c r="TO32" s="1">
        <v>132415</v>
      </c>
      <c r="TP32" s="1">
        <v>126410</v>
      </c>
      <c r="TQ32" s="1">
        <v>118480</v>
      </c>
      <c r="TR32" s="1">
        <v>61785</v>
      </c>
      <c r="TS32" s="1">
        <v>62215</v>
      </c>
      <c r="TT32" s="1">
        <v>66295</v>
      </c>
      <c r="TU32" s="1">
        <v>58470</v>
      </c>
      <c r="TV32" s="1">
        <v>54175</v>
      </c>
      <c r="TW32" s="1">
        <v>56045</v>
      </c>
      <c r="TX32" s="1">
        <v>47635</v>
      </c>
      <c r="TY32" s="1">
        <v>53475</v>
      </c>
      <c r="TZ32" s="1">
        <v>37770</v>
      </c>
      <c r="UA32" s="1">
        <v>43535</v>
      </c>
      <c r="UB32" s="1">
        <v>50130</v>
      </c>
      <c r="UC32" s="1">
        <v>52610</v>
      </c>
      <c r="UD32" s="1">
        <v>55665</v>
      </c>
      <c r="UE32" s="1">
        <v>51485</v>
      </c>
      <c r="UF32" s="1">
        <v>50975</v>
      </c>
      <c r="UG32" s="1">
        <v>44520</v>
      </c>
      <c r="UH32" s="1">
        <v>47215</v>
      </c>
      <c r="UI32" s="1">
        <v>49975</v>
      </c>
      <c r="UJ32" s="1">
        <v>48215</v>
      </c>
      <c r="UK32" s="1">
        <v>41100</v>
      </c>
      <c r="UL32" s="1">
        <v>49170</v>
      </c>
      <c r="UM32" s="1">
        <v>58890</v>
      </c>
      <c r="UN32" s="1">
        <v>134505</v>
      </c>
      <c r="UO32" s="1">
        <v>123325</v>
      </c>
      <c r="UP32" s="1">
        <v>134320</v>
      </c>
      <c r="UQ32" s="1">
        <v>143310</v>
      </c>
      <c r="UR32" s="1">
        <v>147345</v>
      </c>
      <c r="US32" s="1">
        <v>163320</v>
      </c>
      <c r="UT32" s="1">
        <v>171005</v>
      </c>
      <c r="UU32" s="1">
        <v>168860</v>
      </c>
      <c r="UV32" s="1">
        <v>158185</v>
      </c>
      <c r="UW32" s="1">
        <v>82505</v>
      </c>
      <c r="UX32" s="1">
        <v>83905</v>
      </c>
      <c r="UY32" s="1">
        <v>87425</v>
      </c>
      <c r="UZ32" s="1">
        <v>78030</v>
      </c>
      <c r="VA32" s="1">
        <v>70030</v>
      </c>
      <c r="VB32" s="1">
        <v>71960</v>
      </c>
      <c r="VC32" s="1">
        <v>61640</v>
      </c>
      <c r="VD32" s="1">
        <v>68830</v>
      </c>
      <c r="VE32" s="1">
        <v>48530</v>
      </c>
      <c r="VF32" s="1">
        <v>56780</v>
      </c>
      <c r="VG32" s="1">
        <v>64275</v>
      </c>
      <c r="VH32" s="1">
        <v>69670</v>
      </c>
      <c r="VI32" s="1">
        <v>73590</v>
      </c>
      <c r="VJ32" s="1">
        <v>66725</v>
      </c>
      <c r="VK32" s="1">
        <v>67130</v>
      </c>
      <c r="VL32" s="1">
        <v>61000</v>
      </c>
      <c r="VM32" s="1">
        <v>64490</v>
      </c>
      <c r="VN32" s="1">
        <v>68060</v>
      </c>
      <c r="VO32" s="1">
        <v>65320</v>
      </c>
      <c r="VP32" s="1">
        <v>56465</v>
      </c>
      <c r="VQ32" s="1">
        <v>66620</v>
      </c>
      <c r="VR32" s="1">
        <v>77380</v>
      </c>
      <c r="VS32" s="1">
        <v>187645</v>
      </c>
      <c r="VT32" s="1">
        <v>172665</v>
      </c>
      <c r="VU32" s="1">
        <v>166845</v>
      </c>
      <c r="VV32" s="1">
        <v>194735</v>
      </c>
      <c r="VW32" s="1">
        <v>198715</v>
      </c>
      <c r="VX32" s="1">
        <v>218280</v>
      </c>
      <c r="VY32" s="1">
        <v>230850</v>
      </c>
      <c r="VZ32" s="1">
        <v>232585</v>
      </c>
      <c r="WA32" s="1">
        <v>218725</v>
      </c>
      <c r="WB32" s="1">
        <v>133600</v>
      </c>
      <c r="WC32" s="1">
        <v>136005</v>
      </c>
      <c r="WD32" s="1">
        <v>140580</v>
      </c>
      <c r="WE32" s="1">
        <v>127820</v>
      </c>
      <c r="WF32" s="1">
        <v>115125</v>
      </c>
      <c r="WG32" s="1">
        <v>121300</v>
      </c>
      <c r="WH32" s="1">
        <v>107930</v>
      </c>
      <c r="WI32" s="1">
        <v>120040</v>
      </c>
      <c r="WJ32" s="1">
        <v>83405</v>
      </c>
      <c r="WK32" s="1">
        <v>97030</v>
      </c>
      <c r="WL32" s="1">
        <v>109410</v>
      </c>
      <c r="WM32" s="1">
        <v>115760</v>
      </c>
      <c r="WN32" s="1">
        <v>122045</v>
      </c>
      <c r="WO32" s="1">
        <v>117165</v>
      </c>
      <c r="WP32" s="1">
        <v>124300</v>
      </c>
      <c r="WQ32" s="1">
        <v>104285</v>
      </c>
      <c r="WR32" s="1">
        <v>112635</v>
      </c>
      <c r="WS32" s="1">
        <v>119965</v>
      </c>
      <c r="WT32" s="1">
        <v>119700</v>
      </c>
      <c r="WU32" s="1">
        <v>110870</v>
      </c>
      <c r="WV32" s="1">
        <v>130050</v>
      </c>
      <c r="WW32" s="1">
        <v>146635</v>
      </c>
      <c r="WX32" s="1">
        <v>228185</v>
      </c>
      <c r="WY32" s="1">
        <v>214340</v>
      </c>
      <c r="WZ32" s="1">
        <v>127895</v>
      </c>
      <c r="XA32" s="1">
        <v>250555</v>
      </c>
      <c r="XB32" s="1">
        <v>254830</v>
      </c>
      <c r="XC32" s="1">
        <v>261360</v>
      </c>
      <c r="XD32" s="1">
        <v>261715</v>
      </c>
      <c r="XE32" s="1">
        <v>264090</v>
      </c>
      <c r="XF32" s="1">
        <v>272040</v>
      </c>
      <c r="XG32" s="1">
        <v>239350</v>
      </c>
      <c r="XH32" s="1">
        <v>240140</v>
      </c>
      <c r="XI32" s="1">
        <v>247830</v>
      </c>
      <c r="XJ32" s="1">
        <v>240355</v>
      </c>
      <c r="XK32" s="1">
        <v>232105</v>
      </c>
      <c r="XL32" s="1">
        <v>234475</v>
      </c>
      <c r="XM32" s="1">
        <v>230800</v>
      </c>
      <c r="XN32" s="1">
        <v>249495</v>
      </c>
      <c r="XO32" s="1">
        <v>222580</v>
      </c>
      <c r="XP32" s="1">
        <v>233400</v>
      </c>
      <c r="XQ32" s="1">
        <v>245715</v>
      </c>
      <c r="XR32" s="1">
        <v>253625</v>
      </c>
      <c r="XS32" s="1">
        <v>258440</v>
      </c>
      <c r="XT32" s="1">
        <v>262555</v>
      </c>
      <c r="XU32" s="1">
        <v>270900</v>
      </c>
      <c r="XV32" s="1">
        <v>234050</v>
      </c>
      <c r="XW32" s="1">
        <v>237470</v>
      </c>
      <c r="XX32" s="1">
        <v>251090</v>
      </c>
      <c r="XY32" s="1">
        <v>257345</v>
      </c>
      <c r="XZ32" s="1">
        <v>248355</v>
      </c>
      <c r="YA32" s="1">
        <v>251360</v>
      </c>
      <c r="YB32" s="1">
        <v>279485</v>
      </c>
    </row>
    <row r="33" spans="1:652" x14ac:dyDescent="0.2">
      <c r="A33" t="s">
        <v>55</v>
      </c>
      <c r="B33" s="1">
        <v>119570</v>
      </c>
      <c r="C33" s="1">
        <v>105430</v>
      </c>
      <c r="D33" s="1">
        <v>98180</v>
      </c>
      <c r="E33" s="1">
        <v>142090</v>
      </c>
      <c r="F33" s="1">
        <v>157615</v>
      </c>
      <c r="G33" s="1">
        <v>183665</v>
      </c>
      <c r="H33" s="1">
        <v>209770</v>
      </c>
      <c r="I33" s="1">
        <v>212250</v>
      </c>
      <c r="J33" s="1">
        <v>181515</v>
      </c>
      <c r="K33" s="1">
        <v>101400</v>
      </c>
      <c r="L33" s="1">
        <v>99280</v>
      </c>
      <c r="M33" s="1">
        <v>101080</v>
      </c>
      <c r="N33" s="1">
        <v>93980</v>
      </c>
      <c r="O33" s="1">
        <v>91495</v>
      </c>
      <c r="P33" s="1">
        <v>96625</v>
      </c>
      <c r="Q33" s="1">
        <v>94595</v>
      </c>
      <c r="R33" s="1">
        <v>103980</v>
      </c>
      <c r="S33" s="1">
        <v>84675</v>
      </c>
      <c r="T33" s="1">
        <v>88605</v>
      </c>
      <c r="U33" s="1">
        <v>97900</v>
      </c>
      <c r="V33" s="1">
        <v>103005</v>
      </c>
      <c r="W33" s="1">
        <v>108035</v>
      </c>
      <c r="X33" s="1">
        <v>106395</v>
      </c>
      <c r="Y33" s="1">
        <v>113495</v>
      </c>
      <c r="Z33" s="1">
        <v>103240</v>
      </c>
      <c r="AA33" s="1">
        <v>111495</v>
      </c>
      <c r="AB33" s="1">
        <v>118860</v>
      </c>
      <c r="AC33" s="1">
        <v>120080</v>
      </c>
      <c r="AD33" s="1">
        <v>115100</v>
      </c>
      <c r="AE33" s="1">
        <v>129495</v>
      </c>
      <c r="AF33" s="1">
        <v>148185</v>
      </c>
      <c r="AG33" t="s">
        <v>51</v>
      </c>
      <c r="AH33">
        <v>200</v>
      </c>
      <c r="AI33" t="s">
        <v>51</v>
      </c>
      <c r="AJ33" t="s">
        <v>51</v>
      </c>
      <c r="AK33" t="s">
        <v>51</v>
      </c>
      <c r="AL33" t="s">
        <v>51</v>
      </c>
      <c r="AM33" t="s">
        <v>51</v>
      </c>
      <c r="AN33">
        <v>540</v>
      </c>
      <c r="AO33">
        <v>525</v>
      </c>
      <c r="AP33">
        <v>715</v>
      </c>
      <c r="AQ33" t="s">
        <v>51</v>
      </c>
      <c r="AR33">
        <v>830</v>
      </c>
      <c r="AS33" s="1">
        <v>1005</v>
      </c>
      <c r="AT33">
        <v>720</v>
      </c>
      <c r="AU33">
        <v>920</v>
      </c>
      <c r="AV33">
        <v>660</v>
      </c>
      <c r="AW33">
        <v>480</v>
      </c>
      <c r="AX33">
        <v>370</v>
      </c>
      <c r="AY33">
        <v>400</v>
      </c>
      <c r="AZ33">
        <v>620</v>
      </c>
      <c r="BA33">
        <v>365</v>
      </c>
      <c r="BB33">
        <v>850</v>
      </c>
      <c r="BC33" t="s">
        <v>51</v>
      </c>
      <c r="BD33">
        <v>570</v>
      </c>
      <c r="BE33">
        <v>210</v>
      </c>
      <c r="BF33" t="s">
        <v>51</v>
      </c>
      <c r="BG33" t="s">
        <v>51</v>
      </c>
      <c r="BH33" t="s">
        <v>51</v>
      </c>
      <c r="BI33" t="s">
        <v>51</v>
      </c>
      <c r="BJ33" t="s">
        <v>51</v>
      </c>
      <c r="BK33" t="s">
        <v>51</v>
      </c>
      <c r="BL33" t="s">
        <v>51</v>
      </c>
      <c r="BM33" t="s">
        <v>51</v>
      </c>
      <c r="BN33" t="s">
        <v>51</v>
      </c>
      <c r="BO33" t="s">
        <v>51</v>
      </c>
      <c r="BP33" t="s">
        <v>51</v>
      </c>
      <c r="BQ33" t="s">
        <v>51</v>
      </c>
      <c r="BR33" t="s">
        <v>51</v>
      </c>
      <c r="BS33" t="s">
        <v>51</v>
      </c>
      <c r="BT33" t="s">
        <v>51</v>
      </c>
      <c r="BU33" t="s">
        <v>51</v>
      </c>
      <c r="BV33" t="s">
        <v>51</v>
      </c>
      <c r="BW33" t="s">
        <v>51</v>
      </c>
      <c r="BX33" t="s">
        <v>51</v>
      </c>
      <c r="BY33" t="s">
        <v>51</v>
      </c>
      <c r="BZ33" t="s">
        <v>51</v>
      </c>
      <c r="CA33">
        <v>390</v>
      </c>
      <c r="CB33" t="s">
        <v>51</v>
      </c>
      <c r="CC33" t="s">
        <v>51</v>
      </c>
      <c r="CD33" t="s">
        <v>51</v>
      </c>
      <c r="CE33">
        <v>280</v>
      </c>
      <c r="CF33" t="s">
        <v>51</v>
      </c>
      <c r="CG33">
        <v>340</v>
      </c>
      <c r="CH33" t="s">
        <v>51</v>
      </c>
      <c r="CI33">
        <v>215</v>
      </c>
      <c r="CJ33" t="s">
        <v>51</v>
      </c>
      <c r="CK33" t="s">
        <v>51</v>
      </c>
      <c r="CL33" t="s">
        <v>51</v>
      </c>
      <c r="CM33" t="s">
        <v>51</v>
      </c>
      <c r="CN33" t="s">
        <v>54</v>
      </c>
      <c r="CO33" t="s">
        <v>51</v>
      </c>
      <c r="CP33" t="s">
        <v>51</v>
      </c>
      <c r="CQ33" t="s">
        <v>51</v>
      </c>
      <c r="CR33" t="s">
        <v>51</v>
      </c>
      <c r="CS33" t="s">
        <v>51</v>
      </c>
      <c r="CT33" t="s">
        <v>51</v>
      </c>
      <c r="CU33" t="s">
        <v>51</v>
      </c>
      <c r="CV33" t="s">
        <v>51</v>
      </c>
      <c r="CW33" t="s">
        <v>51</v>
      </c>
      <c r="CX33" t="s">
        <v>51</v>
      </c>
      <c r="CY33" t="s">
        <v>51</v>
      </c>
      <c r="CZ33" t="s">
        <v>51</v>
      </c>
      <c r="DA33" t="s">
        <v>51</v>
      </c>
      <c r="DB33" t="s">
        <v>51</v>
      </c>
      <c r="DC33" t="s">
        <v>51</v>
      </c>
      <c r="DD33" t="s">
        <v>51</v>
      </c>
      <c r="DE33" t="s">
        <v>51</v>
      </c>
      <c r="DF33" t="s">
        <v>51</v>
      </c>
      <c r="DG33" t="s">
        <v>51</v>
      </c>
      <c r="DH33" t="s">
        <v>51</v>
      </c>
      <c r="DI33" t="s">
        <v>51</v>
      </c>
      <c r="DJ33" t="s">
        <v>51</v>
      </c>
      <c r="DK33" t="s">
        <v>51</v>
      </c>
      <c r="DL33">
        <v>350</v>
      </c>
      <c r="DM33" t="s">
        <v>51</v>
      </c>
      <c r="DN33" t="s">
        <v>51</v>
      </c>
      <c r="DO33" t="s">
        <v>51</v>
      </c>
      <c r="DP33" t="s">
        <v>51</v>
      </c>
      <c r="DQ33" t="s">
        <v>54</v>
      </c>
      <c r="DR33" t="s">
        <v>54</v>
      </c>
      <c r="DS33" t="s">
        <v>54</v>
      </c>
      <c r="DT33" t="s">
        <v>54</v>
      </c>
      <c r="DU33" t="s">
        <v>51</v>
      </c>
      <c r="DV33" t="s">
        <v>51</v>
      </c>
      <c r="DW33" t="s">
        <v>51</v>
      </c>
      <c r="DX33" t="s">
        <v>51</v>
      </c>
      <c r="DY33" t="s">
        <v>51</v>
      </c>
      <c r="DZ33" t="s">
        <v>51</v>
      </c>
      <c r="EA33" t="s">
        <v>51</v>
      </c>
      <c r="EB33" t="s">
        <v>51</v>
      </c>
      <c r="EC33" t="s">
        <v>51</v>
      </c>
      <c r="ED33" t="s">
        <v>51</v>
      </c>
      <c r="EE33" t="s">
        <v>51</v>
      </c>
      <c r="EF33" t="s">
        <v>51</v>
      </c>
      <c r="EG33" t="s">
        <v>51</v>
      </c>
      <c r="EH33" t="s">
        <v>51</v>
      </c>
      <c r="EI33" t="s">
        <v>51</v>
      </c>
      <c r="EJ33" t="s">
        <v>51</v>
      </c>
      <c r="EK33" t="s">
        <v>51</v>
      </c>
      <c r="EL33" t="s">
        <v>51</v>
      </c>
      <c r="EM33" t="s">
        <v>51</v>
      </c>
      <c r="EN33" t="s">
        <v>51</v>
      </c>
      <c r="EO33" t="s">
        <v>51</v>
      </c>
      <c r="EP33" t="s">
        <v>51</v>
      </c>
      <c r="EQ33" t="s">
        <v>51</v>
      </c>
      <c r="ER33" t="s">
        <v>51</v>
      </c>
      <c r="ES33" t="s">
        <v>51</v>
      </c>
      <c r="ET33" t="s">
        <v>51</v>
      </c>
      <c r="EU33" t="s">
        <v>51</v>
      </c>
      <c r="EV33" t="s">
        <v>54</v>
      </c>
      <c r="EW33" t="s">
        <v>54</v>
      </c>
      <c r="EX33" t="s">
        <v>54</v>
      </c>
      <c r="EY33" t="s">
        <v>54</v>
      </c>
      <c r="EZ33" t="s">
        <v>54</v>
      </c>
      <c r="FA33" t="s">
        <v>51</v>
      </c>
      <c r="FB33" t="s">
        <v>51</v>
      </c>
      <c r="FC33" t="s">
        <v>51</v>
      </c>
      <c r="FD33" t="s">
        <v>51</v>
      </c>
      <c r="FE33" t="s">
        <v>51</v>
      </c>
      <c r="FF33" t="s">
        <v>51</v>
      </c>
      <c r="FG33" t="s">
        <v>51</v>
      </c>
      <c r="FH33" t="s">
        <v>51</v>
      </c>
      <c r="FI33" t="s">
        <v>51</v>
      </c>
      <c r="FJ33" t="s">
        <v>51</v>
      </c>
      <c r="FK33" t="s">
        <v>51</v>
      </c>
      <c r="FL33" t="s">
        <v>51</v>
      </c>
      <c r="FM33" t="s">
        <v>51</v>
      </c>
      <c r="FN33" t="s">
        <v>51</v>
      </c>
      <c r="FO33" t="s">
        <v>51</v>
      </c>
      <c r="FP33" t="s">
        <v>51</v>
      </c>
      <c r="FQ33" t="s">
        <v>51</v>
      </c>
      <c r="FR33" t="s">
        <v>51</v>
      </c>
      <c r="FS33" t="s">
        <v>51</v>
      </c>
      <c r="FT33" t="s">
        <v>51</v>
      </c>
      <c r="FU33" t="s">
        <v>51</v>
      </c>
      <c r="FV33" t="s">
        <v>51</v>
      </c>
      <c r="FW33" t="s">
        <v>51</v>
      </c>
      <c r="FX33" t="s">
        <v>51</v>
      </c>
      <c r="FY33" t="s">
        <v>51</v>
      </c>
      <c r="FZ33" t="s">
        <v>51</v>
      </c>
      <c r="GA33" t="s">
        <v>54</v>
      </c>
      <c r="GB33" t="s">
        <v>54</v>
      </c>
      <c r="GC33" t="s">
        <v>54</v>
      </c>
      <c r="GD33" t="s">
        <v>54</v>
      </c>
      <c r="GE33" t="s">
        <v>54</v>
      </c>
      <c r="GF33" t="s">
        <v>51</v>
      </c>
      <c r="GG33" t="s">
        <v>51</v>
      </c>
      <c r="GH33" t="s">
        <v>51</v>
      </c>
      <c r="GI33" t="s">
        <v>51</v>
      </c>
      <c r="GJ33" t="s">
        <v>51</v>
      </c>
      <c r="GK33" t="s">
        <v>51</v>
      </c>
      <c r="GL33" t="s">
        <v>51</v>
      </c>
      <c r="GM33" t="s">
        <v>51</v>
      </c>
      <c r="GN33" t="s">
        <v>51</v>
      </c>
      <c r="GO33" t="s">
        <v>51</v>
      </c>
      <c r="GP33" t="s">
        <v>51</v>
      </c>
      <c r="GQ33" t="s">
        <v>51</v>
      </c>
      <c r="GR33" t="s">
        <v>51</v>
      </c>
      <c r="GS33" t="s">
        <v>51</v>
      </c>
      <c r="GT33" t="s">
        <v>51</v>
      </c>
      <c r="GU33" t="s">
        <v>51</v>
      </c>
      <c r="GV33" t="s">
        <v>51</v>
      </c>
      <c r="GW33" t="s">
        <v>51</v>
      </c>
      <c r="GX33" t="s">
        <v>51</v>
      </c>
      <c r="GY33" t="s">
        <v>51</v>
      </c>
      <c r="GZ33" t="s">
        <v>51</v>
      </c>
      <c r="HA33" t="s">
        <v>51</v>
      </c>
      <c r="HB33" t="s">
        <v>51</v>
      </c>
      <c r="HC33" t="s">
        <v>51</v>
      </c>
      <c r="HD33" t="s">
        <v>51</v>
      </c>
      <c r="HE33" t="s">
        <v>54</v>
      </c>
      <c r="HF33" t="s">
        <v>54</v>
      </c>
      <c r="HG33" t="s">
        <v>54</v>
      </c>
      <c r="HH33" t="s">
        <v>54</v>
      </c>
      <c r="HI33" t="s">
        <v>54</v>
      </c>
      <c r="HJ33" t="s">
        <v>54</v>
      </c>
      <c r="HK33" t="s">
        <v>51</v>
      </c>
      <c r="HL33" t="s">
        <v>51</v>
      </c>
      <c r="HM33" t="s">
        <v>51</v>
      </c>
      <c r="HN33" t="s">
        <v>51</v>
      </c>
      <c r="HO33" t="s">
        <v>51</v>
      </c>
      <c r="HP33" t="s">
        <v>51</v>
      </c>
      <c r="HQ33" t="s">
        <v>51</v>
      </c>
      <c r="HR33" t="s">
        <v>51</v>
      </c>
      <c r="HS33" t="s">
        <v>51</v>
      </c>
      <c r="HT33" t="s">
        <v>51</v>
      </c>
      <c r="HU33" t="s">
        <v>51</v>
      </c>
      <c r="HV33" t="s">
        <v>51</v>
      </c>
      <c r="HW33" t="s">
        <v>51</v>
      </c>
      <c r="HX33" t="s">
        <v>51</v>
      </c>
      <c r="HY33" t="s">
        <v>51</v>
      </c>
      <c r="HZ33" t="s">
        <v>51</v>
      </c>
      <c r="IA33" t="s">
        <v>51</v>
      </c>
      <c r="IB33" t="s">
        <v>51</v>
      </c>
      <c r="IC33" t="s">
        <v>51</v>
      </c>
      <c r="ID33" t="s">
        <v>51</v>
      </c>
      <c r="IE33" t="s">
        <v>51</v>
      </c>
      <c r="IF33" t="s">
        <v>51</v>
      </c>
      <c r="IG33" t="s">
        <v>51</v>
      </c>
      <c r="IH33" t="s">
        <v>51</v>
      </c>
      <c r="II33" t="s">
        <v>51</v>
      </c>
      <c r="IJ33" t="s">
        <v>54</v>
      </c>
      <c r="IK33" t="s">
        <v>54</v>
      </c>
      <c r="IL33" t="s">
        <v>54</v>
      </c>
      <c r="IM33" t="s">
        <v>54</v>
      </c>
      <c r="IN33" t="s">
        <v>54</v>
      </c>
      <c r="IO33" t="s">
        <v>54</v>
      </c>
      <c r="IP33" t="s">
        <v>51</v>
      </c>
      <c r="IQ33" t="s">
        <v>51</v>
      </c>
      <c r="IR33" t="s">
        <v>51</v>
      </c>
      <c r="IS33" t="s">
        <v>51</v>
      </c>
      <c r="IT33" t="s">
        <v>51</v>
      </c>
      <c r="IU33" t="s">
        <v>51</v>
      </c>
      <c r="IV33" t="s">
        <v>51</v>
      </c>
      <c r="IW33" t="s">
        <v>51</v>
      </c>
      <c r="IX33" t="s">
        <v>51</v>
      </c>
      <c r="IY33" t="s">
        <v>51</v>
      </c>
      <c r="IZ33" t="s">
        <v>51</v>
      </c>
      <c r="JA33" t="s">
        <v>51</v>
      </c>
      <c r="JB33" t="s">
        <v>51</v>
      </c>
      <c r="JC33" t="s">
        <v>51</v>
      </c>
      <c r="JD33" t="s">
        <v>51</v>
      </c>
      <c r="JE33" t="s">
        <v>51</v>
      </c>
      <c r="JF33" t="s">
        <v>51</v>
      </c>
      <c r="JG33" t="s">
        <v>51</v>
      </c>
      <c r="JH33" t="s">
        <v>51</v>
      </c>
      <c r="JI33" t="s">
        <v>51</v>
      </c>
      <c r="JJ33" t="s">
        <v>51</v>
      </c>
      <c r="JK33" t="s">
        <v>51</v>
      </c>
      <c r="JL33" t="s">
        <v>51</v>
      </c>
      <c r="JM33" t="s">
        <v>51</v>
      </c>
      <c r="JN33" t="s">
        <v>51</v>
      </c>
      <c r="JO33" t="s">
        <v>54</v>
      </c>
      <c r="JP33" t="s">
        <v>54</v>
      </c>
      <c r="JQ33" t="s">
        <v>54</v>
      </c>
      <c r="JR33" t="s">
        <v>54</v>
      </c>
      <c r="JS33" t="s">
        <v>54</v>
      </c>
      <c r="JT33" t="s">
        <v>54</v>
      </c>
      <c r="JU33" t="s">
        <v>51</v>
      </c>
      <c r="JV33" t="s">
        <v>51</v>
      </c>
      <c r="JW33" t="s">
        <v>51</v>
      </c>
      <c r="JX33" t="s">
        <v>51</v>
      </c>
      <c r="JY33" t="s">
        <v>51</v>
      </c>
      <c r="JZ33" t="s">
        <v>51</v>
      </c>
      <c r="KA33" t="s">
        <v>51</v>
      </c>
      <c r="KB33" t="s">
        <v>51</v>
      </c>
      <c r="KC33" t="s">
        <v>51</v>
      </c>
      <c r="KD33" t="s">
        <v>51</v>
      </c>
      <c r="KE33" t="s">
        <v>51</v>
      </c>
      <c r="KF33" t="s">
        <v>51</v>
      </c>
      <c r="KG33" t="s">
        <v>51</v>
      </c>
      <c r="KH33" t="s">
        <v>51</v>
      </c>
      <c r="KI33" t="s">
        <v>51</v>
      </c>
      <c r="KJ33" t="s">
        <v>51</v>
      </c>
      <c r="KK33" t="s">
        <v>51</v>
      </c>
      <c r="KL33" t="s">
        <v>51</v>
      </c>
      <c r="KM33" t="s">
        <v>51</v>
      </c>
      <c r="KN33" t="s">
        <v>51</v>
      </c>
      <c r="KO33" t="s">
        <v>51</v>
      </c>
      <c r="KP33" t="s">
        <v>51</v>
      </c>
      <c r="KQ33" t="s">
        <v>51</v>
      </c>
      <c r="KR33" t="s">
        <v>51</v>
      </c>
      <c r="KS33" t="s">
        <v>51</v>
      </c>
      <c r="KT33" t="s">
        <v>54</v>
      </c>
      <c r="KU33" t="s">
        <v>54</v>
      </c>
      <c r="KV33" t="s">
        <v>54</v>
      </c>
      <c r="KW33" t="s">
        <v>54</v>
      </c>
      <c r="KX33" t="s">
        <v>54</v>
      </c>
      <c r="KY33" t="s">
        <v>54</v>
      </c>
      <c r="KZ33" t="s">
        <v>51</v>
      </c>
      <c r="LA33" t="s">
        <v>51</v>
      </c>
      <c r="LB33" t="s">
        <v>51</v>
      </c>
      <c r="LC33" t="s">
        <v>51</v>
      </c>
      <c r="LD33" t="s">
        <v>51</v>
      </c>
      <c r="LE33" t="s">
        <v>51</v>
      </c>
      <c r="LF33" t="s">
        <v>51</v>
      </c>
      <c r="LG33" t="s">
        <v>51</v>
      </c>
      <c r="LH33" t="s">
        <v>51</v>
      </c>
      <c r="LI33" t="s">
        <v>51</v>
      </c>
      <c r="LJ33" t="s">
        <v>51</v>
      </c>
      <c r="LK33" t="s">
        <v>51</v>
      </c>
      <c r="LL33" t="s">
        <v>51</v>
      </c>
      <c r="LM33" t="s">
        <v>51</v>
      </c>
      <c r="LN33" t="s">
        <v>51</v>
      </c>
      <c r="LO33" t="s">
        <v>51</v>
      </c>
      <c r="LP33" t="s">
        <v>51</v>
      </c>
      <c r="LQ33" t="s">
        <v>51</v>
      </c>
      <c r="LR33" t="s">
        <v>51</v>
      </c>
      <c r="LS33" t="s">
        <v>51</v>
      </c>
      <c r="LT33" t="s">
        <v>51</v>
      </c>
      <c r="LU33" t="s">
        <v>51</v>
      </c>
      <c r="LV33" t="s">
        <v>51</v>
      </c>
      <c r="LW33" t="s">
        <v>51</v>
      </c>
      <c r="LX33" t="s">
        <v>51</v>
      </c>
      <c r="LY33" t="s">
        <v>54</v>
      </c>
      <c r="LZ33" t="s">
        <v>54</v>
      </c>
      <c r="MA33" t="s">
        <v>54</v>
      </c>
      <c r="MB33" t="s">
        <v>54</v>
      </c>
      <c r="MC33" t="s">
        <v>54</v>
      </c>
      <c r="MD33" t="s">
        <v>54</v>
      </c>
      <c r="ME33" t="s">
        <v>51</v>
      </c>
      <c r="MF33" t="s">
        <v>51</v>
      </c>
      <c r="MG33" t="s">
        <v>51</v>
      </c>
      <c r="MH33" t="s">
        <v>51</v>
      </c>
      <c r="MI33" t="s">
        <v>51</v>
      </c>
      <c r="MJ33" t="s">
        <v>51</v>
      </c>
      <c r="MK33" t="s">
        <v>51</v>
      </c>
      <c r="ML33" t="s">
        <v>51</v>
      </c>
      <c r="MM33" t="s">
        <v>51</v>
      </c>
      <c r="MN33" t="s">
        <v>51</v>
      </c>
      <c r="MO33" t="s">
        <v>51</v>
      </c>
      <c r="MP33" t="s">
        <v>51</v>
      </c>
      <c r="MQ33" t="s">
        <v>51</v>
      </c>
      <c r="MR33" t="s">
        <v>51</v>
      </c>
      <c r="MS33" t="s">
        <v>51</v>
      </c>
      <c r="MT33" t="s">
        <v>51</v>
      </c>
      <c r="MU33" t="s">
        <v>51</v>
      </c>
      <c r="MV33" t="s">
        <v>51</v>
      </c>
      <c r="MW33" t="s">
        <v>51</v>
      </c>
      <c r="MX33" t="s">
        <v>51</v>
      </c>
      <c r="MY33" t="s">
        <v>51</v>
      </c>
      <c r="MZ33" t="s">
        <v>51</v>
      </c>
      <c r="NA33" t="s">
        <v>51</v>
      </c>
      <c r="NB33" t="s">
        <v>51</v>
      </c>
      <c r="NC33" t="s">
        <v>51</v>
      </c>
      <c r="ND33" t="s">
        <v>54</v>
      </c>
      <c r="NE33" t="s">
        <v>54</v>
      </c>
      <c r="NF33" t="s">
        <v>54</v>
      </c>
      <c r="NG33" t="s">
        <v>54</v>
      </c>
      <c r="NH33" t="s">
        <v>54</v>
      </c>
      <c r="NI33" t="s">
        <v>54</v>
      </c>
      <c r="NJ33">
        <v>240</v>
      </c>
      <c r="NK33" t="s">
        <v>51</v>
      </c>
      <c r="NL33" t="s">
        <v>51</v>
      </c>
      <c r="NM33" t="s">
        <v>51</v>
      </c>
      <c r="NN33" t="s">
        <v>51</v>
      </c>
      <c r="NO33">
        <v>200</v>
      </c>
      <c r="NP33" t="s">
        <v>51</v>
      </c>
      <c r="NQ33" t="s">
        <v>51</v>
      </c>
      <c r="NR33" t="s">
        <v>51</v>
      </c>
      <c r="NS33" t="s">
        <v>51</v>
      </c>
      <c r="NT33" t="s">
        <v>51</v>
      </c>
      <c r="NU33" t="s">
        <v>51</v>
      </c>
      <c r="NV33" t="s">
        <v>51</v>
      </c>
      <c r="NW33" t="s">
        <v>51</v>
      </c>
      <c r="NX33" t="s">
        <v>51</v>
      </c>
      <c r="NY33" t="s">
        <v>51</v>
      </c>
      <c r="NZ33" t="s">
        <v>51</v>
      </c>
      <c r="OA33" t="s">
        <v>51</v>
      </c>
      <c r="OB33" t="s">
        <v>51</v>
      </c>
      <c r="OC33" t="s">
        <v>51</v>
      </c>
      <c r="OD33" t="s">
        <v>51</v>
      </c>
      <c r="OE33" t="s">
        <v>51</v>
      </c>
      <c r="OF33" t="s">
        <v>51</v>
      </c>
      <c r="OG33" t="s">
        <v>51</v>
      </c>
      <c r="OH33" t="s">
        <v>51</v>
      </c>
      <c r="OI33" t="s">
        <v>54</v>
      </c>
      <c r="OJ33" t="s">
        <v>51</v>
      </c>
      <c r="OK33" t="s">
        <v>54</v>
      </c>
      <c r="OL33" t="s">
        <v>54</v>
      </c>
      <c r="OM33" t="s">
        <v>54</v>
      </c>
      <c r="ON33" t="s">
        <v>54</v>
      </c>
      <c r="OO33">
        <v>220</v>
      </c>
      <c r="OP33" t="s">
        <v>51</v>
      </c>
      <c r="OQ33">
        <v>260</v>
      </c>
      <c r="OR33">
        <v>265</v>
      </c>
      <c r="OS33">
        <v>260</v>
      </c>
      <c r="OT33">
        <v>305</v>
      </c>
      <c r="OU33" t="s">
        <v>51</v>
      </c>
      <c r="OV33" t="s">
        <v>51</v>
      </c>
      <c r="OW33" t="s">
        <v>51</v>
      </c>
      <c r="OX33" t="s">
        <v>51</v>
      </c>
      <c r="OY33" t="s">
        <v>51</v>
      </c>
      <c r="OZ33" t="s">
        <v>51</v>
      </c>
      <c r="PA33" t="s">
        <v>51</v>
      </c>
      <c r="PB33" t="s">
        <v>51</v>
      </c>
      <c r="PC33" t="s">
        <v>51</v>
      </c>
      <c r="PD33" t="s">
        <v>51</v>
      </c>
      <c r="PE33" t="s">
        <v>51</v>
      </c>
      <c r="PF33" t="s">
        <v>51</v>
      </c>
      <c r="PG33" t="s">
        <v>51</v>
      </c>
      <c r="PH33" t="s">
        <v>51</v>
      </c>
      <c r="PI33" t="s">
        <v>51</v>
      </c>
      <c r="PJ33" t="s">
        <v>51</v>
      </c>
      <c r="PK33" t="s">
        <v>51</v>
      </c>
      <c r="PL33" t="s">
        <v>51</v>
      </c>
      <c r="PM33" t="s">
        <v>51</v>
      </c>
      <c r="PN33" t="s">
        <v>54</v>
      </c>
      <c r="PO33" t="s">
        <v>54</v>
      </c>
      <c r="PP33" t="s">
        <v>51</v>
      </c>
      <c r="PQ33" t="s">
        <v>54</v>
      </c>
      <c r="PR33" t="s">
        <v>54</v>
      </c>
      <c r="PS33" t="s">
        <v>51</v>
      </c>
      <c r="PT33">
        <v>290</v>
      </c>
      <c r="PU33">
        <v>210</v>
      </c>
      <c r="PV33">
        <v>280</v>
      </c>
      <c r="PW33">
        <v>295</v>
      </c>
      <c r="PX33">
        <v>385</v>
      </c>
      <c r="PY33">
        <v>410</v>
      </c>
      <c r="PZ33" t="s">
        <v>51</v>
      </c>
      <c r="QA33" t="s">
        <v>51</v>
      </c>
      <c r="QB33" t="s">
        <v>51</v>
      </c>
      <c r="QC33" t="s">
        <v>51</v>
      </c>
      <c r="QD33" t="s">
        <v>51</v>
      </c>
      <c r="QE33" t="s">
        <v>51</v>
      </c>
      <c r="QF33" t="s">
        <v>51</v>
      </c>
      <c r="QG33" t="s">
        <v>51</v>
      </c>
      <c r="QH33" t="s">
        <v>51</v>
      </c>
      <c r="QI33" t="s">
        <v>51</v>
      </c>
      <c r="QJ33" t="s">
        <v>51</v>
      </c>
      <c r="QK33" t="s">
        <v>51</v>
      </c>
      <c r="QL33" t="s">
        <v>51</v>
      </c>
      <c r="QM33" t="s">
        <v>51</v>
      </c>
      <c r="QN33" t="s">
        <v>51</v>
      </c>
      <c r="QO33" t="s">
        <v>51</v>
      </c>
      <c r="QP33" t="s">
        <v>51</v>
      </c>
      <c r="QQ33" t="s">
        <v>51</v>
      </c>
      <c r="QR33" t="s">
        <v>51</v>
      </c>
      <c r="QS33" t="s">
        <v>51</v>
      </c>
      <c r="QT33" t="s">
        <v>51</v>
      </c>
      <c r="QU33" t="s">
        <v>51</v>
      </c>
      <c r="QV33" t="s">
        <v>54</v>
      </c>
      <c r="QW33" t="s">
        <v>54</v>
      </c>
      <c r="QX33" t="s">
        <v>54</v>
      </c>
      <c r="QY33">
        <v>310</v>
      </c>
      <c r="QZ33">
        <v>290</v>
      </c>
      <c r="RA33">
        <v>345</v>
      </c>
      <c r="RB33">
        <v>430</v>
      </c>
      <c r="RC33">
        <v>420</v>
      </c>
      <c r="RD33">
        <v>690</v>
      </c>
      <c r="RE33">
        <v>875</v>
      </c>
      <c r="RF33">
        <v>890</v>
      </c>
      <c r="RG33" t="s">
        <v>51</v>
      </c>
      <c r="RH33" t="s">
        <v>51</v>
      </c>
      <c r="RI33" t="s">
        <v>51</v>
      </c>
      <c r="RJ33" t="s">
        <v>51</v>
      </c>
      <c r="RK33" t="s">
        <v>51</v>
      </c>
      <c r="RL33" t="s">
        <v>51</v>
      </c>
      <c r="RM33" t="s">
        <v>51</v>
      </c>
      <c r="RN33" t="s">
        <v>51</v>
      </c>
      <c r="RO33" t="s">
        <v>51</v>
      </c>
      <c r="RP33" t="s">
        <v>51</v>
      </c>
      <c r="RQ33" t="s">
        <v>51</v>
      </c>
      <c r="RR33" t="s">
        <v>51</v>
      </c>
      <c r="RS33" t="s">
        <v>51</v>
      </c>
      <c r="RT33" t="s">
        <v>51</v>
      </c>
      <c r="RU33" t="s">
        <v>51</v>
      </c>
      <c r="RV33" t="s">
        <v>51</v>
      </c>
      <c r="RW33" t="s">
        <v>51</v>
      </c>
      <c r="RX33" t="s">
        <v>51</v>
      </c>
      <c r="RY33" t="s">
        <v>54</v>
      </c>
      <c r="RZ33" t="s">
        <v>51</v>
      </c>
      <c r="SA33" t="s">
        <v>54</v>
      </c>
      <c r="SB33" t="s">
        <v>51</v>
      </c>
      <c r="SC33" t="s">
        <v>51</v>
      </c>
      <c r="SD33" s="1">
        <v>1435</v>
      </c>
      <c r="SE33">
        <v>855</v>
      </c>
      <c r="SF33" s="1">
        <v>2425</v>
      </c>
      <c r="SG33" s="1">
        <v>2515</v>
      </c>
      <c r="SH33" s="1">
        <v>3530</v>
      </c>
      <c r="SI33" s="1">
        <v>5270</v>
      </c>
      <c r="SJ33" s="1">
        <v>6800</v>
      </c>
      <c r="SK33" s="1">
        <v>6700</v>
      </c>
      <c r="SL33" s="1">
        <v>3150</v>
      </c>
      <c r="SM33">
        <v>210</v>
      </c>
      <c r="SN33" t="s">
        <v>51</v>
      </c>
      <c r="SO33" t="s">
        <v>51</v>
      </c>
      <c r="SP33" t="s">
        <v>51</v>
      </c>
      <c r="SQ33" t="s">
        <v>51</v>
      </c>
      <c r="SR33" t="s">
        <v>51</v>
      </c>
      <c r="SS33" t="s">
        <v>51</v>
      </c>
      <c r="ST33" t="s">
        <v>51</v>
      </c>
      <c r="SU33" t="s">
        <v>51</v>
      </c>
      <c r="SV33" t="s">
        <v>51</v>
      </c>
      <c r="SW33" t="s">
        <v>51</v>
      </c>
      <c r="SX33" t="s">
        <v>51</v>
      </c>
      <c r="SY33" t="s">
        <v>51</v>
      </c>
      <c r="SZ33" t="s">
        <v>51</v>
      </c>
      <c r="TA33" t="s">
        <v>51</v>
      </c>
      <c r="TB33" t="s">
        <v>51</v>
      </c>
      <c r="TC33" t="s">
        <v>51</v>
      </c>
      <c r="TD33" t="s">
        <v>51</v>
      </c>
      <c r="TE33" t="s">
        <v>51</v>
      </c>
      <c r="TF33" t="s">
        <v>51</v>
      </c>
      <c r="TG33" t="s">
        <v>51</v>
      </c>
      <c r="TH33" t="s">
        <v>51</v>
      </c>
      <c r="TI33" s="1">
        <v>4735</v>
      </c>
      <c r="TJ33" s="1">
        <v>3385</v>
      </c>
      <c r="TK33" s="1">
        <v>5845</v>
      </c>
      <c r="TL33" s="1">
        <v>6340</v>
      </c>
      <c r="TM33" s="1">
        <v>7395</v>
      </c>
      <c r="TN33" s="1">
        <v>9800</v>
      </c>
      <c r="TO33" s="1">
        <v>12220</v>
      </c>
      <c r="TP33" s="1">
        <v>12525</v>
      </c>
      <c r="TQ33" s="1">
        <v>7830</v>
      </c>
      <c r="TR33">
        <v>380</v>
      </c>
      <c r="TS33">
        <v>210</v>
      </c>
      <c r="TT33">
        <v>240</v>
      </c>
      <c r="TU33">
        <v>245</v>
      </c>
      <c r="TV33">
        <v>200</v>
      </c>
      <c r="TW33">
        <v>255</v>
      </c>
      <c r="TX33" t="s">
        <v>51</v>
      </c>
      <c r="TY33" t="s">
        <v>51</v>
      </c>
      <c r="TZ33" t="s">
        <v>51</v>
      </c>
      <c r="UA33" t="s">
        <v>51</v>
      </c>
      <c r="UB33">
        <v>200</v>
      </c>
      <c r="UC33">
        <v>210</v>
      </c>
      <c r="UD33">
        <v>260</v>
      </c>
      <c r="UE33">
        <v>245</v>
      </c>
      <c r="UF33">
        <v>220</v>
      </c>
      <c r="UG33" t="s">
        <v>51</v>
      </c>
      <c r="UH33" t="s">
        <v>51</v>
      </c>
      <c r="UI33" t="s">
        <v>51</v>
      </c>
      <c r="UJ33" t="s">
        <v>51</v>
      </c>
      <c r="UK33" t="s">
        <v>51</v>
      </c>
      <c r="UL33" t="s">
        <v>51</v>
      </c>
      <c r="UM33" t="s">
        <v>51</v>
      </c>
      <c r="UN33" s="1">
        <v>9960</v>
      </c>
      <c r="UO33" s="1">
        <v>8575</v>
      </c>
      <c r="UP33" s="1">
        <v>11515</v>
      </c>
      <c r="UQ33" s="1">
        <v>11580</v>
      </c>
      <c r="UR33" s="1">
        <v>13440</v>
      </c>
      <c r="US33" s="1">
        <v>16735</v>
      </c>
      <c r="UT33" s="1">
        <v>21015</v>
      </c>
      <c r="UU33" s="1">
        <v>20620</v>
      </c>
      <c r="UV33" s="1">
        <v>15485</v>
      </c>
      <c r="UW33" s="1">
        <v>1990</v>
      </c>
      <c r="UX33" s="1">
        <v>1650</v>
      </c>
      <c r="UY33" s="1">
        <v>1880</v>
      </c>
      <c r="UZ33" s="1">
        <v>1295</v>
      </c>
      <c r="VA33" s="1">
        <v>1160</v>
      </c>
      <c r="VB33" s="1">
        <v>1610</v>
      </c>
      <c r="VC33" s="1">
        <v>1760</v>
      </c>
      <c r="VD33" s="1">
        <v>2135</v>
      </c>
      <c r="VE33">
        <v>675</v>
      </c>
      <c r="VF33">
        <v>990</v>
      </c>
      <c r="VG33" s="1">
        <v>1615</v>
      </c>
      <c r="VH33" s="1">
        <v>1865</v>
      </c>
      <c r="VI33" s="1">
        <v>2100</v>
      </c>
      <c r="VJ33" s="1">
        <v>3020</v>
      </c>
      <c r="VK33" s="1">
        <v>2855</v>
      </c>
      <c r="VL33" s="1">
        <v>1315</v>
      </c>
      <c r="VM33" t="s">
        <v>51</v>
      </c>
      <c r="VN33" t="s">
        <v>51</v>
      </c>
      <c r="VO33" t="s">
        <v>51</v>
      </c>
      <c r="VP33" t="s">
        <v>51</v>
      </c>
      <c r="VQ33" s="1">
        <v>3685</v>
      </c>
      <c r="VR33" s="1">
        <v>4545</v>
      </c>
      <c r="VS33" s="1">
        <v>18785</v>
      </c>
      <c r="VT33" s="1">
        <v>16490</v>
      </c>
      <c r="VU33" s="1">
        <v>19975</v>
      </c>
      <c r="VV33" s="1">
        <v>22065</v>
      </c>
      <c r="VW33" s="1">
        <v>24545</v>
      </c>
      <c r="VX33" s="1">
        <v>29360</v>
      </c>
      <c r="VY33" s="1">
        <v>34965</v>
      </c>
      <c r="VZ33" s="1">
        <v>34225</v>
      </c>
      <c r="WA33" s="1">
        <v>28450</v>
      </c>
      <c r="WB33" s="1">
        <v>8740</v>
      </c>
      <c r="WC33" s="1">
        <v>8990</v>
      </c>
      <c r="WD33" s="1">
        <v>9040</v>
      </c>
      <c r="WE33" s="1">
        <v>6830</v>
      </c>
      <c r="WF33" s="1">
        <v>7245</v>
      </c>
      <c r="WG33" s="1">
        <v>8485</v>
      </c>
      <c r="WH33" s="1">
        <v>7970</v>
      </c>
      <c r="WI33" s="1">
        <v>9560</v>
      </c>
      <c r="WJ33" s="1">
        <v>5645</v>
      </c>
      <c r="WK33" s="1">
        <v>7290</v>
      </c>
      <c r="WL33" s="1">
        <v>9230</v>
      </c>
      <c r="WM33" s="1">
        <v>10640</v>
      </c>
      <c r="WN33" s="1">
        <v>12020</v>
      </c>
      <c r="WO33" s="1">
        <v>11590</v>
      </c>
      <c r="WP33" s="1">
        <v>11685</v>
      </c>
      <c r="WQ33" s="1">
        <v>9705</v>
      </c>
      <c r="WR33" s="1">
        <v>11520</v>
      </c>
      <c r="WS33" s="1">
        <v>11835</v>
      </c>
      <c r="WT33" s="1">
        <v>11630</v>
      </c>
      <c r="WU33" s="1">
        <v>11275</v>
      </c>
      <c r="WV33" s="1">
        <v>15040</v>
      </c>
      <c r="WW33" s="1">
        <v>18120</v>
      </c>
      <c r="WX33" s="1">
        <v>83130</v>
      </c>
      <c r="WY33" s="1">
        <v>74735</v>
      </c>
      <c r="WZ33" s="1">
        <v>56880</v>
      </c>
      <c r="XA33" s="1">
        <v>97960</v>
      </c>
      <c r="XB33" s="1">
        <v>106990</v>
      </c>
      <c r="XC33" s="1">
        <v>120415</v>
      </c>
      <c r="XD33" s="1">
        <v>133100</v>
      </c>
      <c r="XE33" s="1">
        <v>135990</v>
      </c>
      <c r="XF33" s="1">
        <v>125250</v>
      </c>
      <c r="XG33" s="1">
        <v>88095</v>
      </c>
      <c r="XH33" s="1">
        <v>87550</v>
      </c>
      <c r="XI33" s="1">
        <v>87895</v>
      </c>
      <c r="XJ33" s="1">
        <v>83120</v>
      </c>
      <c r="XK33" s="1">
        <v>81035</v>
      </c>
      <c r="XL33" s="1">
        <v>84300</v>
      </c>
      <c r="XM33" s="1">
        <v>82540</v>
      </c>
      <c r="XN33" s="1">
        <v>90670</v>
      </c>
      <c r="XO33" s="1">
        <v>77335</v>
      </c>
      <c r="XP33" s="1">
        <v>78965</v>
      </c>
      <c r="XQ33" s="1">
        <v>85155</v>
      </c>
      <c r="XR33" s="1">
        <v>88895</v>
      </c>
      <c r="XS33" s="1">
        <v>91000</v>
      </c>
      <c r="XT33" s="1">
        <v>90615</v>
      </c>
      <c r="XU33" s="1">
        <v>96985</v>
      </c>
      <c r="XV33" s="1">
        <v>91035</v>
      </c>
      <c r="XW33" s="1">
        <v>96205</v>
      </c>
      <c r="XX33" s="1">
        <v>103550</v>
      </c>
      <c r="XY33" s="1">
        <v>104730</v>
      </c>
      <c r="XZ33" s="1">
        <v>100640</v>
      </c>
      <c r="YA33" s="1">
        <v>109350</v>
      </c>
      <c r="YB33" s="1">
        <v>123840</v>
      </c>
    </row>
    <row r="34" spans="1:652" x14ac:dyDescent="0.2">
      <c r="A34" t="s">
        <v>56</v>
      </c>
      <c r="B34" s="1">
        <v>19795</v>
      </c>
      <c r="C34" s="1">
        <v>22720</v>
      </c>
      <c r="D34" s="1">
        <v>17900</v>
      </c>
      <c r="E34" s="1">
        <v>22225</v>
      </c>
      <c r="F34" s="1">
        <v>25500</v>
      </c>
      <c r="G34" s="1">
        <v>30580</v>
      </c>
      <c r="H34" s="1">
        <v>34400</v>
      </c>
      <c r="I34" s="1">
        <v>33130</v>
      </c>
      <c r="J34" s="1">
        <v>27295</v>
      </c>
      <c r="K34" s="1">
        <v>14090</v>
      </c>
      <c r="L34" s="1">
        <v>13715</v>
      </c>
      <c r="M34" s="1">
        <v>13590</v>
      </c>
      <c r="N34" s="1">
        <v>12435</v>
      </c>
      <c r="O34" s="1">
        <v>12450</v>
      </c>
      <c r="P34" s="1">
        <v>13170</v>
      </c>
      <c r="Q34" s="1">
        <v>12800</v>
      </c>
      <c r="R34" s="1">
        <v>14150</v>
      </c>
      <c r="S34" s="1">
        <v>10910</v>
      </c>
      <c r="T34" s="1">
        <v>9965</v>
      </c>
      <c r="U34" s="1">
        <v>10430</v>
      </c>
      <c r="V34" s="1">
        <v>10820</v>
      </c>
      <c r="W34" s="1">
        <v>10425</v>
      </c>
      <c r="X34" s="1">
        <v>10265</v>
      </c>
      <c r="Y34" s="1">
        <v>12650</v>
      </c>
      <c r="Z34" s="1">
        <v>23945</v>
      </c>
      <c r="AA34" s="1">
        <v>26385</v>
      </c>
      <c r="AB34" s="1">
        <v>29485</v>
      </c>
      <c r="AC34" s="1">
        <v>29225</v>
      </c>
      <c r="AD34" s="1">
        <v>29060</v>
      </c>
      <c r="AE34" s="1">
        <v>32685</v>
      </c>
      <c r="AF34" s="1">
        <v>34605</v>
      </c>
      <c r="AG34">
        <v>335</v>
      </c>
      <c r="AH34" s="1">
        <v>4435</v>
      </c>
      <c r="AI34" s="1">
        <v>2745</v>
      </c>
      <c r="AJ34">
        <v>275</v>
      </c>
      <c r="AK34">
        <v>360</v>
      </c>
      <c r="AL34">
        <v>355</v>
      </c>
      <c r="AM34">
        <v>300</v>
      </c>
      <c r="AN34">
        <v>230</v>
      </c>
      <c r="AO34" t="s">
        <v>51</v>
      </c>
      <c r="AP34" t="s">
        <v>51</v>
      </c>
      <c r="AQ34" t="s">
        <v>51</v>
      </c>
      <c r="AR34" t="s">
        <v>51</v>
      </c>
      <c r="AS34" t="s">
        <v>51</v>
      </c>
      <c r="AT34" t="s">
        <v>51</v>
      </c>
      <c r="AU34" t="s">
        <v>51</v>
      </c>
      <c r="AV34" t="s">
        <v>51</v>
      </c>
      <c r="AW34" t="s">
        <v>54</v>
      </c>
      <c r="AX34" t="s">
        <v>51</v>
      </c>
      <c r="AY34" t="s">
        <v>51</v>
      </c>
      <c r="AZ34" t="s">
        <v>51</v>
      </c>
      <c r="BA34" t="s">
        <v>51</v>
      </c>
      <c r="BB34" t="s">
        <v>54</v>
      </c>
      <c r="BC34" t="s">
        <v>54</v>
      </c>
      <c r="BD34" t="s">
        <v>54</v>
      </c>
      <c r="BE34" t="s">
        <v>51</v>
      </c>
      <c r="BF34" t="s">
        <v>54</v>
      </c>
      <c r="BG34" t="s">
        <v>54</v>
      </c>
      <c r="BH34" t="s">
        <v>54</v>
      </c>
      <c r="BI34" t="s">
        <v>54</v>
      </c>
      <c r="BJ34" t="s">
        <v>54</v>
      </c>
      <c r="BK34" t="s">
        <v>54</v>
      </c>
      <c r="BL34" t="s">
        <v>51</v>
      </c>
      <c r="BM34">
        <v>780</v>
      </c>
      <c r="BN34">
        <v>505</v>
      </c>
      <c r="BO34" t="s">
        <v>51</v>
      </c>
      <c r="BP34" t="s">
        <v>51</v>
      </c>
      <c r="BQ34" t="s">
        <v>51</v>
      </c>
      <c r="BR34" t="s">
        <v>51</v>
      </c>
      <c r="BS34" t="s">
        <v>51</v>
      </c>
      <c r="BT34" t="s">
        <v>51</v>
      </c>
      <c r="BU34" t="s">
        <v>51</v>
      </c>
      <c r="BV34" t="s">
        <v>51</v>
      </c>
      <c r="BW34" t="s">
        <v>51</v>
      </c>
      <c r="BX34" t="s">
        <v>51</v>
      </c>
      <c r="BY34" t="s">
        <v>54</v>
      </c>
      <c r="BZ34" t="s">
        <v>54</v>
      </c>
      <c r="CA34" t="s">
        <v>51</v>
      </c>
      <c r="CB34" t="s">
        <v>54</v>
      </c>
      <c r="CC34" t="s">
        <v>54</v>
      </c>
      <c r="CD34" t="s">
        <v>51</v>
      </c>
      <c r="CE34" t="s">
        <v>54</v>
      </c>
      <c r="CF34" t="s">
        <v>54</v>
      </c>
      <c r="CG34" t="s">
        <v>51</v>
      </c>
      <c r="CH34" t="s">
        <v>54</v>
      </c>
      <c r="CI34" t="s">
        <v>54</v>
      </c>
      <c r="CJ34" t="s">
        <v>54</v>
      </c>
      <c r="CK34" t="s">
        <v>54</v>
      </c>
      <c r="CL34" t="s">
        <v>54</v>
      </c>
      <c r="CM34" t="s">
        <v>54</v>
      </c>
      <c r="CN34" t="s">
        <v>54</v>
      </c>
      <c r="CO34" t="s">
        <v>54</v>
      </c>
      <c r="CP34" t="s">
        <v>54</v>
      </c>
      <c r="CQ34" t="s">
        <v>51</v>
      </c>
      <c r="CR34">
        <v>300</v>
      </c>
      <c r="CS34">
        <v>255</v>
      </c>
      <c r="CT34" t="s">
        <v>51</v>
      </c>
      <c r="CU34" t="s">
        <v>51</v>
      </c>
      <c r="CV34" t="s">
        <v>51</v>
      </c>
      <c r="CW34" t="s">
        <v>51</v>
      </c>
      <c r="CX34" t="s">
        <v>51</v>
      </c>
      <c r="CY34" t="s">
        <v>51</v>
      </c>
      <c r="CZ34" t="s">
        <v>54</v>
      </c>
      <c r="DA34" t="s">
        <v>51</v>
      </c>
      <c r="DB34" t="s">
        <v>51</v>
      </c>
      <c r="DC34" t="s">
        <v>54</v>
      </c>
      <c r="DD34" t="s">
        <v>51</v>
      </c>
      <c r="DE34" t="s">
        <v>54</v>
      </c>
      <c r="DF34" t="s">
        <v>54</v>
      </c>
      <c r="DG34" t="s">
        <v>54</v>
      </c>
      <c r="DH34" t="s">
        <v>54</v>
      </c>
      <c r="DI34" t="s">
        <v>51</v>
      </c>
      <c r="DJ34" t="s">
        <v>54</v>
      </c>
      <c r="DK34" t="s">
        <v>54</v>
      </c>
      <c r="DL34" t="s">
        <v>54</v>
      </c>
      <c r="DM34" t="s">
        <v>54</v>
      </c>
      <c r="DN34" t="s">
        <v>54</v>
      </c>
      <c r="DO34" t="s">
        <v>54</v>
      </c>
      <c r="DP34" t="s">
        <v>54</v>
      </c>
      <c r="DQ34" t="s">
        <v>54</v>
      </c>
      <c r="DR34" t="s">
        <v>54</v>
      </c>
      <c r="DS34" t="s">
        <v>54</v>
      </c>
      <c r="DT34" t="s">
        <v>54</v>
      </c>
      <c r="DU34" t="s">
        <v>54</v>
      </c>
      <c r="DV34" t="s">
        <v>51</v>
      </c>
      <c r="DW34">
        <v>210</v>
      </c>
      <c r="DX34" t="s">
        <v>51</v>
      </c>
      <c r="DY34" t="s">
        <v>51</v>
      </c>
      <c r="DZ34" t="s">
        <v>51</v>
      </c>
      <c r="EA34" t="s">
        <v>51</v>
      </c>
      <c r="EB34" t="s">
        <v>51</v>
      </c>
      <c r="EC34" t="s">
        <v>51</v>
      </c>
      <c r="ED34" t="s">
        <v>51</v>
      </c>
      <c r="EE34" t="s">
        <v>54</v>
      </c>
      <c r="EF34" t="s">
        <v>51</v>
      </c>
      <c r="EG34" t="s">
        <v>54</v>
      </c>
      <c r="EH34" t="s">
        <v>54</v>
      </c>
      <c r="EI34" t="s">
        <v>54</v>
      </c>
      <c r="EJ34" t="s">
        <v>54</v>
      </c>
      <c r="EK34" t="s">
        <v>54</v>
      </c>
      <c r="EL34" t="s">
        <v>54</v>
      </c>
      <c r="EM34" t="s">
        <v>54</v>
      </c>
      <c r="EN34" t="s">
        <v>54</v>
      </c>
      <c r="EO34" t="s">
        <v>54</v>
      </c>
      <c r="EP34" t="s">
        <v>51</v>
      </c>
      <c r="EQ34" t="s">
        <v>54</v>
      </c>
      <c r="ER34" t="s">
        <v>54</v>
      </c>
      <c r="ES34" t="s">
        <v>54</v>
      </c>
      <c r="ET34" t="s">
        <v>51</v>
      </c>
      <c r="EU34" t="s">
        <v>54</v>
      </c>
      <c r="EV34" t="s">
        <v>54</v>
      </c>
      <c r="EW34" t="s">
        <v>54</v>
      </c>
      <c r="EX34" t="s">
        <v>54</v>
      </c>
      <c r="EY34" t="s">
        <v>54</v>
      </c>
      <c r="EZ34" t="s">
        <v>54</v>
      </c>
      <c r="FA34" t="s">
        <v>51</v>
      </c>
      <c r="FB34" t="s">
        <v>51</v>
      </c>
      <c r="FC34" t="s">
        <v>51</v>
      </c>
      <c r="FD34" t="s">
        <v>51</v>
      </c>
      <c r="FE34" t="s">
        <v>51</v>
      </c>
      <c r="FF34" t="s">
        <v>51</v>
      </c>
      <c r="FG34" t="s">
        <v>51</v>
      </c>
      <c r="FH34" t="s">
        <v>51</v>
      </c>
      <c r="FI34" t="s">
        <v>51</v>
      </c>
      <c r="FJ34" t="s">
        <v>51</v>
      </c>
      <c r="FK34" t="s">
        <v>54</v>
      </c>
      <c r="FL34" t="s">
        <v>51</v>
      </c>
      <c r="FM34" t="s">
        <v>54</v>
      </c>
      <c r="FN34" t="s">
        <v>54</v>
      </c>
      <c r="FO34" t="s">
        <v>54</v>
      </c>
      <c r="FP34" t="s">
        <v>54</v>
      </c>
      <c r="FQ34" t="s">
        <v>54</v>
      </c>
      <c r="FR34" t="s">
        <v>54</v>
      </c>
      <c r="FS34" t="s">
        <v>54</v>
      </c>
      <c r="FT34" t="s">
        <v>54</v>
      </c>
      <c r="FU34" t="s">
        <v>54</v>
      </c>
      <c r="FV34" t="s">
        <v>54</v>
      </c>
      <c r="FW34" t="s">
        <v>54</v>
      </c>
      <c r="FX34" t="s">
        <v>54</v>
      </c>
      <c r="FY34" t="s">
        <v>54</v>
      </c>
      <c r="FZ34" t="s">
        <v>54</v>
      </c>
      <c r="GA34" t="s">
        <v>54</v>
      </c>
      <c r="GB34" t="s">
        <v>54</v>
      </c>
      <c r="GC34" t="s">
        <v>54</v>
      </c>
      <c r="GD34" t="s">
        <v>54</v>
      </c>
      <c r="GE34" t="s">
        <v>54</v>
      </c>
      <c r="GF34" t="s">
        <v>51</v>
      </c>
      <c r="GG34" t="s">
        <v>51</v>
      </c>
      <c r="GH34" t="s">
        <v>51</v>
      </c>
      <c r="GI34" t="s">
        <v>51</v>
      </c>
      <c r="GJ34" t="s">
        <v>51</v>
      </c>
      <c r="GK34" t="s">
        <v>51</v>
      </c>
      <c r="GL34" t="s">
        <v>51</v>
      </c>
      <c r="GM34" t="s">
        <v>51</v>
      </c>
      <c r="GN34" t="s">
        <v>51</v>
      </c>
      <c r="GO34" t="s">
        <v>54</v>
      </c>
      <c r="GP34" t="s">
        <v>54</v>
      </c>
      <c r="GQ34" t="s">
        <v>51</v>
      </c>
      <c r="GR34" t="s">
        <v>54</v>
      </c>
      <c r="GS34" t="s">
        <v>54</v>
      </c>
      <c r="GT34" t="s">
        <v>54</v>
      </c>
      <c r="GU34" t="s">
        <v>54</v>
      </c>
      <c r="GV34" t="s">
        <v>54</v>
      </c>
      <c r="GW34" t="s">
        <v>54</v>
      </c>
      <c r="GX34" t="s">
        <v>54</v>
      </c>
      <c r="GY34" t="s">
        <v>54</v>
      </c>
      <c r="GZ34" t="s">
        <v>54</v>
      </c>
      <c r="HA34" t="s">
        <v>54</v>
      </c>
      <c r="HB34" t="s">
        <v>54</v>
      </c>
      <c r="HC34" t="s">
        <v>51</v>
      </c>
      <c r="HD34" t="s">
        <v>54</v>
      </c>
      <c r="HE34" t="s">
        <v>54</v>
      </c>
      <c r="HF34" t="s">
        <v>54</v>
      </c>
      <c r="HG34" t="s">
        <v>54</v>
      </c>
      <c r="HH34" t="s">
        <v>54</v>
      </c>
      <c r="HI34" t="s">
        <v>54</v>
      </c>
      <c r="HJ34" t="s">
        <v>54</v>
      </c>
      <c r="HK34" t="s">
        <v>51</v>
      </c>
      <c r="HL34" t="s">
        <v>51</v>
      </c>
      <c r="HM34" t="s">
        <v>51</v>
      </c>
      <c r="HN34" t="s">
        <v>51</v>
      </c>
      <c r="HO34" t="s">
        <v>51</v>
      </c>
      <c r="HP34" t="s">
        <v>51</v>
      </c>
      <c r="HQ34" t="s">
        <v>51</v>
      </c>
      <c r="HR34" t="s">
        <v>51</v>
      </c>
      <c r="HS34" t="s">
        <v>51</v>
      </c>
      <c r="HT34" t="s">
        <v>51</v>
      </c>
      <c r="HU34" t="s">
        <v>54</v>
      </c>
      <c r="HV34" t="s">
        <v>54</v>
      </c>
      <c r="HW34" t="s">
        <v>54</v>
      </c>
      <c r="HX34" t="s">
        <v>54</v>
      </c>
      <c r="HY34" t="s">
        <v>54</v>
      </c>
      <c r="HZ34" t="s">
        <v>51</v>
      </c>
      <c r="IA34" t="s">
        <v>54</v>
      </c>
      <c r="IB34" t="s">
        <v>54</v>
      </c>
      <c r="IC34" t="s">
        <v>54</v>
      </c>
      <c r="ID34" t="s">
        <v>54</v>
      </c>
      <c r="IE34" t="s">
        <v>54</v>
      </c>
      <c r="IF34" t="s">
        <v>54</v>
      </c>
      <c r="IG34" t="s">
        <v>54</v>
      </c>
      <c r="IH34" t="s">
        <v>54</v>
      </c>
      <c r="II34" t="s">
        <v>54</v>
      </c>
      <c r="IJ34" t="s">
        <v>54</v>
      </c>
      <c r="IK34" t="s">
        <v>54</v>
      </c>
      <c r="IL34" t="s">
        <v>54</v>
      </c>
      <c r="IM34" t="s">
        <v>54</v>
      </c>
      <c r="IN34" t="s">
        <v>54</v>
      </c>
      <c r="IO34" t="s">
        <v>54</v>
      </c>
      <c r="IP34" t="s">
        <v>51</v>
      </c>
      <c r="IQ34" t="s">
        <v>51</v>
      </c>
      <c r="IR34" t="s">
        <v>51</v>
      </c>
      <c r="IS34" t="s">
        <v>51</v>
      </c>
      <c r="IT34" t="s">
        <v>51</v>
      </c>
      <c r="IU34" t="s">
        <v>51</v>
      </c>
      <c r="IV34" t="s">
        <v>51</v>
      </c>
      <c r="IW34" t="s">
        <v>51</v>
      </c>
      <c r="IX34" t="s">
        <v>51</v>
      </c>
      <c r="IY34" t="s">
        <v>54</v>
      </c>
      <c r="IZ34" t="s">
        <v>51</v>
      </c>
      <c r="JA34" t="s">
        <v>54</v>
      </c>
      <c r="JB34" t="s">
        <v>54</v>
      </c>
      <c r="JC34" t="s">
        <v>54</v>
      </c>
      <c r="JD34" t="s">
        <v>54</v>
      </c>
      <c r="JE34" t="s">
        <v>54</v>
      </c>
      <c r="JF34" t="s">
        <v>54</v>
      </c>
      <c r="JG34" t="s">
        <v>54</v>
      </c>
      <c r="JH34" t="s">
        <v>54</v>
      </c>
      <c r="JI34" t="s">
        <v>54</v>
      </c>
      <c r="JJ34" t="s">
        <v>54</v>
      </c>
      <c r="JK34" t="s">
        <v>54</v>
      </c>
      <c r="JL34" t="s">
        <v>51</v>
      </c>
      <c r="JM34" t="s">
        <v>54</v>
      </c>
      <c r="JN34" t="s">
        <v>54</v>
      </c>
      <c r="JO34" t="s">
        <v>54</v>
      </c>
      <c r="JP34" t="s">
        <v>54</v>
      </c>
      <c r="JQ34" t="s">
        <v>54</v>
      </c>
      <c r="JR34" t="s">
        <v>54</v>
      </c>
      <c r="JS34" t="s">
        <v>54</v>
      </c>
      <c r="JT34" t="s">
        <v>54</v>
      </c>
      <c r="JU34" t="s">
        <v>51</v>
      </c>
      <c r="JV34" t="s">
        <v>51</v>
      </c>
      <c r="JW34" t="s">
        <v>51</v>
      </c>
      <c r="JX34" t="s">
        <v>51</v>
      </c>
      <c r="JY34" t="s">
        <v>51</v>
      </c>
      <c r="JZ34" t="s">
        <v>51</v>
      </c>
      <c r="KA34" t="s">
        <v>51</v>
      </c>
      <c r="KB34" t="s">
        <v>51</v>
      </c>
      <c r="KC34" t="s">
        <v>51</v>
      </c>
      <c r="KD34" t="s">
        <v>54</v>
      </c>
      <c r="KE34" t="s">
        <v>54</v>
      </c>
      <c r="KF34" t="s">
        <v>54</v>
      </c>
      <c r="KG34" t="s">
        <v>54</v>
      </c>
      <c r="KH34" t="s">
        <v>54</v>
      </c>
      <c r="KI34" t="s">
        <v>54</v>
      </c>
      <c r="KJ34" t="s">
        <v>54</v>
      </c>
      <c r="KK34" t="s">
        <v>54</v>
      </c>
      <c r="KL34" t="s">
        <v>54</v>
      </c>
      <c r="KM34" t="s">
        <v>54</v>
      </c>
      <c r="KN34" t="s">
        <v>54</v>
      </c>
      <c r="KO34" t="s">
        <v>54</v>
      </c>
      <c r="KP34" t="s">
        <v>54</v>
      </c>
      <c r="KQ34" t="s">
        <v>54</v>
      </c>
      <c r="KR34" t="s">
        <v>54</v>
      </c>
      <c r="KS34" t="s">
        <v>54</v>
      </c>
      <c r="KT34" t="s">
        <v>54</v>
      </c>
      <c r="KU34" t="s">
        <v>54</v>
      </c>
      <c r="KV34" t="s">
        <v>54</v>
      </c>
      <c r="KW34" t="s">
        <v>54</v>
      </c>
      <c r="KX34" t="s">
        <v>54</v>
      </c>
      <c r="KY34" t="s">
        <v>54</v>
      </c>
      <c r="KZ34" t="s">
        <v>51</v>
      </c>
      <c r="LA34" t="s">
        <v>51</v>
      </c>
      <c r="LB34" t="s">
        <v>51</v>
      </c>
      <c r="LC34" t="s">
        <v>51</v>
      </c>
      <c r="LD34" t="s">
        <v>51</v>
      </c>
      <c r="LE34" t="s">
        <v>51</v>
      </c>
      <c r="LF34" t="s">
        <v>51</v>
      </c>
      <c r="LG34" t="s">
        <v>51</v>
      </c>
      <c r="LH34" t="s">
        <v>51</v>
      </c>
      <c r="LI34" t="s">
        <v>51</v>
      </c>
      <c r="LJ34" t="s">
        <v>51</v>
      </c>
      <c r="LK34" t="s">
        <v>51</v>
      </c>
      <c r="LL34" t="s">
        <v>54</v>
      </c>
      <c r="LM34" t="s">
        <v>54</v>
      </c>
      <c r="LN34" t="s">
        <v>54</v>
      </c>
      <c r="LO34" t="s">
        <v>54</v>
      </c>
      <c r="LP34" t="s">
        <v>54</v>
      </c>
      <c r="LQ34" t="s">
        <v>54</v>
      </c>
      <c r="LR34" t="s">
        <v>54</v>
      </c>
      <c r="LS34" t="s">
        <v>54</v>
      </c>
      <c r="LT34" t="s">
        <v>51</v>
      </c>
      <c r="LU34" t="s">
        <v>54</v>
      </c>
      <c r="LV34" t="s">
        <v>51</v>
      </c>
      <c r="LW34" t="s">
        <v>51</v>
      </c>
      <c r="LX34" t="s">
        <v>51</v>
      </c>
      <c r="LY34" t="s">
        <v>54</v>
      </c>
      <c r="LZ34" t="s">
        <v>54</v>
      </c>
      <c r="MA34" t="s">
        <v>54</v>
      </c>
      <c r="MB34" t="s">
        <v>54</v>
      </c>
      <c r="MC34" t="s">
        <v>54</v>
      </c>
      <c r="MD34" t="s">
        <v>54</v>
      </c>
      <c r="ME34" t="s">
        <v>51</v>
      </c>
      <c r="MF34" t="s">
        <v>51</v>
      </c>
      <c r="MG34" t="s">
        <v>51</v>
      </c>
      <c r="MH34" t="s">
        <v>51</v>
      </c>
      <c r="MI34" t="s">
        <v>51</v>
      </c>
      <c r="MJ34" t="s">
        <v>51</v>
      </c>
      <c r="MK34" t="s">
        <v>51</v>
      </c>
      <c r="ML34" t="s">
        <v>51</v>
      </c>
      <c r="MM34" t="s">
        <v>51</v>
      </c>
      <c r="MN34" t="s">
        <v>51</v>
      </c>
      <c r="MO34" t="s">
        <v>51</v>
      </c>
      <c r="MP34" t="s">
        <v>51</v>
      </c>
      <c r="MQ34" t="s">
        <v>51</v>
      </c>
      <c r="MR34" t="s">
        <v>51</v>
      </c>
      <c r="MS34" t="s">
        <v>54</v>
      </c>
      <c r="MT34" t="s">
        <v>51</v>
      </c>
      <c r="MU34" t="s">
        <v>51</v>
      </c>
      <c r="MV34" t="s">
        <v>54</v>
      </c>
      <c r="MW34" t="s">
        <v>54</v>
      </c>
      <c r="MX34" t="s">
        <v>51</v>
      </c>
      <c r="MY34" t="s">
        <v>54</v>
      </c>
      <c r="MZ34" t="s">
        <v>54</v>
      </c>
      <c r="NA34" t="s">
        <v>54</v>
      </c>
      <c r="NB34" t="s">
        <v>51</v>
      </c>
      <c r="NC34" t="s">
        <v>54</v>
      </c>
      <c r="ND34" t="s">
        <v>54</v>
      </c>
      <c r="NE34" t="s">
        <v>54</v>
      </c>
      <c r="NF34" t="s">
        <v>54</v>
      </c>
      <c r="NG34" t="s">
        <v>54</v>
      </c>
      <c r="NH34" t="s">
        <v>54</v>
      </c>
      <c r="NI34" t="s">
        <v>54</v>
      </c>
      <c r="NJ34" t="s">
        <v>51</v>
      </c>
      <c r="NK34" t="s">
        <v>51</v>
      </c>
      <c r="NL34" t="s">
        <v>51</v>
      </c>
      <c r="NM34" t="s">
        <v>51</v>
      </c>
      <c r="NN34" t="s">
        <v>51</v>
      </c>
      <c r="NO34" t="s">
        <v>51</v>
      </c>
      <c r="NP34" t="s">
        <v>54</v>
      </c>
      <c r="NQ34" t="s">
        <v>51</v>
      </c>
      <c r="NR34" t="s">
        <v>51</v>
      </c>
      <c r="NS34" t="s">
        <v>51</v>
      </c>
      <c r="NT34" t="s">
        <v>51</v>
      </c>
      <c r="NU34" t="s">
        <v>51</v>
      </c>
      <c r="NV34" t="s">
        <v>51</v>
      </c>
      <c r="NW34" t="s">
        <v>51</v>
      </c>
      <c r="NX34" t="s">
        <v>51</v>
      </c>
      <c r="NY34" t="s">
        <v>51</v>
      </c>
      <c r="NZ34" t="s">
        <v>51</v>
      </c>
      <c r="OA34" t="s">
        <v>54</v>
      </c>
      <c r="OB34" t="s">
        <v>51</v>
      </c>
      <c r="OC34" t="s">
        <v>51</v>
      </c>
      <c r="OD34" t="s">
        <v>51</v>
      </c>
      <c r="OE34" t="s">
        <v>51</v>
      </c>
      <c r="OF34" t="s">
        <v>51</v>
      </c>
      <c r="OG34" t="s">
        <v>51</v>
      </c>
      <c r="OH34" t="s">
        <v>51</v>
      </c>
      <c r="OI34" t="s">
        <v>54</v>
      </c>
      <c r="OJ34" t="s">
        <v>54</v>
      </c>
      <c r="OK34" t="s">
        <v>54</v>
      </c>
      <c r="OL34" t="s">
        <v>54</v>
      </c>
      <c r="OM34" t="s">
        <v>54</v>
      </c>
      <c r="ON34" t="s">
        <v>54</v>
      </c>
      <c r="OO34" t="s">
        <v>51</v>
      </c>
      <c r="OP34" t="s">
        <v>51</v>
      </c>
      <c r="OQ34" t="s">
        <v>51</v>
      </c>
      <c r="OR34" t="s">
        <v>51</v>
      </c>
      <c r="OS34" t="s">
        <v>51</v>
      </c>
      <c r="OT34" t="s">
        <v>51</v>
      </c>
      <c r="OU34" t="s">
        <v>51</v>
      </c>
      <c r="OV34" t="s">
        <v>51</v>
      </c>
      <c r="OW34" t="s">
        <v>51</v>
      </c>
      <c r="OX34" t="s">
        <v>54</v>
      </c>
      <c r="OY34" t="s">
        <v>51</v>
      </c>
      <c r="OZ34" t="s">
        <v>51</v>
      </c>
      <c r="PA34" t="s">
        <v>51</v>
      </c>
      <c r="PB34" t="s">
        <v>51</v>
      </c>
      <c r="PC34" t="s">
        <v>54</v>
      </c>
      <c r="PD34" t="s">
        <v>51</v>
      </c>
      <c r="PE34" t="s">
        <v>51</v>
      </c>
      <c r="PF34" t="s">
        <v>51</v>
      </c>
      <c r="PG34" t="s">
        <v>51</v>
      </c>
      <c r="PH34" t="s">
        <v>54</v>
      </c>
      <c r="PI34" t="s">
        <v>51</v>
      </c>
      <c r="PJ34" t="s">
        <v>51</v>
      </c>
      <c r="PK34" t="s">
        <v>54</v>
      </c>
      <c r="PL34" t="s">
        <v>51</v>
      </c>
      <c r="PM34" t="s">
        <v>51</v>
      </c>
      <c r="PN34" t="s">
        <v>54</v>
      </c>
      <c r="PO34" t="s">
        <v>54</v>
      </c>
      <c r="PP34" t="s">
        <v>54</v>
      </c>
      <c r="PQ34" t="s">
        <v>54</v>
      </c>
      <c r="PR34" t="s">
        <v>54</v>
      </c>
      <c r="PS34" t="s">
        <v>54</v>
      </c>
      <c r="PT34" t="s">
        <v>51</v>
      </c>
      <c r="PU34" t="s">
        <v>51</v>
      </c>
      <c r="PV34" t="s">
        <v>51</v>
      </c>
      <c r="PW34" t="s">
        <v>51</v>
      </c>
      <c r="PX34" t="s">
        <v>51</v>
      </c>
      <c r="PY34" t="s">
        <v>51</v>
      </c>
      <c r="PZ34" t="s">
        <v>51</v>
      </c>
      <c r="QA34" t="s">
        <v>51</v>
      </c>
      <c r="QB34" t="s">
        <v>51</v>
      </c>
      <c r="QC34" t="s">
        <v>54</v>
      </c>
      <c r="QD34" t="s">
        <v>51</v>
      </c>
      <c r="QE34" t="s">
        <v>51</v>
      </c>
      <c r="QF34" t="s">
        <v>51</v>
      </c>
      <c r="QG34" t="s">
        <v>51</v>
      </c>
      <c r="QH34" t="s">
        <v>51</v>
      </c>
      <c r="QI34" t="s">
        <v>51</v>
      </c>
      <c r="QJ34" t="s">
        <v>51</v>
      </c>
      <c r="QK34" t="s">
        <v>54</v>
      </c>
      <c r="QL34" t="s">
        <v>51</v>
      </c>
      <c r="QM34" t="s">
        <v>54</v>
      </c>
      <c r="QN34" t="s">
        <v>54</v>
      </c>
      <c r="QO34" t="s">
        <v>51</v>
      </c>
      <c r="QP34" t="s">
        <v>51</v>
      </c>
      <c r="QQ34" t="s">
        <v>54</v>
      </c>
      <c r="QR34" t="s">
        <v>51</v>
      </c>
      <c r="QS34" t="s">
        <v>54</v>
      </c>
      <c r="QT34" t="s">
        <v>54</v>
      </c>
      <c r="QU34" t="s">
        <v>54</v>
      </c>
      <c r="QV34" t="s">
        <v>54</v>
      </c>
      <c r="QW34" t="s">
        <v>54</v>
      </c>
      <c r="QX34" t="s">
        <v>54</v>
      </c>
      <c r="QY34" t="s">
        <v>51</v>
      </c>
      <c r="QZ34" t="s">
        <v>51</v>
      </c>
      <c r="RA34" t="s">
        <v>51</v>
      </c>
      <c r="RB34" t="s">
        <v>51</v>
      </c>
      <c r="RC34" t="s">
        <v>51</v>
      </c>
      <c r="RD34" t="s">
        <v>51</v>
      </c>
      <c r="RE34" t="s">
        <v>54</v>
      </c>
      <c r="RF34" t="s">
        <v>51</v>
      </c>
      <c r="RG34" t="s">
        <v>51</v>
      </c>
      <c r="RH34" t="s">
        <v>51</v>
      </c>
      <c r="RI34" t="s">
        <v>51</v>
      </c>
      <c r="RJ34" t="s">
        <v>54</v>
      </c>
      <c r="RK34" t="s">
        <v>51</v>
      </c>
      <c r="RL34" t="s">
        <v>51</v>
      </c>
      <c r="RM34" t="s">
        <v>51</v>
      </c>
      <c r="RN34" t="s">
        <v>51</v>
      </c>
      <c r="RO34" t="s">
        <v>54</v>
      </c>
      <c r="RP34" t="s">
        <v>54</v>
      </c>
      <c r="RQ34" t="s">
        <v>51</v>
      </c>
      <c r="RR34" t="s">
        <v>51</v>
      </c>
      <c r="RS34" t="s">
        <v>51</v>
      </c>
      <c r="RT34" t="s">
        <v>51</v>
      </c>
      <c r="RU34" t="s">
        <v>51</v>
      </c>
      <c r="RV34" t="s">
        <v>51</v>
      </c>
      <c r="RW34" t="s">
        <v>51</v>
      </c>
      <c r="RX34" t="s">
        <v>54</v>
      </c>
      <c r="RY34" t="s">
        <v>54</v>
      </c>
      <c r="RZ34" t="s">
        <v>54</v>
      </c>
      <c r="SA34" t="s">
        <v>54</v>
      </c>
      <c r="SB34" t="s">
        <v>54</v>
      </c>
      <c r="SC34" t="s">
        <v>54</v>
      </c>
      <c r="SD34" t="s">
        <v>51</v>
      </c>
      <c r="SE34" t="s">
        <v>51</v>
      </c>
      <c r="SF34" t="s">
        <v>51</v>
      </c>
      <c r="SG34" t="s">
        <v>51</v>
      </c>
      <c r="SH34" t="s">
        <v>51</v>
      </c>
      <c r="SI34" t="s">
        <v>51</v>
      </c>
      <c r="SJ34" t="s">
        <v>51</v>
      </c>
      <c r="SK34" t="s">
        <v>51</v>
      </c>
      <c r="SL34" t="s">
        <v>51</v>
      </c>
      <c r="SM34" t="s">
        <v>51</v>
      </c>
      <c r="SN34" t="s">
        <v>51</v>
      </c>
      <c r="SO34" t="s">
        <v>51</v>
      </c>
      <c r="SP34" t="s">
        <v>51</v>
      </c>
      <c r="SQ34" t="s">
        <v>51</v>
      </c>
      <c r="SR34" t="s">
        <v>51</v>
      </c>
      <c r="SS34" t="s">
        <v>51</v>
      </c>
      <c r="ST34" t="s">
        <v>51</v>
      </c>
      <c r="SU34" t="s">
        <v>51</v>
      </c>
      <c r="SV34" t="s">
        <v>54</v>
      </c>
      <c r="SW34" t="s">
        <v>51</v>
      </c>
      <c r="SX34" t="s">
        <v>51</v>
      </c>
      <c r="SY34" t="s">
        <v>51</v>
      </c>
      <c r="SZ34" t="s">
        <v>51</v>
      </c>
      <c r="TA34" t="s">
        <v>51</v>
      </c>
      <c r="TB34" t="s">
        <v>54</v>
      </c>
      <c r="TC34" t="s">
        <v>54</v>
      </c>
      <c r="TD34" t="s">
        <v>54</v>
      </c>
      <c r="TE34" t="s">
        <v>54</v>
      </c>
      <c r="TF34" t="s">
        <v>54</v>
      </c>
      <c r="TG34" t="s">
        <v>54</v>
      </c>
      <c r="TH34" t="s">
        <v>54</v>
      </c>
      <c r="TI34" t="s">
        <v>51</v>
      </c>
      <c r="TJ34" t="s">
        <v>51</v>
      </c>
      <c r="TK34" t="s">
        <v>51</v>
      </c>
      <c r="TL34" t="s">
        <v>51</v>
      </c>
      <c r="TM34" t="s">
        <v>51</v>
      </c>
      <c r="TN34" t="s">
        <v>51</v>
      </c>
      <c r="TO34" t="s">
        <v>51</v>
      </c>
      <c r="TP34" t="s">
        <v>51</v>
      </c>
      <c r="TQ34" t="s">
        <v>51</v>
      </c>
      <c r="TR34" t="s">
        <v>51</v>
      </c>
      <c r="TS34" t="s">
        <v>51</v>
      </c>
      <c r="TT34" t="s">
        <v>51</v>
      </c>
      <c r="TU34" t="s">
        <v>51</v>
      </c>
      <c r="TV34" t="s">
        <v>51</v>
      </c>
      <c r="TW34" t="s">
        <v>51</v>
      </c>
      <c r="TX34" t="s">
        <v>51</v>
      </c>
      <c r="TY34" t="s">
        <v>54</v>
      </c>
      <c r="TZ34" t="s">
        <v>54</v>
      </c>
      <c r="UA34" t="s">
        <v>51</v>
      </c>
      <c r="UB34" t="s">
        <v>51</v>
      </c>
      <c r="UC34" t="s">
        <v>51</v>
      </c>
      <c r="UD34" t="s">
        <v>51</v>
      </c>
      <c r="UE34" t="s">
        <v>51</v>
      </c>
      <c r="UF34" t="s">
        <v>51</v>
      </c>
      <c r="UG34" t="s">
        <v>51</v>
      </c>
      <c r="UH34" t="s">
        <v>54</v>
      </c>
      <c r="UI34" t="s">
        <v>54</v>
      </c>
      <c r="UJ34" t="s">
        <v>54</v>
      </c>
      <c r="UK34" t="s">
        <v>54</v>
      </c>
      <c r="UL34" t="s">
        <v>54</v>
      </c>
      <c r="UM34" t="s">
        <v>54</v>
      </c>
      <c r="UN34" t="s">
        <v>51</v>
      </c>
      <c r="UO34" t="s">
        <v>51</v>
      </c>
      <c r="UP34" t="s">
        <v>51</v>
      </c>
      <c r="UQ34" t="s">
        <v>51</v>
      </c>
      <c r="UR34" t="s">
        <v>51</v>
      </c>
      <c r="US34" t="s">
        <v>51</v>
      </c>
      <c r="UT34" t="s">
        <v>51</v>
      </c>
      <c r="UU34" t="s">
        <v>51</v>
      </c>
      <c r="UV34" t="s">
        <v>51</v>
      </c>
      <c r="UW34" t="s">
        <v>51</v>
      </c>
      <c r="UX34" t="s">
        <v>51</v>
      </c>
      <c r="UY34" t="s">
        <v>51</v>
      </c>
      <c r="UZ34" t="s">
        <v>51</v>
      </c>
      <c r="VA34" t="s">
        <v>51</v>
      </c>
      <c r="VB34" t="s">
        <v>51</v>
      </c>
      <c r="VC34" t="s">
        <v>51</v>
      </c>
      <c r="VD34" t="s">
        <v>51</v>
      </c>
      <c r="VE34" t="s">
        <v>54</v>
      </c>
      <c r="VF34" t="s">
        <v>54</v>
      </c>
      <c r="VG34" t="s">
        <v>54</v>
      </c>
      <c r="VH34" t="s">
        <v>51</v>
      </c>
      <c r="VI34" t="s">
        <v>51</v>
      </c>
      <c r="VJ34" t="s">
        <v>51</v>
      </c>
      <c r="VK34" t="s">
        <v>51</v>
      </c>
      <c r="VL34" t="s">
        <v>51</v>
      </c>
      <c r="VM34" t="s">
        <v>54</v>
      </c>
      <c r="VN34" t="s">
        <v>54</v>
      </c>
      <c r="VO34" t="s">
        <v>54</v>
      </c>
      <c r="VP34" t="s">
        <v>54</v>
      </c>
      <c r="VQ34" t="s">
        <v>54</v>
      </c>
      <c r="VR34" t="s">
        <v>54</v>
      </c>
      <c r="VS34" t="s">
        <v>51</v>
      </c>
      <c r="VT34" t="s">
        <v>51</v>
      </c>
      <c r="VU34">
        <v>375</v>
      </c>
      <c r="VV34">
        <v>205</v>
      </c>
      <c r="VW34">
        <v>275</v>
      </c>
      <c r="VX34">
        <v>350</v>
      </c>
      <c r="VY34">
        <v>470</v>
      </c>
      <c r="VZ34">
        <v>385</v>
      </c>
      <c r="WA34" t="s">
        <v>51</v>
      </c>
      <c r="WB34" t="s">
        <v>51</v>
      </c>
      <c r="WC34" t="s">
        <v>51</v>
      </c>
      <c r="WD34" t="s">
        <v>51</v>
      </c>
      <c r="WE34" t="s">
        <v>51</v>
      </c>
      <c r="WF34" t="s">
        <v>51</v>
      </c>
      <c r="WG34" t="s">
        <v>51</v>
      </c>
      <c r="WH34" t="s">
        <v>51</v>
      </c>
      <c r="WI34" t="s">
        <v>51</v>
      </c>
      <c r="WJ34" t="s">
        <v>51</v>
      </c>
      <c r="WK34" t="s">
        <v>51</v>
      </c>
      <c r="WL34" t="s">
        <v>51</v>
      </c>
      <c r="WM34" t="s">
        <v>51</v>
      </c>
      <c r="WN34" t="s">
        <v>51</v>
      </c>
      <c r="WO34" t="s">
        <v>51</v>
      </c>
      <c r="WP34" t="s">
        <v>51</v>
      </c>
      <c r="WQ34" t="s">
        <v>51</v>
      </c>
      <c r="WR34" t="s">
        <v>51</v>
      </c>
      <c r="WS34" t="s">
        <v>54</v>
      </c>
      <c r="WT34" t="s">
        <v>51</v>
      </c>
      <c r="WU34" t="s">
        <v>54</v>
      </c>
      <c r="WV34" t="s">
        <v>51</v>
      </c>
      <c r="WW34" t="s">
        <v>51</v>
      </c>
      <c r="WX34" s="1">
        <v>18505</v>
      </c>
      <c r="WY34" s="1">
        <v>15405</v>
      </c>
      <c r="WZ34" s="1">
        <v>12745</v>
      </c>
      <c r="XA34" s="1">
        <v>20805</v>
      </c>
      <c r="XB34" s="1">
        <v>23685</v>
      </c>
      <c r="XC34" s="1">
        <v>28575</v>
      </c>
      <c r="XD34" s="1">
        <v>32960</v>
      </c>
      <c r="XE34" s="1">
        <v>31785</v>
      </c>
      <c r="XF34" s="1">
        <v>26305</v>
      </c>
      <c r="XG34" s="1">
        <v>13685</v>
      </c>
      <c r="XH34" s="1">
        <v>13355</v>
      </c>
      <c r="XI34" s="1">
        <v>13230</v>
      </c>
      <c r="XJ34" s="1">
        <v>12040</v>
      </c>
      <c r="XK34" s="1">
        <v>12095</v>
      </c>
      <c r="XL34" s="1">
        <v>12860</v>
      </c>
      <c r="XM34" s="1">
        <v>12480</v>
      </c>
      <c r="XN34" s="1">
        <v>13905</v>
      </c>
      <c r="XO34" s="1">
        <v>10745</v>
      </c>
      <c r="XP34" s="1">
        <v>9695</v>
      </c>
      <c r="XQ34" s="1">
        <v>10170</v>
      </c>
      <c r="XR34" s="1">
        <v>10495</v>
      </c>
      <c r="XS34" s="1">
        <v>10115</v>
      </c>
      <c r="XT34" s="1">
        <v>9965</v>
      </c>
      <c r="XU34" s="1">
        <v>12320</v>
      </c>
      <c r="XV34" s="1">
        <v>23595</v>
      </c>
      <c r="XW34" s="1">
        <v>26035</v>
      </c>
      <c r="XX34" s="1">
        <v>29100</v>
      </c>
      <c r="XY34" s="1">
        <v>28755</v>
      </c>
      <c r="XZ34" s="1">
        <v>28735</v>
      </c>
      <c r="YA34" s="1">
        <v>32375</v>
      </c>
      <c r="YB34" s="1">
        <v>34165</v>
      </c>
    </row>
    <row r="35" spans="1:652" x14ac:dyDescent="0.2">
      <c r="A35" t="s">
        <v>57</v>
      </c>
      <c r="B35" s="1">
        <v>1305</v>
      </c>
      <c r="C35" s="1">
        <v>1405</v>
      </c>
      <c r="D35" s="1">
        <v>1290</v>
      </c>
      <c r="E35" s="1">
        <v>1495</v>
      </c>
      <c r="F35" s="1">
        <v>1780</v>
      </c>
      <c r="G35" s="1">
        <v>2610</v>
      </c>
      <c r="H35" s="1">
        <v>1405</v>
      </c>
      <c r="I35">
        <v>915</v>
      </c>
      <c r="J35">
        <v>570</v>
      </c>
      <c r="K35">
        <v>475</v>
      </c>
      <c r="L35">
        <v>465</v>
      </c>
      <c r="M35">
        <v>490</v>
      </c>
      <c r="N35">
        <v>355</v>
      </c>
      <c r="O35">
        <v>300</v>
      </c>
      <c r="P35">
        <v>260</v>
      </c>
      <c r="Q35">
        <v>355</v>
      </c>
      <c r="R35">
        <v>400</v>
      </c>
      <c r="S35">
        <v>250</v>
      </c>
      <c r="T35">
        <v>585</v>
      </c>
      <c r="U35">
        <v>455</v>
      </c>
      <c r="V35">
        <v>475</v>
      </c>
      <c r="W35">
        <v>480</v>
      </c>
      <c r="X35">
        <v>535</v>
      </c>
      <c r="Y35">
        <v>600</v>
      </c>
      <c r="Z35" s="1">
        <v>2215</v>
      </c>
      <c r="AA35" s="1">
        <v>2500</v>
      </c>
      <c r="AB35" s="1">
        <v>2595</v>
      </c>
      <c r="AC35" s="1">
        <v>3080</v>
      </c>
      <c r="AD35" s="1">
        <v>2620</v>
      </c>
      <c r="AE35" s="1">
        <v>3120</v>
      </c>
      <c r="AF35" s="1">
        <v>3520</v>
      </c>
      <c r="AG35" t="s">
        <v>51</v>
      </c>
      <c r="AH35" t="s">
        <v>51</v>
      </c>
      <c r="AI35" t="s">
        <v>51</v>
      </c>
      <c r="AJ35" t="s">
        <v>51</v>
      </c>
      <c r="AK35" t="s">
        <v>51</v>
      </c>
      <c r="AL35" t="s">
        <v>51</v>
      </c>
      <c r="AM35" t="s">
        <v>51</v>
      </c>
      <c r="AN35" t="s">
        <v>51</v>
      </c>
      <c r="AO35" t="s">
        <v>51</v>
      </c>
      <c r="AP35" t="s">
        <v>51</v>
      </c>
      <c r="AQ35" t="s">
        <v>51</v>
      </c>
      <c r="AR35" t="s">
        <v>51</v>
      </c>
      <c r="AS35" t="s">
        <v>51</v>
      </c>
      <c r="AT35" t="s">
        <v>51</v>
      </c>
      <c r="AU35" t="s">
        <v>51</v>
      </c>
      <c r="AV35" t="s">
        <v>51</v>
      </c>
      <c r="AW35" t="s">
        <v>51</v>
      </c>
      <c r="AX35" t="s">
        <v>51</v>
      </c>
      <c r="AY35" t="s">
        <v>51</v>
      </c>
      <c r="AZ35" t="s">
        <v>51</v>
      </c>
      <c r="BA35" t="s">
        <v>51</v>
      </c>
      <c r="BB35" t="s">
        <v>51</v>
      </c>
      <c r="BC35" t="s">
        <v>51</v>
      </c>
      <c r="BD35" t="s">
        <v>51</v>
      </c>
      <c r="BE35" t="s">
        <v>51</v>
      </c>
      <c r="BF35" t="s">
        <v>51</v>
      </c>
      <c r="BG35" t="s">
        <v>51</v>
      </c>
      <c r="BH35" t="s">
        <v>51</v>
      </c>
      <c r="BI35" t="s">
        <v>51</v>
      </c>
      <c r="BJ35" t="s">
        <v>51</v>
      </c>
      <c r="BK35" t="s">
        <v>51</v>
      </c>
      <c r="BL35" t="s">
        <v>51</v>
      </c>
      <c r="BM35" t="s">
        <v>51</v>
      </c>
      <c r="BN35" t="s">
        <v>51</v>
      </c>
      <c r="BO35" t="s">
        <v>51</v>
      </c>
      <c r="BP35" t="s">
        <v>51</v>
      </c>
      <c r="BQ35" t="s">
        <v>51</v>
      </c>
      <c r="BR35" t="s">
        <v>54</v>
      </c>
      <c r="BS35" t="s">
        <v>51</v>
      </c>
      <c r="BT35" t="s">
        <v>51</v>
      </c>
      <c r="BU35" t="s">
        <v>51</v>
      </c>
      <c r="BV35" t="s">
        <v>51</v>
      </c>
      <c r="BW35" t="s">
        <v>51</v>
      </c>
      <c r="BX35" t="s">
        <v>54</v>
      </c>
      <c r="BY35" t="s">
        <v>54</v>
      </c>
      <c r="BZ35" t="s">
        <v>51</v>
      </c>
      <c r="CA35" t="s">
        <v>51</v>
      </c>
      <c r="CB35" t="s">
        <v>51</v>
      </c>
      <c r="CC35" t="s">
        <v>51</v>
      </c>
      <c r="CD35" t="s">
        <v>51</v>
      </c>
      <c r="CE35" t="s">
        <v>51</v>
      </c>
      <c r="CF35" t="s">
        <v>51</v>
      </c>
      <c r="CG35" t="s">
        <v>51</v>
      </c>
      <c r="CH35" t="s">
        <v>51</v>
      </c>
      <c r="CI35" t="s">
        <v>51</v>
      </c>
      <c r="CJ35" t="s">
        <v>51</v>
      </c>
      <c r="CK35" t="s">
        <v>54</v>
      </c>
      <c r="CL35" t="s">
        <v>54</v>
      </c>
      <c r="CM35" t="s">
        <v>54</v>
      </c>
      <c r="CN35" t="s">
        <v>54</v>
      </c>
      <c r="CO35" t="s">
        <v>54</v>
      </c>
      <c r="CP35" t="s">
        <v>54</v>
      </c>
      <c r="CQ35" t="s">
        <v>54</v>
      </c>
      <c r="CR35" t="s">
        <v>54</v>
      </c>
      <c r="CS35" t="s">
        <v>51</v>
      </c>
      <c r="CT35" t="s">
        <v>51</v>
      </c>
      <c r="CU35" t="s">
        <v>51</v>
      </c>
      <c r="CV35" t="s">
        <v>51</v>
      </c>
      <c r="CW35" t="s">
        <v>51</v>
      </c>
      <c r="CX35" t="s">
        <v>51</v>
      </c>
      <c r="CY35" t="s">
        <v>51</v>
      </c>
      <c r="CZ35" t="s">
        <v>54</v>
      </c>
      <c r="DA35" t="s">
        <v>51</v>
      </c>
      <c r="DB35" t="s">
        <v>51</v>
      </c>
      <c r="DC35" t="s">
        <v>51</v>
      </c>
      <c r="DD35" t="s">
        <v>54</v>
      </c>
      <c r="DE35" t="s">
        <v>54</v>
      </c>
      <c r="DF35" t="s">
        <v>51</v>
      </c>
      <c r="DG35" t="s">
        <v>51</v>
      </c>
      <c r="DH35" t="s">
        <v>51</v>
      </c>
      <c r="DI35" t="s">
        <v>51</v>
      </c>
      <c r="DJ35" t="s">
        <v>54</v>
      </c>
      <c r="DK35" t="s">
        <v>54</v>
      </c>
      <c r="DL35" t="s">
        <v>51</v>
      </c>
      <c r="DM35" t="s">
        <v>51</v>
      </c>
      <c r="DN35" t="s">
        <v>51</v>
      </c>
      <c r="DO35" t="s">
        <v>51</v>
      </c>
      <c r="DP35" t="s">
        <v>54</v>
      </c>
      <c r="DQ35" t="s">
        <v>54</v>
      </c>
      <c r="DR35" t="s">
        <v>54</v>
      </c>
      <c r="DS35" t="s">
        <v>54</v>
      </c>
      <c r="DT35" t="s">
        <v>54</v>
      </c>
      <c r="DU35" t="s">
        <v>54</v>
      </c>
      <c r="DV35" t="s">
        <v>54</v>
      </c>
      <c r="DW35" t="s">
        <v>51</v>
      </c>
      <c r="DX35" t="s">
        <v>51</v>
      </c>
      <c r="DY35" t="s">
        <v>51</v>
      </c>
      <c r="DZ35" t="s">
        <v>51</v>
      </c>
      <c r="EA35" t="s">
        <v>51</v>
      </c>
      <c r="EB35" t="s">
        <v>54</v>
      </c>
      <c r="EC35" t="s">
        <v>54</v>
      </c>
      <c r="ED35" t="s">
        <v>54</v>
      </c>
      <c r="EE35" t="s">
        <v>51</v>
      </c>
      <c r="EF35" t="s">
        <v>51</v>
      </c>
      <c r="EG35" t="s">
        <v>51</v>
      </c>
      <c r="EH35" t="s">
        <v>54</v>
      </c>
      <c r="EI35" t="s">
        <v>54</v>
      </c>
      <c r="EJ35" t="s">
        <v>51</v>
      </c>
      <c r="EK35" t="s">
        <v>54</v>
      </c>
      <c r="EL35" t="s">
        <v>54</v>
      </c>
      <c r="EM35" t="s">
        <v>54</v>
      </c>
      <c r="EN35" t="s">
        <v>51</v>
      </c>
      <c r="EO35" t="s">
        <v>54</v>
      </c>
      <c r="EP35" t="s">
        <v>54</v>
      </c>
      <c r="EQ35" t="s">
        <v>54</v>
      </c>
      <c r="ER35" t="s">
        <v>51</v>
      </c>
      <c r="ES35" t="s">
        <v>54</v>
      </c>
      <c r="ET35" t="s">
        <v>51</v>
      </c>
      <c r="EU35" t="s">
        <v>54</v>
      </c>
      <c r="EV35" t="s">
        <v>54</v>
      </c>
      <c r="EW35" t="s">
        <v>54</v>
      </c>
      <c r="EX35" t="s">
        <v>54</v>
      </c>
      <c r="EY35" t="s">
        <v>54</v>
      </c>
      <c r="EZ35" t="s">
        <v>54</v>
      </c>
      <c r="FA35" t="s">
        <v>54</v>
      </c>
      <c r="FB35" t="s">
        <v>54</v>
      </c>
      <c r="FC35" t="s">
        <v>51</v>
      </c>
      <c r="FD35" t="s">
        <v>51</v>
      </c>
      <c r="FE35" t="s">
        <v>51</v>
      </c>
      <c r="FF35" t="s">
        <v>51</v>
      </c>
      <c r="FG35" t="s">
        <v>54</v>
      </c>
      <c r="FH35" t="s">
        <v>54</v>
      </c>
      <c r="FI35" t="s">
        <v>54</v>
      </c>
      <c r="FJ35" t="s">
        <v>54</v>
      </c>
      <c r="FK35" t="s">
        <v>51</v>
      </c>
      <c r="FL35" t="s">
        <v>51</v>
      </c>
      <c r="FM35" t="s">
        <v>54</v>
      </c>
      <c r="FN35" t="s">
        <v>54</v>
      </c>
      <c r="FO35" t="s">
        <v>54</v>
      </c>
      <c r="FP35" t="s">
        <v>54</v>
      </c>
      <c r="FQ35" t="s">
        <v>54</v>
      </c>
      <c r="FR35" t="s">
        <v>54</v>
      </c>
      <c r="FS35" t="s">
        <v>51</v>
      </c>
      <c r="FT35" t="s">
        <v>51</v>
      </c>
      <c r="FU35" t="s">
        <v>51</v>
      </c>
      <c r="FV35" t="s">
        <v>51</v>
      </c>
      <c r="FW35" t="s">
        <v>51</v>
      </c>
      <c r="FX35" t="s">
        <v>51</v>
      </c>
      <c r="FY35" t="s">
        <v>51</v>
      </c>
      <c r="FZ35" t="s">
        <v>54</v>
      </c>
      <c r="GA35" t="s">
        <v>54</v>
      </c>
      <c r="GB35" t="s">
        <v>54</v>
      </c>
      <c r="GC35" t="s">
        <v>54</v>
      </c>
      <c r="GD35" t="s">
        <v>54</v>
      </c>
      <c r="GE35" t="s">
        <v>54</v>
      </c>
      <c r="GF35" t="s">
        <v>51</v>
      </c>
      <c r="GG35" t="s">
        <v>51</v>
      </c>
      <c r="GH35" t="s">
        <v>51</v>
      </c>
      <c r="GI35" t="s">
        <v>51</v>
      </c>
      <c r="GJ35" t="s">
        <v>51</v>
      </c>
      <c r="GK35" t="s">
        <v>51</v>
      </c>
      <c r="GL35" t="s">
        <v>51</v>
      </c>
      <c r="GM35" t="s">
        <v>54</v>
      </c>
      <c r="GN35" t="s">
        <v>51</v>
      </c>
      <c r="GO35" t="s">
        <v>54</v>
      </c>
      <c r="GP35" t="s">
        <v>54</v>
      </c>
      <c r="GQ35" t="s">
        <v>54</v>
      </c>
      <c r="GR35" t="s">
        <v>54</v>
      </c>
      <c r="GS35" t="s">
        <v>54</v>
      </c>
      <c r="GT35" t="s">
        <v>54</v>
      </c>
      <c r="GU35" t="s">
        <v>54</v>
      </c>
      <c r="GV35" t="s">
        <v>54</v>
      </c>
      <c r="GW35" t="s">
        <v>54</v>
      </c>
      <c r="GX35" t="s">
        <v>51</v>
      </c>
      <c r="GY35" t="s">
        <v>51</v>
      </c>
      <c r="GZ35" t="s">
        <v>51</v>
      </c>
      <c r="HA35" t="s">
        <v>51</v>
      </c>
      <c r="HB35" t="s">
        <v>51</v>
      </c>
      <c r="HC35" t="s">
        <v>51</v>
      </c>
      <c r="HD35" t="s">
        <v>54</v>
      </c>
      <c r="HE35" t="s">
        <v>54</v>
      </c>
      <c r="HF35" t="s">
        <v>54</v>
      </c>
      <c r="HG35" t="s">
        <v>54</v>
      </c>
      <c r="HH35" t="s">
        <v>54</v>
      </c>
      <c r="HI35" t="s">
        <v>54</v>
      </c>
      <c r="HJ35" t="s">
        <v>54</v>
      </c>
      <c r="HK35" t="s">
        <v>51</v>
      </c>
      <c r="HL35" t="s">
        <v>51</v>
      </c>
      <c r="HM35" t="s">
        <v>51</v>
      </c>
      <c r="HN35" t="s">
        <v>51</v>
      </c>
      <c r="HO35" t="s">
        <v>51</v>
      </c>
      <c r="HP35" t="s">
        <v>51</v>
      </c>
      <c r="HQ35" t="s">
        <v>54</v>
      </c>
      <c r="HR35" t="s">
        <v>51</v>
      </c>
      <c r="HS35" t="s">
        <v>54</v>
      </c>
      <c r="HT35" t="s">
        <v>54</v>
      </c>
      <c r="HU35" t="s">
        <v>54</v>
      </c>
      <c r="HV35" t="s">
        <v>54</v>
      </c>
      <c r="HW35" t="s">
        <v>54</v>
      </c>
      <c r="HX35" t="s">
        <v>54</v>
      </c>
      <c r="HY35" t="s">
        <v>54</v>
      </c>
      <c r="HZ35" t="s">
        <v>54</v>
      </c>
      <c r="IA35" t="s">
        <v>54</v>
      </c>
      <c r="IB35" t="s">
        <v>54</v>
      </c>
      <c r="IC35" t="s">
        <v>54</v>
      </c>
      <c r="ID35" t="s">
        <v>51</v>
      </c>
      <c r="IE35" t="s">
        <v>51</v>
      </c>
      <c r="IF35" t="s">
        <v>51</v>
      </c>
      <c r="IG35" t="s">
        <v>54</v>
      </c>
      <c r="IH35" t="s">
        <v>51</v>
      </c>
      <c r="II35" t="s">
        <v>51</v>
      </c>
      <c r="IJ35" t="s">
        <v>54</v>
      </c>
      <c r="IK35" t="s">
        <v>54</v>
      </c>
      <c r="IL35" t="s">
        <v>54</v>
      </c>
      <c r="IM35" t="s">
        <v>54</v>
      </c>
      <c r="IN35" t="s">
        <v>54</v>
      </c>
      <c r="IO35" t="s">
        <v>54</v>
      </c>
      <c r="IP35" t="s">
        <v>54</v>
      </c>
      <c r="IQ35" t="s">
        <v>51</v>
      </c>
      <c r="IR35" t="s">
        <v>51</v>
      </c>
      <c r="IS35" t="s">
        <v>51</v>
      </c>
      <c r="IT35" t="s">
        <v>51</v>
      </c>
      <c r="IU35" t="s">
        <v>51</v>
      </c>
      <c r="IV35" t="s">
        <v>54</v>
      </c>
      <c r="IW35" t="s">
        <v>54</v>
      </c>
      <c r="IX35" t="s">
        <v>54</v>
      </c>
      <c r="IY35" t="s">
        <v>54</v>
      </c>
      <c r="IZ35" t="s">
        <v>51</v>
      </c>
      <c r="JA35" t="s">
        <v>54</v>
      </c>
      <c r="JB35" t="s">
        <v>54</v>
      </c>
      <c r="JC35" t="s">
        <v>54</v>
      </c>
      <c r="JD35" t="s">
        <v>54</v>
      </c>
      <c r="JE35" t="s">
        <v>54</v>
      </c>
      <c r="JF35" t="s">
        <v>54</v>
      </c>
      <c r="JG35" t="s">
        <v>54</v>
      </c>
      <c r="JH35" t="s">
        <v>54</v>
      </c>
      <c r="JI35" t="s">
        <v>51</v>
      </c>
      <c r="JJ35" t="s">
        <v>54</v>
      </c>
      <c r="JK35" t="s">
        <v>54</v>
      </c>
      <c r="JL35" t="s">
        <v>51</v>
      </c>
      <c r="JM35" t="s">
        <v>54</v>
      </c>
      <c r="JN35" t="s">
        <v>54</v>
      </c>
      <c r="JO35" t="s">
        <v>54</v>
      </c>
      <c r="JP35" t="s">
        <v>54</v>
      </c>
      <c r="JQ35" t="s">
        <v>54</v>
      </c>
      <c r="JR35" t="s">
        <v>54</v>
      </c>
      <c r="JS35" t="s">
        <v>54</v>
      </c>
      <c r="JT35" t="s">
        <v>54</v>
      </c>
      <c r="JU35" t="s">
        <v>51</v>
      </c>
      <c r="JV35" t="s">
        <v>51</v>
      </c>
      <c r="JW35" t="s">
        <v>51</v>
      </c>
      <c r="JX35" t="s">
        <v>51</v>
      </c>
      <c r="JY35" t="s">
        <v>51</v>
      </c>
      <c r="JZ35" t="s">
        <v>51</v>
      </c>
      <c r="KA35" t="s">
        <v>54</v>
      </c>
      <c r="KB35" t="s">
        <v>54</v>
      </c>
      <c r="KC35" t="s">
        <v>54</v>
      </c>
      <c r="KD35" t="s">
        <v>54</v>
      </c>
      <c r="KE35" t="s">
        <v>54</v>
      </c>
      <c r="KF35" t="s">
        <v>51</v>
      </c>
      <c r="KG35" t="s">
        <v>54</v>
      </c>
      <c r="KH35" t="s">
        <v>54</v>
      </c>
      <c r="KI35" t="s">
        <v>54</v>
      </c>
      <c r="KJ35" t="s">
        <v>54</v>
      </c>
      <c r="KK35" t="s">
        <v>54</v>
      </c>
      <c r="KL35" t="s">
        <v>54</v>
      </c>
      <c r="KM35" t="s">
        <v>54</v>
      </c>
      <c r="KN35" t="s">
        <v>54</v>
      </c>
      <c r="KO35" t="s">
        <v>54</v>
      </c>
      <c r="KP35" t="s">
        <v>54</v>
      </c>
      <c r="KQ35" t="s">
        <v>54</v>
      </c>
      <c r="KR35" t="s">
        <v>51</v>
      </c>
      <c r="KS35" t="s">
        <v>54</v>
      </c>
      <c r="KT35" t="s">
        <v>54</v>
      </c>
      <c r="KU35" t="s">
        <v>54</v>
      </c>
      <c r="KV35" t="s">
        <v>54</v>
      </c>
      <c r="KW35" t="s">
        <v>54</v>
      </c>
      <c r="KX35" t="s">
        <v>54</v>
      </c>
      <c r="KY35" t="s">
        <v>54</v>
      </c>
      <c r="KZ35" t="s">
        <v>51</v>
      </c>
      <c r="LA35" t="s">
        <v>51</v>
      </c>
      <c r="LB35" t="s">
        <v>51</v>
      </c>
      <c r="LC35" t="s">
        <v>51</v>
      </c>
      <c r="LD35" t="s">
        <v>51</v>
      </c>
      <c r="LE35" t="s">
        <v>51</v>
      </c>
      <c r="LF35" t="s">
        <v>54</v>
      </c>
      <c r="LG35" t="s">
        <v>54</v>
      </c>
      <c r="LH35" t="s">
        <v>54</v>
      </c>
      <c r="LI35" t="s">
        <v>51</v>
      </c>
      <c r="LJ35" t="s">
        <v>51</v>
      </c>
      <c r="LK35" t="s">
        <v>54</v>
      </c>
      <c r="LL35" t="s">
        <v>54</v>
      </c>
      <c r="LM35" t="s">
        <v>54</v>
      </c>
      <c r="LN35" t="s">
        <v>54</v>
      </c>
      <c r="LO35" t="s">
        <v>54</v>
      </c>
      <c r="LP35" t="s">
        <v>54</v>
      </c>
      <c r="LQ35" t="s">
        <v>54</v>
      </c>
      <c r="LR35" t="s">
        <v>51</v>
      </c>
      <c r="LS35" t="s">
        <v>54</v>
      </c>
      <c r="LT35" t="s">
        <v>54</v>
      </c>
      <c r="LU35" t="s">
        <v>51</v>
      </c>
      <c r="LV35" t="s">
        <v>54</v>
      </c>
      <c r="LW35" t="s">
        <v>54</v>
      </c>
      <c r="LX35" t="s">
        <v>51</v>
      </c>
      <c r="LY35" t="s">
        <v>54</v>
      </c>
      <c r="LZ35" t="s">
        <v>54</v>
      </c>
      <c r="MA35" t="s">
        <v>54</v>
      </c>
      <c r="MB35" t="s">
        <v>54</v>
      </c>
      <c r="MC35" t="s">
        <v>54</v>
      </c>
      <c r="MD35" t="s">
        <v>54</v>
      </c>
      <c r="ME35" t="s">
        <v>51</v>
      </c>
      <c r="MF35" t="s">
        <v>51</v>
      </c>
      <c r="MG35" t="s">
        <v>51</v>
      </c>
      <c r="MH35" t="s">
        <v>51</v>
      </c>
      <c r="MI35" t="s">
        <v>51</v>
      </c>
      <c r="MJ35" t="s">
        <v>51</v>
      </c>
      <c r="MK35" t="s">
        <v>54</v>
      </c>
      <c r="ML35" t="s">
        <v>54</v>
      </c>
      <c r="MM35" t="s">
        <v>54</v>
      </c>
      <c r="MN35" t="s">
        <v>54</v>
      </c>
      <c r="MO35" t="s">
        <v>54</v>
      </c>
      <c r="MP35" t="s">
        <v>54</v>
      </c>
      <c r="MQ35" t="s">
        <v>54</v>
      </c>
      <c r="MR35" t="s">
        <v>54</v>
      </c>
      <c r="MS35" t="s">
        <v>54</v>
      </c>
      <c r="MT35" t="s">
        <v>54</v>
      </c>
      <c r="MU35" t="s">
        <v>54</v>
      </c>
      <c r="MV35" t="s">
        <v>54</v>
      </c>
      <c r="MW35" t="s">
        <v>54</v>
      </c>
      <c r="MX35" t="s">
        <v>54</v>
      </c>
      <c r="MY35" t="s">
        <v>54</v>
      </c>
      <c r="MZ35" t="s">
        <v>54</v>
      </c>
      <c r="NA35" t="s">
        <v>54</v>
      </c>
      <c r="NB35" t="s">
        <v>54</v>
      </c>
      <c r="NC35" t="s">
        <v>51</v>
      </c>
      <c r="ND35" t="s">
        <v>54</v>
      </c>
      <c r="NE35" t="s">
        <v>54</v>
      </c>
      <c r="NF35" t="s">
        <v>54</v>
      </c>
      <c r="NG35" t="s">
        <v>54</v>
      </c>
      <c r="NH35" t="s">
        <v>54</v>
      </c>
      <c r="NI35" t="s">
        <v>54</v>
      </c>
      <c r="NJ35" t="s">
        <v>51</v>
      </c>
      <c r="NK35" t="s">
        <v>51</v>
      </c>
      <c r="NL35" t="s">
        <v>51</v>
      </c>
      <c r="NM35" t="s">
        <v>51</v>
      </c>
      <c r="NN35" t="s">
        <v>51</v>
      </c>
      <c r="NO35" t="s">
        <v>51</v>
      </c>
      <c r="NP35" t="s">
        <v>51</v>
      </c>
      <c r="NQ35" t="s">
        <v>54</v>
      </c>
      <c r="NR35" t="s">
        <v>54</v>
      </c>
      <c r="NS35" t="s">
        <v>54</v>
      </c>
      <c r="NT35" t="s">
        <v>54</v>
      </c>
      <c r="NU35" t="s">
        <v>54</v>
      </c>
      <c r="NV35" t="s">
        <v>54</v>
      </c>
      <c r="NW35" t="s">
        <v>54</v>
      </c>
      <c r="NX35" t="s">
        <v>54</v>
      </c>
      <c r="NY35" t="s">
        <v>54</v>
      </c>
      <c r="NZ35" t="s">
        <v>54</v>
      </c>
      <c r="OA35" t="s">
        <v>54</v>
      </c>
      <c r="OB35" t="s">
        <v>51</v>
      </c>
      <c r="OC35" t="s">
        <v>54</v>
      </c>
      <c r="OD35" t="s">
        <v>54</v>
      </c>
      <c r="OE35" t="s">
        <v>54</v>
      </c>
      <c r="OF35" t="s">
        <v>54</v>
      </c>
      <c r="OG35" t="s">
        <v>54</v>
      </c>
      <c r="OH35" t="s">
        <v>51</v>
      </c>
      <c r="OI35" t="s">
        <v>54</v>
      </c>
      <c r="OJ35" t="s">
        <v>54</v>
      </c>
      <c r="OK35" t="s">
        <v>54</v>
      </c>
      <c r="OL35" t="s">
        <v>54</v>
      </c>
      <c r="OM35" t="s">
        <v>54</v>
      </c>
      <c r="ON35" t="s">
        <v>54</v>
      </c>
      <c r="OO35" t="s">
        <v>51</v>
      </c>
      <c r="OP35" t="s">
        <v>51</v>
      </c>
      <c r="OQ35" t="s">
        <v>51</v>
      </c>
      <c r="OR35" t="s">
        <v>51</v>
      </c>
      <c r="OS35" t="s">
        <v>51</v>
      </c>
      <c r="OT35" t="s">
        <v>51</v>
      </c>
      <c r="OU35" t="s">
        <v>51</v>
      </c>
      <c r="OV35" t="s">
        <v>54</v>
      </c>
      <c r="OW35" t="s">
        <v>54</v>
      </c>
      <c r="OX35" t="s">
        <v>54</v>
      </c>
      <c r="OY35" t="s">
        <v>54</v>
      </c>
      <c r="OZ35" t="s">
        <v>54</v>
      </c>
      <c r="PA35" t="s">
        <v>54</v>
      </c>
      <c r="PB35" t="s">
        <v>54</v>
      </c>
      <c r="PC35" t="s">
        <v>54</v>
      </c>
      <c r="PD35" t="s">
        <v>54</v>
      </c>
      <c r="PE35" t="s">
        <v>54</v>
      </c>
      <c r="PF35" t="s">
        <v>54</v>
      </c>
      <c r="PG35" t="s">
        <v>51</v>
      </c>
      <c r="PH35" t="s">
        <v>54</v>
      </c>
      <c r="PI35" t="s">
        <v>54</v>
      </c>
      <c r="PJ35" t="s">
        <v>54</v>
      </c>
      <c r="PK35" t="s">
        <v>54</v>
      </c>
      <c r="PL35" t="s">
        <v>54</v>
      </c>
      <c r="PM35" t="s">
        <v>54</v>
      </c>
      <c r="PN35" t="s">
        <v>54</v>
      </c>
      <c r="PO35" t="s">
        <v>54</v>
      </c>
      <c r="PP35" t="s">
        <v>54</v>
      </c>
      <c r="PQ35" t="s">
        <v>54</v>
      </c>
      <c r="PR35" t="s">
        <v>54</v>
      </c>
      <c r="PS35" t="s">
        <v>54</v>
      </c>
      <c r="PT35" t="s">
        <v>51</v>
      </c>
      <c r="PU35" t="s">
        <v>51</v>
      </c>
      <c r="PV35" t="s">
        <v>51</v>
      </c>
      <c r="PW35" t="s">
        <v>51</v>
      </c>
      <c r="PX35" t="s">
        <v>51</v>
      </c>
      <c r="PY35" t="s">
        <v>51</v>
      </c>
      <c r="PZ35" t="s">
        <v>51</v>
      </c>
      <c r="QA35" t="s">
        <v>54</v>
      </c>
      <c r="QB35" t="s">
        <v>51</v>
      </c>
      <c r="QC35" t="s">
        <v>54</v>
      </c>
      <c r="QD35" t="s">
        <v>54</v>
      </c>
      <c r="QE35" t="s">
        <v>54</v>
      </c>
      <c r="QF35" t="s">
        <v>54</v>
      </c>
      <c r="QG35" t="s">
        <v>54</v>
      </c>
      <c r="QH35" t="s">
        <v>54</v>
      </c>
      <c r="QI35" t="s">
        <v>54</v>
      </c>
      <c r="QJ35" t="s">
        <v>54</v>
      </c>
      <c r="QK35" t="s">
        <v>54</v>
      </c>
      <c r="QL35" t="s">
        <v>51</v>
      </c>
      <c r="QM35" t="s">
        <v>51</v>
      </c>
      <c r="QN35" t="s">
        <v>51</v>
      </c>
      <c r="QO35" t="s">
        <v>54</v>
      </c>
      <c r="QP35" t="s">
        <v>54</v>
      </c>
      <c r="QQ35" t="s">
        <v>51</v>
      </c>
      <c r="QR35" t="s">
        <v>54</v>
      </c>
      <c r="QS35" t="s">
        <v>54</v>
      </c>
      <c r="QT35" t="s">
        <v>54</v>
      </c>
      <c r="QU35" t="s">
        <v>54</v>
      </c>
      <c r="QV35" t="s">
        <v>54</v>
      </c>
      <c r="QW35" t="s">
        <v>54</v>
      </c>
      <c r="QX35" t="s">
        <v>54</v>
      </c>
      <c r="QY35" t="s">
        <v>51</v>
      </c>
      <c r="QZ35" t="s">
        <v>51</v>
      </c>
      <c r="RA35" t="s">
        <v>51</v>
      </c>
      <c r="RB35" t="s">
        <v>51</v>
      </c>
      <c r="RC35" t="s">
        <v>51</v>
      </c>
      <c r="RD35" t="s">
        <v>51</v>
      </c>
      <c r="RE35" t="s">
        <v>51</v>
      </c>
      <c r="RF35" t="s">
        <v>51</v>
      </c>
      <c r="RG35" t="s">
        <v>54</v>
      </c>
      <c r="RH35" t="s">
        <v>54</v>
      </c>
      <c r="RI35" t="s">
        <v>54</v>
      </c>
      <c r="RJ35" t="s">
        <v>54</v>
      </c>
      <c r="RK35" t="s">
        <v>54</v>
      </c>
      <c r="RL35" t="s">
        <v>54</v>
      </c>
      <c r="RM35" t="s">
        <v>54</v>
      </c>
      <c r="RN35" t="s">
        <v>54</v>
      </c>
      <c r="RO35" t="s">
        <v>54</v>
      </c>
      <c r="RP35" t="s">
        <v>54</v>
      </c>
      <c r="RQ35" t="s">
        <v>54</v>
      </c>
      <c r="RR35" t="s">
        <v>54</v>
      </c>
      <c r="RS35" t="s">
        <v>51</v>
      </c>
      <c r="RT35" t="s">
        <v>54</v>
      </c>
      <c r="RU35" t="s">
        <v>54</v>
      </c>
      <c r="RV35" t="s">
        <v>54</v>
      </c>
      <c r="RW35" t="s">
        <v>54</v>
      </c>
      <c r="RX35" t="s">
        <v>54</v>
      </c>
      <c r="RY35" t="s">
        <v>54</v>
      </c>
      <c r="RZ35" t="s">
        <v>54</v>
      </c>
      <c r="SA35" t="s">
        <v>54</v>
      </c>
      <c r="SB35" t="s">
        <v>54</v>
      </c>
      <c r="SC35" t="s">
        <v>54</v>
      </c>
      <c r="SD35" t="s">
        <v>54</v>
      </c>
      <c r="SE35" t="s">
        <v>51</v>
      </c>
      <c r="SF35" t="s">
        <v>51</v>
      </c>
      <c r="SG35" t="s">
        <v>51</v>
      </c>
      <c r="SH35" t="s">
        <v>51</v>
      </c>
      <c r="SI35" t="s">
        <v>51</v>
      </c>
      <c r="SJ35" t="s">
        <v>51</v>
      </c>
      <c r="SK35" t="s">
        <v>54</v>
      </c>
      <c r="SL35" t="s">
        <v>51</v>
      </c>
      <c r="SM35" t="s">
        <v>51</v>
      </c>
      <c r="SN35" t="s">
        <v>54</v>
      </c>
      <c r="SO35" t="s">
        <v>54</v>
      </c>
      <c r="SP35" t="s">
        <v>54</v>
      </c>
      <c r="SQ35" t="s">
        <v>54</v>
      </c>
      <c r="SR35" t="s">
        <v>54</v>
      </c>
      <c r="SS35" t="s">
        <v>54</v>
      </c>
      <c r="ST35" t="s">
        <v>54</v>
      </c>
      <c r="SU35" t="s">
        <v>54</v>
      </c>
      <c r="SV35" t="s">
        <v>51</v>
      </c>
      <c r="SW35" t="s">
        <v>51</v>
      </c>
      <c r="SX35" t="s">
        <v>54</v>
      </c>
      <c r="SY35" t="s">
        <v>51</v>
      </c>
      <c r="SZ35" t="s">
        <v>51</v>
      </c>
      <c r="TA35" t="s">
        <v>51</v>
      </c>
      <c r="TB35" t="s">
        <v>51</v>
      </c>
      <c r="TC35" t="s">
        <v>54</v>
      </c>
      <c r="TD35" t="s">
        <v>54</v>
      </c>
      <c r="TE35" t="s">
        <v>54</v>
      </c>
      <c r="TF35" t="s">
        <v>54</v>
      </c>
      <c r="TG35" t="s">
        <v>54</v>
      </c>
      <c r="TH35" t="s">
        <v>54</v>
      </c>
      <c r="TI35" t="s">
        <v>51</v>
      </c>
      <c r="TJ35" t="s">
        <v>51</v>
      </c>
      <c r="TK35" t="s">
        <v>51</v>
      </c>
      <c r="TL35" t="s">
        <v>51</v>
      </c>
      <c r="TM35" t="s">
        <v>51</v>
      </c>
      <c r="TN35" t="s">
        <v>51</v>
      </c>
      <c r="TO35" t="s">
        <v>51</v>
      </c>
      <c r="TP35" t="s">
        <v>51</v>
      </c>
      <c r="TQ35" t="s">
        <v>51</v>
      </c>
      <c r="TR35" t="s">
        <v>51</v>
      </c>
      <c r="TS35" t="s">
        <v>54</v>
      </c>
      <c r="TT35" t="s">
        <v>51</v>
      </c>
      <c r="TU35" t="s">
        <v>51</v>
      </c>
      <c r="TV35" t="s">
        <v>54</v>
      </c>
      <c r="TW35" t="s">
        <v>54</v>
      </c>
      <c r="TX35" t="s">
        <v>54</v>
      </c>
      <c r="TY35" t="s">
        <v>51</v>
      </c>
      <c r="TZ35" t="s">
        <v>54</v>
      </c>
      <c r="UA35" t="s">
        <v>54</v>
      </c>
      <c r="UB35" t="s">
        <v>54</v>
      </c>
      <c r="UC35" t="s">
        <v>51</v>
      </c>
      <c r="UD35" t="s">
        <v>51</v>
      </c>
      <c r="UE35" t="s">
        <v>51</v>
      </c>
      <c r="UF35" t="s">
        <v>51</v>
      </c>
      <c r="UG35" t="s">
        <v>51</v>
      </c>
      <c r="UH35" t="s">
        <v>54</v>
      </c>
      <c r="UI35" t="s">
        <v>54</v>
      </c>
      <c r="UJ35" t="s">
        <v>54</v>
      </c>
      <c r="UK35" t="s">
        <v>54</v>
      </c>
      <c r="UL35" t="s">
        <v>54</v>
      </c>
      <c r="UM35" t="s">
        <v>54</v>
      </c>
      <c r="UN35" t="s">
        <v>51</v>
      </c>
      <c r="UO35" t="s">
        <v>51</v>
      </c>
      <c r="UP35" t="s">
        <v>51</v>
      </c>
      <c r="UQ35" t="s">
        <v>51</v>
      </c>
      <c r="UR35" t="s">
        <v>51</v>
      </c>
      <c r="US35" t="s">
        <v>51</v>
      </c>
      <c r="UT35" t="s">
        <v>51</v>
      </c>
      <c r="UU35" t="s">
        <v>51</v>
      </c>
      <c r="UV35" t="s">
        <v>51</v>
      </c>
      <c r="UW35" t="s">
        <v>51</v>
      </c>
      <c r="UX35" t="s">
        <v>54</v>
      </c>
      <c r="UY35" t="s">
        <v>51</v>
      </c>
      <c r="UZ35" t="s">
        <v>51</v>
      </c>
      <c r="VA35" t="s">
        <v>54</v>
      </c>
      <c r="VB35" t="s">
        <v>54</v>
      </c>
      <c r="VC35" t="s">
        <v>54</v>
      </c>
      <c r="VD35" t="s">
        <v>51</v>
      </c>
      <c r="VE35" t="s">
        <v>54</v>
      </c>
      <c r="VF35" t="s">
        <v>51</v>
      </c>
      <c r="VG35" t="s">
        <v>54</v>
      </c>
      <c r="VH35" t="s">
        <v>51</v>
      </c>
      <c r="VI35" t="s">
        <v>51</v>
      </c>
      <c r="VJ35" t="s">
        <v>51</v>
      </c>
      <c r="VK35" t="s">
        <v>51</v>
      </c>
      <c r="VL35" t="s">
        <v>51</v>
      </c>
      <c r="VM35" t="s">
        <v>54</v>
      </c>
      <c r="VN35" t="s">
        <v>54</v>
      </c>
      <c r="VO35" t="s">
        <v>54</v>
      </c>
      <c r="VP35" t="s">
        <v>54</v>
      </c>
      <c r="VQ35" t="s">
        <v>54</v>
      </c>
      <c r="VR35" t="s">
        <v>54</v>
      </c>
      <c r="VS35" t="s">
        <v>51</v>
      </c>
      <c r="VT35" t="s">
        <v>51</v>
      </c>
      <c r="VU35" t="s">
        <v>51</v>
      </c>
      <c r="VV35" t="s">
        <v>51</v>
      </c>
      <c r="VW35" t="s">
        <v>51</v>
      </c>
      <c r="VX35" t="s">
        <v>51</v>
      </c>
      <c r="VY35" t="s">
        <v>51</v>
      </c>
      <c r="VZ35" t="s">
        <v>51</v>
      </c>
      <c r="WA35" t="s">
        <v>51</v>
      </c>
      <c r="WB35" t="s">
        <v>51</v>
      </c>
      <c r="WC35" t="s">
        <v>54</v>
      </c>
      <c r="WD35" t="s">
        <v>51</v>
      </c>
      <c r="WE35" t="s">
        <v>51</v>
      </c>
      <c r="WF35" t="s">
        <v>51</v>
      </c>
      <c r="WG35" t="s">
        <v>51</v>
      </c>
      <c r="WH35" t="s">
        <v>51</v>
      </c>
      <c r="WI35" t="s">
        <v>51</v>
      </c>
      <c r="WJ35" t="s">
        <v>54</v>
      </c>
      <c r="WK35" t="s">
        <v>51</v>
      </c>
      <c r="WL35" t="s">
        <v>51</v>
      </c>
      <c r="WM35" t="s">
        <v>51</v>
      </c>
      <c r="WN35" t="s">
        <v>51</v>
      </c>
      <c r="WO35" t="s">
        <v>51</v>
      </c>
      <c r="WP35" t="s">
        <v>51</v>
      </c>
      <c r="WQ35" t="s">
        <v>51</v>
      </c>
      <c r="WR35" t="s">
        <v>54</v>
      </c>
      <c r="WS35" t="s">
        <v>54</v>
      </c>
      <c r="WT35" t="s">
        <v>54</v>
      </c>
      <c r="WU35" t="s">
        <v>54</v>
      </c>
      <c r="WV35" t="s">
        <v>54</v>
      </c>
      <c r="WW35" t="s">
        <v>54</v>
      </c>
      <c r="WX35">
        <v>785</v>
      </c>
      <c r="WY35">
        <v>570</v>
      </c>
      <c r="WZ35">
        <v>615</v>
      </c>
      <c r="XA35">
        <v>825</v>
      </c>
      <c r="XB35">
        <v>810</v>
      </c>
      <c r="XC35" s="1">
        <v>1100</v>
      </c>
      <c r="XD35" s="1">
        <v>1050</v>
      </c>
      <c r="XE35">
        <v>575</v>
      </c>
      <c r="XF35" t="s">
        <v>51</v>
      </c>
      <c r="XG35" t="s">
        <v>51</v>
      </c>
      <c r="XH35" t="s">
        <v>51</v>
      </c>
      <c r="XI35" t="s">
        <v>51</v>
      </c>
      <c r="XJ35" t="s">
        <v>51</v>
      </c>
      <c r="XK35" t="s">
        <v>51</v>
      </c>
      <c r="XL35" t="s">
        <v>51</v>
      </c>
      <c r="XM35" t="s">
        <v>51</v>
      </c>
      <c r="XN35" t="s">
        <v>51</v>
      </c>
      <c r="XO35" t="s">
        <v>51</v>
      </c>
      <c r="XP35" t="s">
        <v>51</v>
      </c>
      <c r="XQ35" t="s">
        <v>51</v>
      </c>
      <c r="XR35" t="s">
        <v>51</v>
      </c>
      <c r="XS35" t="s">
        <v>51</v>
      </c>
      <c r="XT35" t="s">
        <v>51</v>
      </c>
      <c r="XU35" t="s">
        <v>51</v>
      </c>
      <c r="XV35" s="1">
        <v>1790</v>
      </c>
      <c r="XW35" s="1">
        <v>2085</v>
      </c>
      <c r="XX35" s="1">
        <v>2205</v>
      </c>
      <c r="XY35" s="1">
        <v>2160</v>
      </c>
      <c r="XZ35" s="1">
        <v>2260</v>
      </c>
      <c r="YA35" s="1">
        <v>2605</v>
      </c>
      <c r="YB35" s="1">
        <v>2900</v>
      </c>
    </row>
    <row r="36" spans="1:652" x14ac:dyDescent="0.2">
      <c r="A36" t="s">
        <v>58</v>
      </c>
      <c r="B36" s="1">
        <v>2588140</v>
      </c>
      <c r="C36" s="1">
        <v>2829140</v>
      </c>
      <c r="D36" s="1">
        <v>2897345</v>
      </c>
      <c r="E36" s="1">
        <v>2890990</v>
      </c>
      <c r="F36" s="1">
        <v>2910110</v>
      </c>
      <c r="G36" s="1">
        <v>2882125</v>
      </c>
      <c r="H36" s="1">
        <v>2874430</v>
      </c>
      <c r="I36" s="1">
        <v>2920200</v>
      </c>
      <c r="J36" s="1">
        <v>2920795</v>
      </c>
      <c r="K36" s="1">
        <v>2793385</v>
      </c>
      <c r="L36" s="1">
        <v>2878140</v>
      </c>
      <c r="M36" s="1">
        <v>2963760</v>
      </c>
      <c r="N36" s="1">
        <v>3013535</v>
      </c>
      <c r="O36" s="1">
        <v>3186520</v>
      </c>
      <c r="P36" s="1">
        <v>3337975</v>
      </c>
      <c r="Q36" s="1">
        <v>3655280</v>
      </c>
      <c r="R36" s="1">
        <v>3683250</v>
      </c>
      <c r="S36" s="1">
        <v>4138870</v>
      </c>
      <c r="T36" s="1">
        <v>4167620</v>
      </c>
      <c r="U36" s="1">
        <v>4198180</v>
      </c>
      <c r="V36" s="1">
        <v>4266550</v>
      </c>
      <c r="W36" s="1">
        <v>4348255</v>
      </c>
      <c r="X36" s="1">
        <v>4337585</v>
      </c>
      <c r="Y36" s="1">
        <v>4264500</v>
      </c>
      <c r="Z36" s="1">
        <v>4357045</v>
      </c>
      <c r="AA36" s="1">
        <v>4436130</v>
      </c>
      <c r="AB36" s="1">
        <v>4420975</v>
      </c>
      <c r="AC36" s="1">
        <v>4527495</v>
      </c>
      <c r="AD36" s="1">
        <v>4085765</v>
      </c>
      <c r="AE36" s="1">
        <v>4303350</v>
      </c>
      <c r="AF36" s="1">
        <v>4916970</v>
      </c>
      <c r="AG36" s="1">
        <v>561855</v>
      </c>
      <c r="AH36" s="1">
        <v>573045</v>
      </c>
      <c r="AI36" s="1">
        <v>583590</v>
      </c>
      <c r="AJ36" s="1">
        <v>590890</v>
      </c>
      <c r="AK36" s="1">
        <v>594945</v>
      </c>
      <c r="AL36" s="1">
        <v>601350</v>
      </c>
      <c r="AM36" s="1">
        <v>606950</v>
      </c>
      <c r="AN36" s="1">
        <v>614635</v>
      </c>
      <c r="AO36" s="1">
        <v>622275</v>
      </c>
      <c r="AP36" s="1">
        <v>614240</v>
      </c>
      <c r="AQ36" s="1">
        <v>621500</v>
      </c>
      <c r="AR36" s="1">
        <v>631295</v>
      </c>
      <c r="AS36" s="1">
        <v>640920</v>
      </c>
      <c r="AT36" s="1">
        <v>653660</v>
      </c>
      <c r="AU36" s="1">
        <v>663245</v>
      </c>
      <c r="AV36" s="1">
        <v>675775</v>
      </c>
      <c r="AW36" s="1">
        <v>684375</v>
      </c>
      <c r="AX36" s="1">
        <v>697445</v>
      </c>
      <c r="AY36" s="1">
        <v>705930</v>
      </c>
      <c r="AZ36" s="1">
        <v>716340</v>
      </c>
      <c r="BA36" s="1">
        <v>727325</v>
      </c>
      <c r="BB36" s="1">
        <v>740195</v>
      </c>
      <c r="BC36" s="1">
        <v>752185</v>
      </c>
      <c r="BD36" s="1">
        <v>760640</v>
      </c>
      <c r="BE36" s="1">
        <v>769815</v>
      </c>
      <c r="BF36" s="1">
        <v>784605</v>
      </c>
      <c r="BG36" s="1">
        <v>800510</v>
      </c>
      <c r="BH36" s="1">
        <v>814055</v>
      </c>
      <c r="BI36" s="1">
        <v>818170</v>
      </c>
      <c r="BJ36" s="1">
        <v>833670</v>
      </c>
      <c r="BK36" s="1">
        <v>857125</v>
      </c>
      <c r="BL36" s="1">
        <v>450545</v>
      </c>
      <c r="BM36" s="1">
        <v>501420</v>
      </c>
      <c r="BN36" s="1">
        <v>511840</v>
      </c>
      <c r="BO36" s="1">
        <v>517275</v>
      </c>
      <c r="BP36" s="1">
        <v>525720</v>
      </c>
      <c r="BQ36" s="1">
        <v>528585</v>
      </c>
      <c r="BR36" s="1">
        <v>526365</v>
      </c>
      <c r="BS36" s="1">
        <v>539530</v>
      </c>
      <c r="BT36" s="1">
        <v>545130</v>
      </c>
      <c r="BU36" s="1">
        <v>510305</v>
      </c>
      <c r="BV36" s="1">
        <v>525075</v>
      </c>
      <c r="BW36" s="1">
        <v>545030</v>
      </c>
      <c r="BX36" s="1">
        <v>555625</v>
      </c>
      <c r="BY36" s="1">
        <v>583285</v>
      </c>
      <c r="BZ36" s="1">
        <v>589505</v>
      </c>
      <c r="CA36" s="1">
        <v>628980</v>
      </c>
      <c r="CB36" s="1">
        <v>632870</v>
      </c>
      <c r="CC36" s="1">
        <v>672485</v>
      </c>
      <c r="CD36" s="1">
        <v>679945</v>
      </c>
      <c r="CE36" s="1">
        <v>687265</v>
      </c>
      <c r="CF36" s="1">
        <v>699490</v>
      </c>
      <c r="CG36" s="1">
        <v>712940</v>
      </c>
      <c r="CH36" s="1">
        <v>719260</v>
      </c>
      <c r="CI36" s="1">
        <v>723995</v>
      </c>
      <c r="CJ36" s="1">
        <v>728845</v>
      </c>
      <c r="CK36" s="1">
        <v>740270</v>
      </c>
      <c r="CL36" s="1">
        <v>744345</v>
      </c>
      <c r="CM36" s="1">
        <v>770650</v>
      </c>
      <c r="CN36" s="1">
        <v>673390</v>
      </c>
      <c r="CO36" s="1">
        <v>745905</v>
      </c>
      <c r="CP36" s="1">
        <v>829570</v>
      </c>
      <c r="CQ36" s="1">
        <v>416360</v>
      </c>
      <c r="CR36" s="1">
        <v>425985</v>
      </c>
      <c r="CS36" s="1">
        <v>427380</v>
      </c>
      <c r="CT36" s="1">
        <v>425595</v>
      </c>
      <c r="CU36" s="1">
        <v>429425</v>
      </c>
      <c r="CV36" s="1">
        <v>440120</v>
      </c>
      <c r="CW36" s="1">
        <v>459970</v>
      </c>
      <c r="CX36" s="1">
        <v>472645</v>
      </c>
      <c r="CY36" s="1">
        <v>477695</v>
      </c>
      <c r="CZ36" s="1">
        <v>497995</v>
      </c>
      <c r="DA36" s="1">
        <v>508045</v>
      </c>
      <c r="DB36" s="1">
        <v>511615</v>
      </c>
      <c r="DC36" s="1">
        <v>518975</v>
      </c>
      <c r="DD36" s="1">
        <v>532710</v>
      </c>
      <c r="DE36" s="1">
        <v>540930</v>
      </c>
      <c r="DF36" s="1">
        <v>557420</v>
      </c>
      <c r="DG36" s="1">
        <v>566595</v>
      </c>
      <c r="DH36" s="1">
        <v>581850</v>
      </c>
      <c r="DI36" s="1">
        <v>596495</v>
      </c>
      <c r="DJ36" s="1">
        <v>604820</v>
      </c>
      <c r="DK36" s="1">
        <v>610275</v>
      </c>
      <c r="DL36" s="1">
        <v>624640</v>
      </c>
      <c r="DM36" s="1">
        <v>636815</v>
      </c>
      <c r="DN36" s="1">
        <v>645955</v>
      </c>
      <c r="DO36" s="1">
        <v>647860</v>
      </c>
      <c r="DP36" s="1">
        <v>647750</v>
      </c>
      <c r="DQ36" s="1">
        <v>666255</v>
      </c>
      <c r="DR36" s="1">
        <v>678655</v>
      </c>
      <c r="DS36" s="1">
        <v>683270</v>
      </c>
      <c r="DT36" s="1">
        <v>712430</v>
      </c>
      <c r="DU36" s="1">
        <v>754805</v>
      </c>
      <c r="DV36" s="1">
        <v>378415</v>
      </c>
      <c r="DW36" s="1">
        <v>424620</v>
      </c>
      <c r="DX36" s="1">
        <v>432405</v>
      </c>
      <c r="DY36" s="1">
        <v>439075</v>
      </c>
      <c r="DZ36" s="1">
        <v>449120</v>
      </c>
      <c r="EA36" s="1">
        <v>449950</v>
      </c>
      <c r="EB36" s="1">
        <v>438405</v>
      </c>
      <c r="EC36" s="1">
        <v>440235</v>
      </c>
      <c r="ED36" s="1">
        <v>439855</v>
      </c>
      <c r="EE36" s="1">
        <v>386590</v>
      </c>
      <c r="EF36" s="1">
        <v>402405</v>
      </c>
      <c r="EG36" s="1">
        <v>423600</v>
      </c>
      <c r="EH36" s="1">
        <v>427630</v>
      </c>
      <c r="EI36" s="1">
        <v>454400</v>
      </c>
      <c r="EJ36" s="1">
        <v>486040</v>
      </c>
      <c r="EK36" s="1">
        <v>502400</v>
      </c>
      <c r="EL36" s="1">
        <v>503350</v>
      </c>
      <c r="EM36" s="1">
        <v>546970</v>
      </c>
      <c r="EN36" s="1">
        <v>556790</v>
      </c>
      <c r="EO36" s="1">
        <v>566790</v>
      </c>
      <c r="EP36" s="1">
        <v>581475</v>
      </c>
      <c r="EQ36" s="1">
        <v>590105</v>
      </c>
      <c r="ER36" s="1">
        <v>592270</v>
      </c>
      <c r="ES36" s="1">
        <v>587665</v>
      </c>
      <c r="ET36" s="1">
        <v>601050</v>
      </c>
      <c r="EU36" s="1">
        <v>610535</v>
      </c>
      <c r="EV36" s="1">
        <v>615120</v>
      </c>
      <c r="EW36" s="1">
        <v>625115</v>
      </c>
      <c r="EX36" s="1">
        <v>466515</v>
      </c>
      <c r="EY36" s="1">
        <v>517260</v>
      </c>
      <c r="EZ36" s="1">
        <v>694240</v>
      </c>
      <c r="FA36" s="1">
        <v>233325</v>
      </c>
      <c r="FB36" s="1">
        <v>262090</v>
      </c>
      <c r="FC36" s="1">
        <v>265280</v>
      </c>
      <c r="FD36" s="1">
        <v>274375</v>
      </c>
      <c r="FE36" s="1">
        <v>282130</v>
      </c>
      <c r="FF36" s="1">
        <v>268555</v>
      </c>
      <c r="FG36" s="1">
        <v>250025</v>
      </c>
      <c r="FH36" s="1">
        <v>255190</v>
      </c>
      <c r="FI36" s="1">
        <v>254695</v>
      </c>
      <c r="FJ36" s="1">
        <v>242550</v>
      </c>
      <c r="FK36" s="1">
        <v>250975</v>
      </c>
      <c r="FL36" s="1">
        <v>255215</v>
      </c>
      <c r="FM36" s="1">
        <v>259660</v>
      </c>
      <c r="FN36" s="1">
        <v>279710</v>
      </c>
      <c r="FO36" s="1">
        <v>300670</v>
      </c>
      <c r="FP36" s="1">
        <v>334590</v>
      </c>
      <c r="FQ36" s="1">
        <v>331420</v>
      </c>
      <c r="FR36" s="1">
        <v>399915</v>
      </c>
      <c r="FS36" s="1">
        <v>398930</v>
      </c>
      <c r="FT36" s="1">
        <v>399680</v>
      </c>
      <c r="FU36" s="1">
        <v>404830</v>
      </c>
      <c r="FV36" s="1">
        <v>415350</v>
      </c>
      <c r="FW36" s="1">
        <v>405460</v>
      </c>
      <c r="FX36" s="1">
        <v>403535</v>
      </c>
      <c r="FY36" s="1">
        <v>406495</v>
      </c>
      <c r="FZ36" s="1">
        <v>413020</v>
      </c>
      <c r="GA36" s="1">
        <v>399725</v>
      </c>
      <c r="GB36" s="1">
        <v>408300</v>
      </c>
      <c r="GC36" s="1">
        <v>346980</v>
      </c>
      <c r="GD36" s="1">
        <v>384090</v>
      </c>
      <c r="GE36" s="1">
        <v>446150</v>
      </c>
      <c r="GF36" s="1">
        <v>198105</v>
      </c>
      <c r="GG36" s="1">
        <v>221635</v>
      </c>
      <c r="GH36" s="1">
        <v>223395</v>
      </c>
      <c r="GI36" s="1">
        <v>217480</v>
      </c>
      <c r="GJ36" s="1">
        <v>214060</v>
      </c>
      <c r="GK36" s="1">
        <v>208415</v>
      </c>
      <c r="GL36" s="1">
        <v>215655</v>
      </c>
      <c r="GM36" s="1">
        <v>219170</v>
      </c>
      <c r="GN36" s="1">
        <v>216560</v>
      </c>
      <c r="GO36" s="1">
        <v>214675</v>
      </c>
      <c r="GP36" s="1">
        <v>225120</v>
      </c>
      <c r="GQ36" s="1">
        <v>227625</v>
      </c>
      <c r="GR36" s="1">
        <v>233025</v>
      </c>
      <c r="GS36" s="1">
        <v>251830</v>
      </c>
      <c r="GT36" s="1">
        <v>264200</v>
      </c>
      <c r="GU36" s="1">
        <v>308435</v>
      </c>
      <c r="GV36" s="1">
        <v>310710</v>
      </c>
      <c r="GW36" s="1">
        <v>346320</v>
      </c>
      <c r="GX36" s="1">
        <v>353085</v>
      </c>
      <c r="GY36" s="1">
        <v>358485</v>
      </c>
      <c r="GZ36" s="1">
        <v>364770</v>
      </c>
      <c r="HA36" s="1">
        <v>373350</v>
      </c>
      <c r="HB36" s="1">
        <v>375535</v>
      </c>
      <c r="HC36" s="1">
        <v>360750</v>
      </c>
      <c r="HD36" s="1">
        <v>372215</v>
      </c>
      <c r="HE36" s="1">
        <v>376895</v>
      </c>
      <c r="HF36" s="1">
        <v>365995</v>
      </c>
      <c r="HG36" s="1">
        <v>369150</v>
      </c>
      <c r="HH36" s="1">
        <v>324145</v>
      </c>
      <c r="HI36" s="1">
        <v>337485</v>
      </c>
      <c r="HJ36" s="1">
        <v>393075</v>
      </c>
      <c r="HK36" s="1">
        <v>160990</v>
      </c>
      <c r="HL36" s="1">
        <v>188535</v>
      </c>
      <c r="HM36" s="1">
        <v>193220</v>
      </c>
      <c r="HN36" s="1">
        <v>189170</v>
      </c>
      <c r="HO36" s="1">
        <v>184750</v>
      </c>
      <c r="HP36" s="1">
        <v>177020</v>
      </c>
      <c r="HQ36" s="1">
        <v>180570</v>
      </c>
      <c r="HR36" s="1">
        <v>172205</v>
      </c>
      <c r="HS36" s="1">
        <v>167690</v>
      </c>
      <c r="HT36" s="1">
        <v>142605</v>
      </c>
      <c r="HU36" s="1">
        <v>150635</v>
      </c>
      <c r="HV36" s="1">
        <v>160175</v>
      </c>
      <c r="HW36" s="1">
        <v>162995</v>
      </c>
      <c r="HX36" s="1">
        <v>184420</v>
      </c>
      <c r="HY36" s="1">
        <v>210680</v>
      </c>
      <c r="HZ36" s="1">
        <v>255810</v>
      </c>
      <c r="IA36" s="1">
        <v>256345</v>
      </c>
      <c r="IB36" s="1">
        <v>299035</v>
      </c>
      <c r="IC36" s="1">
        <v>305410</v>
      </c>
      <c r="ID36" s="1">
        <v>306075</v>
      </c>
      <c r="IE36" s="1">
        <v>310825</v>
      </c>
      <c r="IF36" s="1">
        <v>314935</v>
      </c>
      <c r="IG36" s="1">
        <v>308715</v>
      </c>
      <c r="IH36" s="1">
        <v>281660</v>
      </c>
      <c r="II36" s="1">
        <v>302275</v>
      </c>
      <c r="IJ36" s="1">
        <v>306395</v>
      </c>
      <c r="IK36" s="1">
        <v>295980</v>
      </c>
      <c r="IL36" s="1">
        <v>302245</v>
      </c>
      <c r="IM36" s="1">
        <v>263965</v>
      </c>
      <c r="IN36" s="1">
        <v>266750</v>
      </c>
      <c r="IO36" s="1">
        <v>327865</v>
      </c>
      <c r="IP36" s="1">
        <v>85425</v>
      </c>
      <c r="IQ36" s="1">
        <v>105825</v>
      </c>
      <c r="IR36" s="1">
        <v>109130</v>
      </c>
      <c r="IS36" s="1">
        <v>113040</v>
      </c>
      <c r="IT36" s="1">
        <v>107745</v>
      </c>
      <c r="IU36" s="1">
        <v>96890</v>
      </c>
      <c r="IV36" s="1">
        <v>90205</v>
      </c>
      <c r="IW36" s="1">
        <v>87030</v>
      </c>
      <c r="IX36" s="1">
        <v>80620</v>
      </c>
      <c r="IY36" s="1">
        <v>68945</v>
      </c>
      <c r="IZ36" s="1">
        <v>72360</v>
      </c>
      <c r="JA36" s="1">
        <v>77480</v>
      </c>
      <c r="JB36" s="1">
        <v>79515</v>
      </c>
      <c r="JC36" s="1">
        <v>92795</v>
      </c>
      <c r="JD36" s="1">
        <v>110530</v>
      </c>
      <c r="JE36" s="1">
        <v>155745</v>
      </c>
      <c r="JF36" s="1">
        <v>153715</v>
      </c>
      <c r="JG36" s="1">
        <v>221220</v>
      </c>
      <c r="JH36" s="1">
        <v>220455</v>
      </c>
      <c r="JI36" s="1">
        <v>217445</v>
      </c>
      <c r="JJ36" s="1">
        <v>221540</v>
      </c>
      <c r="JK36" s="1">
        <v>224755</v>
      </c>
      <c r="JL36" s="1">
        <v>214095</v>
      </c>
      <c r="JM36" s="1">
        <v>200250</v>
      </c>
      <c r="JN36" s="1">
        <v>206215</v>
      </c>
      <c r="JO36" s="1">
        <v>214480</v>
      </c>
      <c r="JP36" s="1">
        <v>201920</v>
      </c>
      <c r="JQ36" s="1">
        <v>210370</v>
      </c>
      <c r="JR36" s="1">
        <v>181425</v>
      </c>
      <c r="JS36" s="1">
        <v>184685</v>
      </c>
      <c r="JT36" s="1">
        <v>233670</v>
      </c>
      <c r="JU36" s="1">
        <v>40880</v>
      </c>
      <c r="JV36" s="1">
        <v>52700</v>
      </c>
      <c r="JW36" s="1">
        <v>53865</v>
      </c>
      <c r="JX36" s="1">
        <v>53165</v>
      </c>
      <c r="JY36" s="1">
        <v>50535</v>
      </c>
      <c r="JZ36" s="1">
        <v>45030</v>
      </c>
      <c r="KA36" s="1">
        <v>42320</v>
      </c>
      <c r="KB36" s="1">
        <v>43245</v>
      </c>
      <c r="KC36" s="1">
        <v>41180</v>
      </c>
      <c r="KD36" s="1">
        <v>38120</v>
      </c>
      <c r="KE36" s="1">
        <v>40605</v>
      </c>
      <c r="KF36" s="1">
        <v>43665</v>
      </c>
      <c r="KG36" s="1">
        <v>44860</v>
      </c>
      <c r="KH36" s="1">
        <v>51820</v>
      </c>
      <c r="KI36" s="1">
        <v>60670</v>
      </c>
      <c r="KJ36" s="1">
        <v>86740</v>
      </c>
      <c r="KK36" s="1">
        <v>89260</v>
      </c>
      <c r="KL36" s="1">
        <v>140185</v>
      </c>
      <c r="KM36" s="1">
        <v>134640</v>
      </c>
      <c r="KN36" s="1">
        <v>130725</v>
      </c>
      <c r="KO36" s="1">
        <v>132470</v>
      </c>
      <c r="KP36" s="1">
        <v>133765</v>
      </c>
      <c r="KQ36" s="1">
        <v>127325</v>
      </c>
      <c r="KR36" s="1">
        <v>113685</v>
      </c>
      <c r="KS36" s="1">
        <v>120995</v>
      </c>
      <c r="KT36" s="1">
        <v>128120</v>
      </c>
      <c r="KU36" s="1">
        <v>123300</v>
      </c>
      <c r="KV36" s="1">
        <v>127660</v>
      </c>
      <c r="KW36" s="1">
        <v>115800</v>
      </c>
      <c r="KX36" s="1">
        <v>114885</v>
      </c>
      <c r="KY36" s="1">
        <v>141840</v>
      </c>
      <c r="KZ36" s="1">
        <v>22115</v>
      </c>
      <c r="LA36" s="1">
        <v>26870</v>
      </c>
      <c r="LB36" s="1">
        <v>28275</v>
      </c>
      <c r="LC36" s="1">
        <v>27675</v>
      </c>
      <c r="LD36" s="1">
        <v>26675</v>
      </c>
      <c r="LE36" s="1">
        <v>24215</v>
      </c>
      <c r="LF36" s="1">
        <v>22870</v>
      </c>
      <c r="LG36" s="1">
        <v>24280</v>
      </c>
      <c r="LH36" s="1">
        <v>23375</v>
      </c>
      <c r="LI36" s="1">
        <v>22795</v>
      </c>
      <c r="LJ36" s="1">
        <v>24640</v>
      </c>
      <c r="LK36" s="1">
        <v>26570</v>
      </c>
      <c r="LL36" s="1">
        <v>27805</v>
      </c>
      <c r="LM36" s="1">
        <v>31965</v>
      </c>
      <c r="LN36" s="1">
        <v>35655</v>
      </c>
      <c r="LO36" s="1">
        <v>51485</v>
      </c>
      <c r="LP36" s="1">
        <v>53900</v>
      </c>
      <c r="LQ36" s="1">
        <v>85745</v>
      </c>
      <c r="LR36" s="1">
        <v>79385</v>
      </c>
      <c r="LS36" s="1">
        <v>77340</v>
      </c>
      <c r="LT36" s="1">
        <v>78660</v>
      </c>
      <c r="LU36" s="1">
        <v>79310</v>
      </c>
      <c r="LV36" s="1">
        <v>75775</v>
      </c>
      <c r="LW36" s="1">
        <v>66970</v>
      </c>
      <c r="LX36" s="1">
        <v>72690</v>
      </c>
      <c r="LY36" s="1">
        <v>78145</v>
      </c>
      <c r="LZ36" s="1">
        <v>76320</v>
      </c>
      <c r="MA36" s="1">
        <v>79960</v>
      </c>
      <c r="MB36" s="1">
        <v>72225</v>
      </c>
      <c r="MC36" s="1">
        <v>71485</v>
      </c>
      <c r="MD36" s="1">
        <v>85580</v>
      </c>
      <c r="ME36" s="1">
        <v>12515</v>
      </c>
      <c r="MF36" s="1">
        <v>15405</v>
      </c>
      <c r="MG36" s="1">
        <v>16395</v>
      </c>
      <c r="MH36" s="1">
        <v>15220</v>
      </c>
      <c r="MI36" s="1">
        <v>15090</v>
      </c>
      <c r="MJ36" s="1">
        <v>13495</v>
      </c>
      <c r="MK36" s="1">
        <v>12985</v>
      </c>
      <c r="ML36" s="1">
        <v>14830</v>
      </c>
      <c r="MM36" s="1">
        <v>15005</v>
      </c>
      <c r="MN36" s="1">
        <v>14745</v>
      </c>
      <c r="MO36" s="1">
        <v>15750</v>
      </c>
      <c r="MP36" s="1">
        <v>16705</v>
      </c>
      <c r="MQ36" s="1">
        <v>17370</v>
      </c>
      <c r="MR36" s="1">
        <v>20150</v>
      </c>
      <c r="MS36" s="1">
        <v>22220</v>
      </c>
      <c r="MT36" s="1">
        <v>31945</v>
      </c>
      <c r="MU36" s="1">
        <v>33115</v>
      </c>
      <c r="MV36" s="1">
        <v>51655</v>
      </c>
      <c r="MW36" s="1">
        <v>47150</v>
      </c>
      <c r="MX36" s="1">
        <v>45705</v>
      </c>
      <c r="MY36" s="1">
        <v>46960</v>
      </c>
      <c r="MZ36" s="1">
        <v>48490</v>
      </c>
      <c r="NA36" s="1">
        <v>45975</v>
      </c>
      <c r="NB36" s="1">
        <v>41575</v>
      </c>
      <c r="NC36" s="1">
        <v>44370</v>
      </c>
      <c r="ND36" s="1">
        <v>47725</v>
      </c>
      <c r="NE36" s="1">
        <v>45490</v>
      </c>
      <c r="NF36" s="1">
        <v>49045</v>
      </c>
      <c r="NG36" s="1">
        <v>45765</v>
      </c>
      <c r="NH36" s="1">
        <v>44325</v>
      </c>
      <c r="NI36" s="1">
        <v>52455</v>
      </c>
      <c r="NJ36" s="1">
        <v>7665</v>
      </c>
      <c r="NK36" s="1">
        <v>8420</v>
      </c>
      <c r="NL36" s="1">
        <v>10335</v>
      </c>
      <c r="NM36" s="1">
        <v>8550</v>
      </c>
      <c r="NN36" s="1">
        <v>9370</v>
      </c>
      <c r="NO36" s="1">
        <v>8245</v>
      </c>
      <c r="NP36" s="1">
        <v>8120</v>
      </c>
      <c r="NQ36" s="1">
        <v>9655</v>
      </c>
      <c r="NR36" s="1">
        <v>9815</v>
      </c>
      <c r="NS36" s="1">
        <v>10230</v>
      </c>
      <c r="NT36" s="1">
        <v>10665</v>
      </c>
      <c r="NU36" s="1">
        <v>11495</v>
      </c>
      <c r="NV36" s="1">
        <v>11645</v>
      </c>
      <c r="NW36" s="1">
        <v>13225</v>
      </c>
      <c r="NX36" s="1">
        <v>14730</v>
      </c>
      <c r="NY36" s="1">
        <v>20230</v>
      </c>
      <c r="NZ36" s="1">
        <v>21270</v>
      </c>
      <c r="OA36" s="1">
        <v>31525</v>
      </c>
      <c r="OB36" s="1">
        <v>29575</v>
      </c>
      <c r="OC36" s="1">
        <v>28970</v>
      </c>
      <c r="OD36" s="1">
        <v>29270</v>
      </c>
      <c r="OE36" s="1">
        <v>29240</v>
      </c>
      <c r="OF36" s="1">
        <v>28025</v>
      </c>
      <c r="OG36" s="1">
        <v>24975</v>
      </c>
      <c r="OH36" s="1">
        <v>27635</v>
      </c>
      <c r="OI36" s="1">
        <v>28530</v>
      </c>
      <c r="OJ36" s="1">
        <v>28060</v>
      </c>
      <c r="OK36" s="1">
        <v>29495</v>
      </c>
      <c r="OL36" s="1">
        <v>28610</v>
      </c>
      <c r="OM36" s="1">
        <v>27325</v>
      </c>
      <c r="ON36" s="1">
        <v>32110</v>
      </c>
      <c r="OO36" s="1">
        <v>4970</v>
      </c>
      <c r="OP36" s="1">
        <v>5890</v>
      </c>
      <c r="OQ36" s="1">
        <v>7055</v>
      </c>
      <c r="OR36" s="1">
        <v>5370</v>
      </c>
      <c r="OS36" s="1">
        <v>6065</v>
      </c>
      <c r="OT36" s="1">
        <v>5350</v>
      </c>
      <c r="OU36" s="1">
        <v>5080</v>
      </c>
      <c r="OV36" s="1">
        <v>7160</v>
      </c>
      <c r="OW36" s="1">
        <v>6575</v>
      </c>
      <c r="OX36" s="1">
        <v>7245</v>
      </c>
      <c r="OY36" s="1">
        <v>7405</v>
      </c>
      <c r="OZ36" s="1">
        <v>8200</v>
      </c>
      <c r="PA36" s="1">
        <v>8410</v>
      </c>
      <c r="PB36" s="1">
        <v>9255</v>
      </c>
      <c r="PC36" s="1">
        <v>10385</v>
      </c>
      <c r="PD36" s="1">
        <v>13380</v>
      </c>
      <c r="PE36" s="1">
        <v>13770</v>
      </c>
      <c r="PF36" s="1">
        <v>20740</v>
      </c>
      <c r="PG36" s="1">
        <v>18700</v>
      </c>
      <c r="PH36" s="1">
        <v>18510</v>
      </c>
      <c r="PI36" s="1">
        <v>18785</v>
      </c>
      <c r="PJ36" s="1">
        <v>19140</v>
      </c>
      <c r="PK36" s="1">
        <v>17530</v>
      </c>
      <c r="PL36" s="1">
        <v>15920</v>
      </c>
      <c r="PM36" s="1">
        <v>17170</v>
      </c>
      <c r="PN36" s="1">
        <v>17865</v>
      </c>
      <c r="PO36" s="1">
        <v>17490</v>
      </c>
      <c r="PP36" s="1">
        <v>18440</v>
      </c>
      <c r="PQ36" s="1">
        <v>19135</v>
      </c>
      <c r="PR36" s="1">
        <v>18350</v>
      </c>
      <c r="PS36" s="1">
        <v>20710</v>
      </c>
      <c r="PT36" s="1">
        <v>3500</v>
      </c>
      <c r="PU36" s="1">
        <v>3935</v>
      </c>
      <c r="PV36" s="1">
        <v>5465</v>
      </c>
      <c r="PW36" s="1">
        <v>3900</v>
      </c>
      <c r="PX36" s="1">
        <v>3925</v>
      </c>
      <c r="PY36" s="1">
        <v>3790</v>
      </c>
      <c r="PZ36" s="1">
        <v>3590</v>
      </c>
      <c r="QA36" s="1">
        <v>5060</v>
      </c>
      <c r="QB36" s="1">
        <v>5090</v>
      </c>
      <c r="QC36" s="1">
        <v>5330</v>
      </c>
      <c r="QD36" s="1">
        <v>5525</v>
      </c>
      <c r="QE36" s="1">
        <v>5885</v>
      </c>
      <c r="QF36" s="1">
        <v>6115</v>
      </c>
      <c r="QG36" s="1">
        <v>6870</v>
      </c>
      <c r="QH36" s="1">
        <v>7330</v>
      </c>
      <c r="QI36" s="1">
        <v>9315</v>
      </c>
      <c r="QJ36" s="1">
        <v>9355</v>
      </c>
      <c r="QK36" s="1">
        <v>13355</v>
      </c>
      <c r="QL36" s="1">
        <v>12485</v>
      </c>
      <c r="QM36" s="1">
        <v>12175</v>
      </c>
      <c r="QN36" s="1">
        <v>12535</v>
      </c>
      <c r="QO36" s="1">
        <v>13200</v>
      </c>
      <c r="QP36" s="1">
        <v>11240</v>
      </c>
      <c r="QQ36" s="1">
        <v>10730</v>
      </c>
      <c r="QR36" s="1">
        <v>11725</v>
      </c>
      <c r="QS36" s="1">
        <v>12280</v>
      </c>
      <c r="QT36" s="1">
        <v>11470</v>
      </c>
      <c r="QU36" s="1">
        <v>12805</v>
      </c>
      <c r="QV36" s="1">
        <v>13285</v>
      </c>
      <c r="QW36" s="1">
        <v>12520</v>
      </c>
      <c r="QX36" s="1">
        <v>13730</v>
      </c>
      <c r="QY36" s="1">
        <v>2615</v>
      </c>
      <c r="QZ36" s="1">
        <v>2805</v>
      </c>
      <c r="RA36" s="1">
        <v>4455</v>
      </c>
      <c r="RB36" s="1">
        <v>2515</v>
      </c>
      <c r="RC36" s="1">
        <v>2825</v>
      </c>
      <c r="RD36" s="1">
        <v>2530</v>
      </c>
      <c r="RE36" s="1">
        <v>2685</v>
      </c>
      <c r="RF36" s="1">
        <v>3925</v>
      </c>
      <c r="RG36" s="1">
        <v>3740</v>
      </c>
      <c r="RH36" s="1">
        <v>3970</v>
      </c>
      <c r="RI36" s="1">
        <v>4095</v>
      </c>
      <c r="RJ36" s="1">
        <v>4540</v>
      </c>
      <c r="RK36" s="1">
        <v>4760</v>
      </c>
      <c r="RL36" s="1">
        <v>5285</v>
      </c>
      <c r="RM36" s="1">
        <v>5375</v>
      </c>
      <c r="RN36" s="1">
        <v>6465</v>
      </c>
      <c r="RO36" s="1">
        <v>6555</v>
      </c>
      <c r="RP36" s="1">
        <v>9220</v>
      </c>
      <c r="RQ36" s="1">
        <v>8440</v>
      </c>
      <c r="RR36" s="1">
        <v>8230</v>
      </c>
      <c r="RS36" s="1">
        <v>8275</v>
      </c>
      <c r="RT36" s="1">
        <v>8555</v>
      </c>
      <c r="RU36" s="1">
        <v>7845</v>
      </c>
      <c r="RV36" s="1">
        <v>7360</v>
      </c>
      <c r="RW36" s="1">
        <v>7980</v>
      </c>
      <c r="RX36" s="1">
        <v>8385</v>
      </c>
      <c r="RY36" s="1">
        <v>8320</v>
      </c>
      <c r="RZ36" s="1">
        <v>8855</v>
      </c>
      <c r="SA36" s="1">
        <v>9580</v>
      </c>
      <c r="SB36" s="1">
        <v>9110</v>
      </c>
      <c r="SC36" s="1">
        <v>9800</v>
      </c>
      <c r="SD36" s="1">
        <v>2070</v>
      </c>
      <c r="SE36" s="1">
        <v>2345</v>
      </c>
      <c r="SF36" s="1">
        <v>4365</v>
      </c>
      <c r="SG36" s="1">
        <v>1835</v>
      </c>
      <c r="SH36" s="1">
        <v>1920</v>
      </c>
      <c r="SI36" s="1">
        <v>2090</v>
      </c>
      <c r="SJ36" s="1">
        <v>1890</v>
      </c>
      <c r="SK36" s="1">
        <v>2900</v>
      </c>
      <c r="SL36" s="1">
        <v>2945</v>
      </c>
      <c r="SM36" s="1">
        <v>3385</v>
      </c>
      <c r="SN36" s="1">
        <v>3335</v>
      </c>
      <c r="SO36" s="1">
        <v>3895</v>
      </c>
      <c r="SP36" s="1">
        <v>3690</v>
      </c>
      <c r="SQ36" s="1">
        <v>4075</v>
      </c>
      <c r="SR36" s="1">
        <v>4400</v>
      </c>
      <c r="SS36" s="1">
        <v>4795</v>
      </c>
      <c r="ST36" s="1">
        <v>4975</v>
      </c>
      <c r="SU36" s="1">
        <v>6700</v>
      </c>
      <c r="SV36" s="1">
        <v>6190</v>
      </c>
      <c r="SW36" s="1">
        <v>5970</v>
      </c>
      <c r="SX36" s="1">
        <v>6000</v>
      </c>
      <c r="SY36" s="1">
        <v>6345</v>
      </c>
      <c r="SZ36" s="1">
        <v>5895</v>
      </c>
      <c r="TA36" s="1">
        <v>5460</v>
      </c>
      <c r="TB36" s="1">
        <v>5700</v>
      </c>
      <c r="TC36" s="1">
        <v>6255</v>
      </c>
      <c r="TD36" s="1">
        <v>5875</v>
      </c>
      <c r="TE36" s="1">
        <v>6425</v>
      </c>
      <c r="TF36" s="1">
        <v>6840</v>
      </c>
      <c r="TG36" s="1">
        <v>7020</v>
      </c>
      <c r="TH36" s="1">
        <v>7360</v>
      </c>
      <c r="TI36" s="1">
        <v>1705</v>
      </c>
      <c r="TJ36" s="1">
        <v>1800</v>
      </c>
      <c r="TK36" s="1">
        <v>3970</v>
      </c>
      <c r="TL36" s="1">
        <v>1460</v>
      </c>
      <c r="TM36" s="1">
        <v>1575</v>
      </c>
      <c r="TN36" s="1">
        <v>1610</v>
      </c>
      <c r="TO36" s="1">
        <v>1700</v>
      </c>
      <c r="TP36" s="1">
        <v>2355</v>
      </c>
      <c r="TQ36" s="1">
        <v>2400</v>
      </c>
      <c r="TR36" s="1">
        <v>2720</v>
      </c>
      <c r="TS36" s="1">
        <v>2845</v>
      </c>
      <c r="TT36" s="1">
        <v>3110</v>
      </c>
      <c r="TU36" s="1">
        <v>2965</v>
      </c>
      <c r="TV36" s="1">
        <v>3400</v>
      </c>
      <c r="TW36" s="1">
        <v>3560</v>
      </c>
      <c r="TX36" s="1">
        <v>3865</v>
      </c>
      <c r="TY36" s="1">
        <v>3910</v>
      </c>
      <c r="TZ36" s="1">
        <v>4790</v>
      </c>
      <c r="UA36" s="1">
        <v>4595</v>
      </c>
      <c r="UB36" s="1">
        <v>4535</v>
      </c>
      <c r="UC36" s="1">
        <v>4270</v>
      </c>
      <c r="UD36" s="1">
        <v>4575</v>
      </c>
      <c r="UE36" s="1">
        <v>4435</v>
      </c>
      <c r="UF36" s="1">
        <v>4285</v>
      </c>
      <c r="UG36" s="1">
        <v>4550</v>
      </c>
      <c r="UH36" s="1">
        <v>4670</v>
      </c>
      <c r="UI36" s="1">
        <v>4730</v>
      </c>
      <c r="UJ36" s="1">
        <v>5120</v>
      </c>
      <c r="UK36" s="1">
        <v>5550</v>
      </c>
      <c r="UL36" s="1">
        <v>5230</v>
      </c>
      <c r="UM36" s="1">
        <v>5400</v>
      </c>
      <c r="UN36" s="1">
        <v>1535</v>
      </c>
      <c r="UO36" s="1">
        <v>1720</v>
      </c>
      <c r="UP36" s="1">
        <v>4560</v>
      </c>
      <c r="UQ36" s="1">
        <v>1300</v>
      </c>
      <c r="UR36" s="1">
        <v>1275</v>
      </c>
      <c r="US36" s="1">
        <v>1350</v>
      </c>
      <c r="UT36" s="1">
        <v>1440</v>
      </c>
      <c r="UU36" s="1">
        <v>1950</v>
      </c>
      <c r="UV36" s="1">
        <v>1960</v>
      </c>
      <c r="UW36" s="1">
        <v>2240</v>
      </c>
      <c r="UX36" s="1">
        <v>2325</v>
      </c>
      <c r="UY36" s="1">
        <v>2530</v>
      </c>
      <c r="UZ36" s="1">
        <v>2575</v>
      </c>
      <c r="VA36" s="1">
        <v>2970</v>
      </c>
      <c r="VB36" s="1">
        <v>2875</v>
      </c>
      <c r="VC36" s="1">
        <v>3040</v>
      </c>
      <c r="VD36" s="1">
        <v>2890</v>
      </c>
      <c r="VE36" s="1">
        <v>3785</v>
      </c>
      <c r="VF36" s="1">
        <v>3740</v>
      </c>
      <c r="VG36" s="1">
        <v>3610</v>
      </c>
      <c r="VH36" s="1">
        <v>3450</v>
      </c>
      <c r="VI36" s="1">
        <v>3715</v>
      </c>
      <c r="VJ36" s="1">
        <v>3420</v>
      </c>
      <c r="VK36" s="1">
        <v>3290</v>
      </c>
      <c r="VL36" s="1">
        <v>3370</v>
      </c>
      <c r="VM36" s="1">
        <v>3585</v>
      </c>
      <c r="VN36" s="1">
        <v>3555</v>
      </c>
      <c r="VO36" s="1">
        <v>4035</v>
      </c>
      <c r="VP36" s="1">
        <v>4420</v>
      </c>
      <c r="VQ36" s="1">
        <v>4160</v>
      </c>
      <c r="VR36" s="1">
        <v>4385</v>
      </c>
      <c r="VS36" s="1">
        <v>1370</v>
      </c>
      <c r="VT36" s="1">
        <v>1685</v>
      </c>
      <c r="VU36" s="1">
        <v>7395</v>
      </c>
      <c r="VV36" s="1">
        <v>1245</v>
      </c>
      <c r="VW36" s="1">
        <v>1185</v>
      </c>
      <c r="VX36" s="1">
        <v>1260</v>
      </c>
      <c r="VY36" s="1">
        <v>1430</v>
      </c>
      <c r="VZ36" s="1">
        <v>1740</v>
      </c>
      <c r="WA36" s="1">
        <v>1740</v>
      </c>
      <c r="WB36" s="1">
        <v>2090</v>
      </c>
      <c r="WC36" s="1">
        <v>2180</v>
      </c>
      <c r="WD36" s="1">
        <v>2365</v>
      </c>
      <c r="WE36" s="1">
        <v>2425</v>
      </c>
      <c r="WF36" s="1">
        <v>2310</v>
      </c>
      <c r="WG36" s="1">
        <v>2605</v>
      </c>
      <c r="WH36" s="1">
        <v>2515</v>
      </c>
      <c r="WI36" s="1">
        <v>2535</v>
      </c>
      <c r="WJ36" s="1">
        <v>2955</v>
      </c>
      <c r="WK36" s="1">
        <v>2820</v>
      </c>
      <c r="WL36" s="1">
        <v>2710</v>
      </c>
      <c r="WM36" s="1">
        <v>2630</v>
      </c>
      <c r="WN36" s="1">
        <v>2740</v>
      </c>
      <c r="WO36" s="1">
        <v>2825</v>
      </c>
      <c r="WP36" s="1">
        <v>2815</v>
      </c>
      <c r="WQ36" s="1">
        <v>2880</v>
      </c>
      <c r="WR36" s="1">
        <v>3270</v>
      </c>
      <c r="WS36" s="1">
        <v>3080</v>
      </c>
      <c r="WT36" s="1">
        <v>3430</v>
      </c>
      <c r="WU36" s="1">
        <v>3360</v>
      </c>
      <c r="WV36" s="1">
        <v>3360</v>
      </c>
      <c r="WW36" s="1">
        <v>3495</v>
      </c>
      <c r="WX36" s="1">
        <v>2180</v>
      </c>
      <c r="WY36" s="1">
        <v>2415</v>
      </c>
      <c r="WZ36" s="1">
        <v>4955</v>
      </c>
      <c r="XA36" s="1">
        <v>1855</v>
      </c>
      <c r="XB36" s="1">
        <v>1775</v>
      </c>
      <c r="XC36" s="1">
        <v>2270</v>
      </c>
      <c r="XD36" s="1">
        <v>2175</v>
      </c>
      <c r="XE36" s="1">
        <v>2470</v>
      </c>
      <c r="XF36" s="1">
        <v>2455</v>
      </c>
      <c r="XG36" s="1">
        <v>2620</v>
      </c>
      <c r="XH36" s="1">
        <v>2670</v>
      </c>
      <c r="XI36" s="1">
        <v>2765</v>
      </c>
      <c r="XJ36" s="1">
        <v>2560</v>
      </c>
      <c r="XK36" s="1">
        <v>2375</v>
      </c>
      <c r="XL36" s="1">
        <v>2370</v>
      </c>
      <c r="XM36" s="1">
        <v>2350</v>
      </c>
      <c r="XN36" s="1">
        <v>2320</v>
      </c>
      <c r="XO36" s="1">
        <v>2970</v>
      </c>
      <c r="XP36" s="1">
        <v>2855</v>
      </c>
      <c r="XQ36" s="1">
        <v>2790</v>
      </c>
      <c r="XR36" s="1">
        <v>2720</v>
      </c>
      <c r="XS36" s="1">
        <v>2900</v>
      </c>
      <c r="XT36" s="1">
        <v>2970</v>
      </c>
      <c r="XU36" s="1">
        <v>2985</v>
      </c>
      <c r="XV36" s="1">
        <v>3200</v>
      </c>
      <c r="XW36" s="1">
        <v>3350</v>
      </c>
      <c r="XX36" s="1">
        <v>3445</v>
      </c>
      <c r="XY36" s="1">
        <v>3680</v>
      </c>
      <c r="XZ36" s="1">
        <v>3335</v>
      </c>
      <c r="YA36" s="1">
        <v>3300</v>
      </c>
      <c r="YB36" s="1">
        <v>3600</v>
      </c>
    </row>
    <row r="37" spans="1:652" x14ac:dyDescent="0.2">
      <c r="B37" t="s">
        <v>36</v>
      </c>
    </row>
    <row r="38" spans="1:652" x14ac:dyDescent="0.2">
      <c r="A38" t="s">
        <v>59</v>
      </c>
      <c r="B38" t="s">
        <v>47</v>
      </c>
      <c r="C38" t="s">
        <v>47</v>
      </c>
      <c r="D38" t="s">
        <v>47</v>
      </c>
      <c r="E38" t="s">
        <v>47</v>
      </c>
      <c r="F38" t="s">
        <v>47</v>
      </c>
      <c r="G38" t="s">
        <v>47</v>
      </c>
      <c r="H38" t="s">
        <v>47</v>
      </c>
      <c r="I38" t="s">
        <v>47</v>
      </c>
      <c r="J38" t="s">
        <v>47</v>
      </c>
      <c r="K38" t="s">
        <v>47</v>
      </c>
      <c r="L38" t="s">
        <v>47</v>
      </c>
      <c r="M38" t="s">
        <v>47</v>
      </c>
      <c r="N38" t="s">
        <v>47</v>
      </c>
      <c r="O38" t="s">
        <v>47</v>
      </c>
      <c r="P38" t="s">
        <v>47</v>
      </c>
      <c r="Q38" t="s">
        <v>47</v>
      </c>
      <c r="R38" t="s">
        <v>47</v>
      </c>
      <c r="S38" t="s">
        <v>47</v>
      </c>
      <c r="T38" t="s">
        <v>47</v>
      </c>
      <c r="U38" t="s">
        <v>47</v>
      </c>
      <c r="V38" t="s">
        <v>47</v>
      </c>
      <c r="W38" t="s">
        <v>47</v>
      </c>
      <c r="X38" t="s">
        <v>47</v>
      </c>
      <c r="Y38" t="s">
        <v>47</v>
      </c>
      <c r="Z38" t="s">
        <v>47</v>
      </c>
      <c r="AA38" t="s">
        <v>47</v>
      </c>
      <c r="AB38" t="s">
        <v>47</v>
      </c>
      <c r="AC38" t="s">
        <v>47</v>
      </c>
      <c r="AD38" t="s">
        <v>47</v>
      </c>
      <c r="AE38" t="s">
        <v>47</v>
      </c>
      <c r="AF38" t="s">
        <v>47</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s="1">
        <v>6000</v>
      </c>
      <c r="BM38" s="1">
        <v>5500</v>
      </c>
      <c r="BN38" s="1">
        <v>5400</v>
      </c>
      <c r="BO38" s="1">
        <v>5500</v>
      </c>
      <c r="BP38" s="1">
        <v>5300</v>
      </c>
      <c r="BQ38" s="1">
        <v>5400</v>
      </c>
      <c r="BR38" s="1">
        <v>5800</v>
      </c>
      <c r="BS38" s="1">
        <v>5900</v>
      </c>
      <c r="BT38" s="1">
        <v>6100</v>
      </c>
      <c r="BU38" s="1">
        <v>6900</v>
      </c>
      <c r="BV38" s="1">
        <v>6900</v>
      </c>
      <c r="BW38" s="1">
        <v>6800</v>
      </c>
      <c r="BX38" s="1">
        <v>7000</v>
      </c>
      <c r="BY38" s="1">
        <v>7100</v>
      </c>
      <c r="BZ38" s="1">
        <v>7600</v>
      </c>
      <c r="CA38" s="1">
        <v>8200</v>
      </c>
      <c r="CB38" s="1">
        <v>8300</v>
      </c>
      <c r="CC38" s="1">
        <v>8200</v>
      </c>
      <c r="CD38" s="1">
        <v>8400</v>
      </c>
      <c r="CE38" s="1">
        <v>8700</v>
      </c>
      <c r="CF38" s="1">
        <v>9000</v>
      </c>
      <c r="CG38" s="1">
        <v>9000</v>
      </c>
      <c r="CH38" s="1">
        <v>9300</v>
      </c>
      <c r="CI38" s="1">
        <v>9500</v>
      </c>
      <c r="CJ38" s="1">
        <v>9800</v>
      </c>
      <c r="CK38" s="1">
        <v>9800</v>
      </c>
      <c r="CL38" s="1">
        <v>10200</v>
      </c>
      <c r="CM38" s="1">
        <v>10300</v>
      </c>
      <c r="CN38" s="1">
        <v>15100</v>
      </c>
      <c r="CO38" s="1">
        <v>12700</v>
      </c>
      <c r="CP38" s="1">
        <v>10800</v>
      </c>
      <c r="CQ38" s="1">
        <v>9200</v>
      </c>
      <c r="CR38" s="1">
        <v>8800</v>
      </c>
      <c r="CS38" s="1">
        <v>8700</v>
      </c>
      <c r="CT38" s="1">
        <v>8800</v>
      </c>
      <c r="CU38" s="1">
        <v>8700</v>
      </c>
      <c r="CV38" s="1">
        <v>8800</v>
      </c>
      <c r="CW38" s="1">
        <v>9400</v>
      </c>
      <c r="CX38" s="1">
        <v>9800</v>
      </c>
      <c r="CY38" s="1">
        <v>10100</v>
      </c>
      <c r="CZ38" s="1">
        <v>11200</v>
      </c>
      <c r="DA38" s="1">
        <v>11400</v>
      </c>
      <c r="DB38" s="1">
        <v>11300</v>
      </c>
      <c r="DC38" s="1">
        <v>11600</v>
      </c>
      <c r="DD38" s="1">
        <v>11900</v>
      </c>
      <c r="DE38" s="1">
        <v>12500</v>
      </c>
      <c r="DF38" s="1">
        <v>13200</v>
      </c>
      <c r="DG38" s="1">
        <v>13500</v>
      </c>
      <c r="DH38" s="1">
        <v>13500</v>
      </c>
      <c r="DI38" s="1">
        <v>13800</v>
      </c>
      <c r="DJ38" s="1">
        <v>14300</v>
      </c>
      <c r="DK38" s="1">
        <v>14700</v>
      </c>
      <c r="DL38" s="1">
        <v>14900</v>
      </c>
      <c r="DM38" s="1">
        <v>15300</v>
      </c>
      <c r="DN38" s="1">
        <v>15800</v>
      </c>
      <c r="DO38" s="1">
        <v>16100</v>
      </c>
      <c r="DP38" s="1">
        <v>16400</v>
      </c>
      <c r="DQ38" s="1">
        <v>17100</v>
      </c>
      <c r="DR38" s="1">
        <v>17300</v>
      </c>
      <c r="DS38" s="1">
        <v>21900</v>
      </c>
      <c r="DT38" s="1">
        <v>20800</v>
      </c>
      <c r="DU38" s="1">
        <v>19400</v>
      </c>
      <c r="DV38" s="1">
        <v>11400</v>
      </c>
      <c r="DW38" s="1">
        <v>11300</v>
      </c>
      <c r="DX38" s="1">
        <v>11400</v>
      </c>
      <c r="DY38" s="1">
        <v>11500</v>
      </c>
      <c r="DZ38" s="1">
        <v>11600</v>
      </c>
      <c r="EA38" s="1">
        <v>11700</v>
      </c>
      <c r="EB38" s="1">
        <v>12200</v>
      </c>
      <c r="EC38" s="1">
        <v>12600</v>
      </c>
      <c r="ED38" s="1">
        <v>13000</v>
      </c>
      <c r="EE38" s="1">
        <v>13900</v>
      </c>
      <c r="EF38" s="1">
        <v>14100</v>
      </c>
      <c r="EG38" s="1">
        <v>14300</v>
      </c>
      <c r="EH38" s="1">
        <v>14700</v>
      </c>
      <c r="EI38" s="1">
        <v>15100</v>
      </c>
      <c r="EJ38" s="1">
        <v>15900</v>
      </c>
      <c r="EK38" s="1">
        <v>16700</v>
      </c>
      <c r="EL38" s="1">
        <v>17100</v>
      </c>
      <c r="EM38" s="1">
        <v>17100</v>
      </c>
      <c r="EN38" s="1">
        <v>17300</v>
      </c>
      <c r="EO38" s="1">
        <v>17900</v>
      </c>
      <c r="EP38" s="1">
        <v>18600</v>
      </c>
      <c r="EQ38" s="1">
        <v>18800</v>
      </c>
      <c r="ER38" s="1">
        <v>19200</v>
      </c>
      <c r="ES38" s="1">
        <v>19700</v>
      </c>
      <c r="ET38" s="1">
        <v>20100</v>
      </c>
      <c r="EU38" s="1">
        <v>20700</v>
      </c>
      <c r="EV38" s="1">
        <v>21300</v>
      </c>
      <c r="EW38" s="1">
        <v>21700</v>
      </c>
      <c r="EX38" s="1">
        <v>25300</v>
      </c>
      <c r="EY38" s="1">
        <v>24300</v>
      </c>
      <c r="EZ38" s="1">
        <v>24300</v>
      </c>
      <c r="FA38" s="1">
        <v>13400</v>
      </c>
      <c r="FB38" s="1">
        <v>13100</v>
      </c>
      <c r="FC38" s="1">
        <v>13300</v>
      </c>
      <c r="FD38" s="1">
        <v>13400</v>
      </c>
      <c r="FE38" s="1">
        <v>13500</v>
      </c>
      <c r="FF38" s="1">
        <v>13700</v>
      </c>
      <c r="FG38" s="1">
        <v>14300</v>
      </c>
      <c r="FH38" s="1">
        <v>14800</v>
      </c>
      <c r="FI38" s="1">
        <v>15400</v>
      </c>
      <c r="FJ38" s="1">
        <v>16600</v>
      </c>
      <c r="FK38" s="1">
        <v>16900</v>
      </c>
      <c r="FL38" s="1">
        <v>17100</v>
      </c>
      <c r="FM38" s="1">
        <v>17600</v>
      </c>
      <c r="FN38" s="1">
        <v>18100</v>
      </c>
      <c r="FO38" s="1">
        <v>19100</v>
      </c>
      <c r="FP38" s="1">
        <v>20100</v>
      </c>
      <c r="FQ38" s="1">
        <v>20600</v>
      </c>
      <c r="FR38" s="1">
        <v>20600</v>
      </c>
      <c r="FS38" s="1">
        <v>20700</v>
      </c>
      <c r="FT38" s="1">
        <v>21400</v>
      </c>
      <c r="FU38" s="1">
        <v>22100</v>
      </c>
      <c r="FV38" s="1">
        <v>22400</v>
      </c>
      <c r="FW38" s="1">
        <v>23000</v>
      </c>
      <c r="FX38" s="1">
        <v>23700</v>
      </c>
      <c r="FY38" s="1">
        <v>24100</v>
      </c>
      <c r="FZ38" s="1">
        <v>24700</v>
      </c>
      <c r="GA38" s="1">
        <v>25400</v>
      </c>
      <c r="GB38" s="1">
        <v>25800</v>
      </c>
      <c r="GC38" s="1">
        <v>30400</v>
      </c>
      <c r="GD38" s="1">
        <v>29700</v>
      </c>
      <c r="GE38" s="1">
        <v>28800</v>
      </c>
      <c r="GF38" s="1">
        <v>16000</v>
      </c>
      <c r="GG38" s="1">
        <v>15600</v>
      </c>
      <c r="GH38" s="1">
        <v>15800</v>
      </c>
      <c r="GI38" s="1">
        <v>15900</v>
      </c>
      <c r="GJ38" s="1">
        <v>15900</v>
      </c>
      <c r="GK38" s="1">
        <v>16200</v>
      </c>
      <c r="GL38" s="1">
        <v>17000</v>
      </c>
      <c r="GM38" s="1">
        <v>17700</v>
      </c>
      <c r="GN38" s="1">
        <v>18400</v>
      </c>
      <c r="GO38" s="1">
        <v>20000</v>
      </c>
      <c r="GP38" s="1">
        <v>20400</v>
      </c>
      <c r="GQ38" s="1">
        <v>20600</v>
      </c>
      <c r="GR38" s="1">
        <v>21300</v>
      </c>
      <c r="GS38" s="1">
        <v>21900</v>
      </c>
      <c r="GT38" s="1">
        <v>23000</v>
      </c>
      <c r="GU38" s="1">
        <v>24300</v>
      </c>
      <c r="GV38" s="1">
        <v>24900</v>
      </c>
      <c r="GW38" s="1">
        <v>24900</v>
      </c>
      <c r="GX38" s="1">
        <v>25100</v>
      </c>
      <c r="GY38" s="1">
        <v>25900</v>
      </c>
      <c r="GZ38" s="1">
        <v>26700</v>
      </c>
      <c r="HA38" s="1">
        <v>27200</v>
      </c>
      <c r="HB38" s="1">
        <v>28000</v>
      </c>
      <c r="HC38" s="1">
        <v>28900</v>
      </c>
      <c r="HD38" s="1">
        <v>29200</v>
      </c>
      <c r="HE38" s="1">
        <v>30000</v>
      </c>
      <c r="HF38" s="1">
        <v>30900</v>
      </c>
      <c r="HG38" s="1">
        <v>31500</v>
      </c>
      <c r="HH38" s="1">
        <v>36000</v>
      </c>
      <c r="HI38" s="1">
        <v>35500</v>
      </c>
      <c r="HJ38" s="1">
        <v>35100</v>
      </c>
      <c r="HK38" s="1">
        <v>18900</v>
      </c>
      <c r="HL38" s="1">
        <v>18600</v>
      </c>
      <c r="HM38" s="1">
        <v>18900</v>
      </c>
      <c r="HN38" s="1">
        <v>18900</v>
      </c>
      <c r="HO38" s="1">
        <v>19000</v>
      </c>
      <c r="HP38" s="1">
        <v>19400</v>
      </c>
      <c r="HQ38" s="1">
        <v>20300</v>
      </c>
      <c r="HR38" s="1">
        <v>21100</v>
      </c>
      <c r="HS38" s="1">
        <v>22000</v>
      </c>
      <c r="HT38" s="1">
        <v>23800</v>
      </c>
      <c r="HU38" s="1">
        <v>24200</v>
      </c>
      <c r="HV38" s="1">
        <v>24500</v>
      </c>
      <c r="HW38" s="1">
        <v>25400</v>
      </c>
      <c r="HX38" s="1">
        <v>26000</v>
      </c>
      <c r="HY38" s="1">
        <v>27400</v>
      </c>
      <c r="HZ38" s="1">
        <v>28800</v>
      </c>
      <c r="IA38" s="1">
        <v>29500</v>
      </c>
      <c r="IB38" s="1">
        <v>29500</v>
      </c>
      <c r="IC38" s="1">
        <v>29700</v>
      </c>
      <c r="ID38" s="1">
        <v>30600</v>
      </c>
      <c r="IE38" s="1">
        <v>31500</v>
      </c>
      <c r="IF38" s="1">
        <v>32100</v>
      </c>
      <c r="IG38" s="1">
        <v>33000</v>
      </c>
      <c r="IH38" s="1">
        <v>34000</v>
      </c>
      <c r="II38" s="1">
        <v>34400</v>
      </c>
      <c r="IJ38" s="1">
        <v>35200</v>
      </c>
      <c r="IK38" s="1">
        <v>36400</v>
      </c>
      <c r="IL38" s="1">
        <v>37000</v>
      </c>
      <c r="IM38" s="1">
        <v>41500</v>
      </c>
      <c r="IN38" s="1">
        <v>41300</v>
      </c>
      <c r="IO38" s="1">
        <v>41300</v>
      </c>
      <c r="IP38" s="1">
        <v>22000</v>
      </c>
      <c r="IQ38" s="1">
        <v>21700</v>
      </c>
      <c r="IR38" s="1">
        <v>22100</v>
      </c>
      <c r="IS38" s="1">
        <v>22000</v>
      </c>
      <c r="IT38" s="1">
        <v>22200</v>
      </c>
      <c r="IU38" s="1">
        <v>22800</v>
      </c>
      <c r="IV38" s="1">
        <v>23700</v>
      </c>
      <c r="IW38" s="1">
        <v>24600</v>
      </c>
      <c r="IX38" s="1">
        <v>25700</v>
      </c>
      <c r="IY38" s="1">
        <v>27600</v>
      </c>
      <c r="IZ38" s="1">
        <v>28100</v>
      </c>
      <c r="JA38" s="1">
        <v>28500</v>
      </c>
      <c r="JB38" s="1">
        <v>29500</v>
      </c>
      <c r="JC38" s="1">
        <v>30300</v>
      </c>
      <c r="JD38" s="1">
        <v>31800</v>
      </c>
      <c r="JE38" s="1">
        <v>33400</v>
      </c>
      <c r="JF38" s="1">
        <v>34200</v>
      </c>
      <c r="JG38" s="1">
        <v>34100</v>
      </c>
      <c r="JH38" s="1">
        <v>34400</v>
      </c>
      <c r="JI38" s="1">
        <v>35400</v>
      </c>
      <c r="JJ38" s="1">
        <v>36400</v>
      </c>
      <c r="JK38" s="1">
        <v>37100</v>
      </c>
      <c r="JL38" s="1">
        <v>38200</v>
      </c>
      <c r="JM38" s="1">
        <v>39300</v>
      </c>
      <c r="JN38" s="1">
        <v>39700</v>
      </c>
      <c r="JO38" s="1">
        <v>40700</v>
      </c>
      <c r="JP38" s="1">
        <v>42000</v>
      </c>
      <c r="JQ38" s="1">
        <v>42700</v>
      </c>
      <c r="JR38" s="1">
        <v>47400</v>
      </c>
      <c r="JS38" s="1">
        <v>47500</v>
      </c>
      <c r="JT38" s="1">
        <v>47700</v>
      </c>
      <c r="JU38" s="1">
        <v>25400</v>
      </c>
      <c r="JV38" s="1">
        <v>25000</v>
      </c>
      <c r="JW38" s="1">
        <v>25600</v>
      </c>
      <c r="JX38" s="1">
        <v>25400</v>
      </c>
      <c r="JY38" s="1">
        <v>25700</v>
      </c>
      <c r="JZ38" s="1">
        <v>26300</v>
      </c>
      <c r="KA38" s="1">
        <v>27300</v>
      </c>
      <c r="KB38" s="1">
        <v>28300</v>
      </c>
      <c r="KC38" s="1">
        <v>29600</v>
      </c>
      <c r="KD38" s="1">
        <v>31600</v>
      </c>
      <c r="KE38" s="1">
        <v>32300</v>
      </c>
      <c r="KF38" s="1">
        <v>32700</v>
      </c>
      <c r="KG38" s="1">
        <v>33800</v>
      </c>
      <c r="KH38" s="1">
        <v>34800</v>
      </c>
      <c r="KI38" s="1">
        <v>36400</v>
      </c>
      <c r="KJ38" s="1">
        <v>38200</v>
      </c>
      <c r="KK38" s="1">
        <v>39000</v>
      </c>
      <c r="KL38" s="1">
        <v>38900</v>
      </c>
      <c r="KM38" s="1">
        <v>39400</v>
      </c>
      <c r="KN38" s="1">
        <v>40500</v>
      </c>
      <c r="KO38" s="1">
        <v>41600</v>
      </c>
      <c r="KP38" s="1">
        <v>42500</v>
      </c>
      <c r="KQ38" s="1">
        <v>43700</v>
      </c>
      <c r="KR38" s="1">
        <v>44900</v>
      </c>
      <c r="KS38" s="1">
        <v>45400</v>
      </c>
      <c r="KT38" s="1">
        <v>46600</v>
      </c>
      <c r="KU38" s="1">
        <v>47900</v>
      </c>
      <c r="KV38" s="1">
        <v>48800</v>
      </c>
      <c r="KW38" s="1">
        <v>53700</v>
      </c>
      <c r="KX38" s="1">
        <v>54200</v>
      </c>
      <c r="KY38" s="1">
        <v>54600</v>
      </c>
      <c r="KZ38" s="1">
        <v>28900</v>
      </c>
      <c r="LA38" s="1">
        <v>28600</v>
      </c>
      <c r="LB38" s="1">
        <v>29300</v>
      </c>
      <c r="LC38" s="1">
        <v>29000</v>
      </c>
      <c r="LD38" s="1">
        <v>29400</v>
      </c>
      <c r="LE38" s="1">
        <v>30100</v>
      </c>
      <c r="LF38" s="1">
        <v>31000</v>
      </c>
      <c r="LG38" s="1">
        <v>32200</v>
      </c>
      <c r="LH38" s="1">
        <v>33600</v>
      </c>
      <c r="LI38" s="1">
        <v>35800</v>
      </c>
      <c r="LJ38" s="1">
        <v>36600</v>
      </c>
      <c r="LK38" s="1">
        <v>37100</v>
      </c>
      <c r="LL38" s="1">
        <v>38400</v>
      </c>
      <c r="LM38" s="1">
        <v>39600</v>
      </c>
      <c r="LN38" s="1">
        <v>41400</v>
      </c>
      <c r="LO38" s="1">
        <v>43400</v>
      </c>
      <c r="LP38" s="1">
        <v>44300</v>
      </c>
      <c r="LQ38" s="1">
        <v>44100</v>
      </c>
      <c r="LR38" s="1">
        <v>44800</v>
      </c>
      <c r="LS38" s="1">
        <v>46000</v>
      </c>
      <c r="LT38" s="1">
        <v>47300</v>
      </c>
      <c r="LU38" s="1">
        <v>48300</v>
      </c>
      <c r="LV38" s="1">
        <v>49800</v>
      </c>
      <c r="LW38" s="1">
        <v>51000</v>
      </c>
      <c r="LX38" s="1">
        <v>51600</v>
      </c>
      <c r="LY38" s="1">
        <v>53100</v>
      </c>
      <c r="LZ38" s="1">
        <v>54600</v>
      </c>
      <c r="MA38" s="1">
        <v>55500</v>
      </c>
      <c r="MB38" s="1">
        <v>60600</v>
      </c>
      <c r="MC38" s="1">
        <v>61500</v>
      </c>
      <c r="MD38" s="1">
        <v>62100</v>
      </c>
      <c r="ME38" s="1">
        <v>32500</v>
      </c>
      <c r="MF38" s="1">
        <v>32300</v>
      </c>
      <c r="MG38" s="1">
        <v>33200</v>
      </c>
      <c r="MH38" s="1">
        <v>32800</v>
      </c>
      <c r="MI38" s="1">
        <v>33300</v>
      </c>
      <c r="MJ38" s="1">
        <v>34000</v>
      </c>
      <c r="MK38" s="1">
        <v>35000</v>
      </c>
      <c r="ML38" s="1">
        <v>36400</v>
      </c>
      <c r="MM38" s="1">
        <v>38100</v>
      </c>
      <c r="MN38" s="1">
        <v>40300</v>
      </c>
      <c r="MO38" s="1">
        <v>41300</v>
      </c>
      <c r="MP38" s="1">
        <v>41900</v>
      </c>
      <c r="MQ38" s="1">
        <v>43400</v>
      </c>
      <c r="MR38" s="1">
        <v>44800</v>
      </c>
      <c r="MS38" s="1">
        <v>46900</v>
      </c>
      <c r="MT38" s="1">
        <v>49100</v>
      </c>
      <c r="MU38" s="1">
        <v>50100</v>
      </c>
      <c r="MV38" s="1">
        <v>49900</v>
      </c>
      <c r="MW38" s="1">
        <v>50700</v>
      </c>
      <c r="MX38" s="1">
        <v>52200</v>
      </c>
      <c r="MY38" s="1">
        <v>53500</v>
      </c>
      <c r="MZ38" s="1">
        <v>54800</v>
      </c>
      <c r="NA38" s="1">
        <v>56500</v>
      </c>
      <c r="NB38" s="1">
        <v>57800</v>
      </c>
      <c r="NC38" s="1">
        <v>58400</v>
      </c>
      <c r="ND38" s="1">
        <v>60200</v>
      </c>
      <c r="NE38" s="1">
        <v>61900</v>
      </c>
      <c r="NF38" s="1">
        <v>62900</v>
      </c>
      <c r="NG38" s="1">
        <v>68200</v>
      </c>
      <c r="NH38" s="1">
        <v>69500</v>
      </c>
      <c r="NI38" s="1">
        <v>70300</v>
      </c>
      <c r="NJ38" s="1">
        <v>36400</v>
      </c>
      <c r="NK38" s="1">
        <v>36200</v>
      </c>
      <c r="NL38" s="1">
        <v>37500</v>
      </c>
      <c r="NM38" s="1">
        <v>36900</v>
      </c>
      <c r="NN38" s="1">
        <v>37500</v>
      </c>
      <c r="NO38" s="1">
        <v>38300</v>
      </c>
      <c r="NP38" s="1">
        <v>39400</v>
      </c>
      <c r="NQ38" s="1">
        <v>40900</v>
      </c>
      <c r="NR38" s="1">
        <v>42900</v>
      </c>
      <c r="NS38" s="1">
        <v>45300</v>
      </c>
      <c r="NT38" s="1">
        <v>46500</v>
      </c>
      <c r="NU38" s="1">
        <v>47200</v>
      </c>
      <c r="NV38" s="1">
        <v>48900</v>
      </c>
      <c r="NW38" s="1">
        <v>50500</v>
      </c>
      <c r="NX38" s="1">
        <v>52900</v>
      </c>
      <c r="NY38" s="1">
        <v>55300</v>
      </c>
      <c r="NZ38" s="1">
        <v>56500</v>
      </c>
      <c r="OA38" s="1">
        <v>56200</v>
      </c>
      <c r="OB38" s="1">
        <v>57200</v>
      </c>
      <c r="OC38" s="1">
        <v>58900</v>
      </c>
      <c r="OD38" s="1">
        <v>60500</v>
      </c>
      <c r="OE38" s="1">
        <v>62000</v>
      </c>
      <c r="OF38" s="1">
        <v>63900</v>
      </c>
      <c r="OG38" s="1">
        <v>65300</v>
      </c>
      <c r="OH38" s="1">
        <v>65900</v>
      </c>
      <c r="OI38" s="1">
        <v>68000</v>
      </c>
      <c r="OJ38" s="1">
        <v>69900</v>
      </c>
      <c r="OK38" s="1">
        <v>71100</v>
      </c>
      <c r="OL38" s="1">
        <v>76400</v>
      </c>
      <c r="OM38" s="1">
        <v>78300</v>
      </c>
      <c r="ON38" s="1">
        <v>79400</v>
      </c>
      <c r="OO38" s="1">
        <v>40600</v>
      </c>
      <c r="OP38" s="1">
        <v>40600</v>
      </c>
      <c r="OQ38" s="1">
        <v>42200</v>
      </c>
      <c r="OR38" s="1">
        <v>41300</v>
      </c>
      <c r="OS38" s="1">
        <v>42000</v>
      </c>
      <c r="OT38" s="1">
        <v>43000</v>
      </c>
      <c r="OU38" s="1">
        <v>44100</v>
      </c>
      <c r="OV38" s="1">
        <v>45900</v>
      </c>
      <c r="OW38" s="1">
        <v>48200</v>
      </c>
      <c r="OX38" s="1">
        <v>50700</v>
      </c>
      <c r="OY38" s="1">
        <v>52100</v>
      </c>
      <c r="OZ38" s="1">
        <v>53000</v>
      </c>
      <c r="PA38" s="1">
        <v>55000</v>
      </c>
      <c r="PB38" s="1">
        <v>56800</v>
      </c>
      <c r="PC38" s="1">
        <v>59500</v>
      </c>
      <c r="PD38" s="1">
        <v>62300</v>
      </c>
      <c r="PE38" s="1">
        <v>63600</v>
      </c>
      <c r="PF38" s="1">
        <v>63200</v>
      </c>
      <c r="PG38" s="1">
        <v>64400</v>
      </c>
      <c r="PH38" s="1">
        <v>66400</v>
      </c>
      <c r="PI38" s="1">
        <v>68100</v>
      </c>
      <c r="PJ38" s="1">
        <v>69900</v>
      </c>
      <c r="PK38" s="1">
        <v>72100</v>
      </c>
      <c r="PL38" s="1">
        <v>73600</v>
      </c>
      <c r="PM38" s="1">
        <v>74300</v>
      </c>
      <c r="PN38" s="1">
        <v>76500</v>
      </c>
      <c r="PO38" s="1">
        <v>78700</v>
      </c>
      <c r="PP38" s="1">
        <v>80100</v>
      </c>
      <c r="PQ38" s="1">
        <v>85400</v>
      </c>
      <c r="PR38" s="1">
        <v>87900</v>
      </c>
      <c r="PS38" s="1">
        <v>89500</v>
      </c>
      <c r="PT38" s="1">
        <v>45200</v>
      </c>
      <c r="PU38" s="1">
        <v>45400</v>
      </c>
      <c r="PV38" s="1">
        <v>47400</v>
      </c>
      <c r="PW38" s="1">
        <v>46200</v>
      </c>
      <c r="PX38" s="1">
        <v>47000</v>
      </c>
      <c r="PY38" s="1">
        <v>48200</v>
      </c>
      <c r="PZ38" s="1">
        <v>49500</v>
      </c>
      <c r="QA38" s="1">
        <v>51400</v>
      </c>
      <c r="QB38" s="1">
        <v>54200</v>
      </c>
      <c r="QC38" s="1">
        <v>56700</v>
      </c>
      <c r="QD38" s="1">
        <v>58300</v>
      </c>
      <c r="QE38" s="1">
        <v>59400</v>
      </c>
      <c r="QF38" s="1">
        <v>61600</v>
      </c>
      <c r="QG38" s="1">
        <v>63700</v>
      </c>
      <c r="QH38" s="1">
        <v>66800</v>
      </c>
      <c r="QI38" s="1">
        <v>69900</v>
      </c>
      <c r="QJ38" s="1">
        <v>71400</v>
      </c>
      <c r="QK38" s="1">
        <v>71000</v>
      </c>
      <c r="QL38" s="1">
        <v>72400</v>
      </c>
      <c r="QM38" s="1">
        <v>74700</v>
      </c>
      <c r="QN38" s="1">
        <v>76700</v>
      </c>
      <c r="QO38" s="1">
        <v>78700</v>
      </c>
      <c r="QP38" s="1">
        <v>81200</v>
      </c>
      <c r="QQ38" s="1">
        <v>82700</v>
      </c>
      <c r="QR38" s="1">
        <v>83400</v>
      </c>
      <c r="QS38" s="1">
        <v>86000</v>
      </c>
      <c r="QT38" s="1">
        <v>88400</v>
      </c>
      <c r="QU38" s="1">
        <v>90000</v>
      </c>
      <c r="QV38" s="1">
        <v>95300</v>
      </c>
      <c r="QW38" s="1">
        <v>98600</v>
      </c>
      <c r="QX38" s="1">
        <v>100800</v>
      </c>
      <c r="QY38" s="1">
        <v>50400</v>
      </c>
      <c r="QZ38" s="1">
        <v>50700</v>
      </c>
      <c r="RA38" s="1">
        <v>53300</v>
      </c>
      <c r="RB38" s="1">
        <v>51700</v>
      </c>
      <c r="RC38" s="1">
        <v>52600</v>
      </c>
      <c r="RD38" s="1">
        <v>54000</v>
      </c>
      <c r="RE38" s="1">
        <v>55500</v>
      </c>
      <c r="RF38" s="1">
        <v>57600</v>
      </c>
      <c r="RG38" s="1">
        <v>60700</v>
      </c>
      <c r="RH38" s="1">
        <v>63300</v>
      </c>
      <c r="RI38" s="1">
        <v>65300</v>
      </c>
      <c r="RJ38" s="1">
        <v>66500</v>
      </c>
      <c r="RK38" s="1">
        <v>69100</v>
      </c>
      <c r="RL38" s="1">
        <v>71500</v>
      </c>
      <c r="RM38" s="1">
        <v>74900</v>
      </c>
      <c r="RN38" s="1">
        <v>78400</v>
      </c>
      <c r="RO38" s="1">
        <v>80200</v>
      </c>
      <c r="RP38" s="1">
        <v>79800</v>
      </c>
      <c r="RQ38" s="1">
        <v>81500</v>
      </c>
      <c r="RR38" s="1">
        <v>84100</v>
      </c>
      <c r="RS38" s="1">
        <v>86300</v>
      </c>
      <c r="RT38" s="1">
        <v>88600</v>
      </c>
      <c r="RU38" s="1">
        <v>91400</v>
      </c>
      <c r="RV38" s="1">
        <v>93100</v>
      </c>
      <c r="RW38" s="1">
        <v>93800</v>
      </c>
      <c r="RX38" s="1">
        <v>96700</v>
      </c>
      <c r="RY38" s="1">
        <v>99400</v>
      </c>
      <c r="RZ38" s="1">
        <v>101300</v>
      </c>
      <c r="SA38" s="1">
        <v>106600</v>
      </c>
      <c r="SB38" s="1">
        <v>110700</v>
      </c>
      <c r="SC38" s="1">
        <v>113700</v>
      </c>
      <c r="SD38" s="1">
        <v>56200</v>
      </c>
      <c r="SE38" s="1">
        <v>56700</v>
      </c>
      <c r="SF38" s="1">
        <v>59900</v>
      </c>
      <c r="SG38" s="1">
        <v>57800</v>
      </c>
      <c r="SH38" s="1">
        <v>58900</v>
      </c>
      <c r="SI38" s="1">
        <v>60500</v>
      </c>
      <c r="SJ38" s="1">
        <v>62200</v>
      </c>
      <c r="SK38" s="1">
        <v>64500</v>
      </c>
      <c r="SL38" s="1">
        <v>68100</v>
      </c>
      <c r="SM38" s="1">
        <v>70900</v>
      </c>
      <c r="SN38" s="1">
        <v>73100</v>
      </c>
      <c r="SO38" s="1">
        <v>74600</v>
      </c>
      <c r="SP38" s="1">
        <v>77500</v>
      </c>
      <c r="SQ38" s="1">
        <v>80400</v>
      </c>
      <c r="SR38" s="1">
        <v>84300</v>
      </c>
      <c r="SS38" s="1">
        <v>88200</v>
      </c>
      <c r="ST38" s="1">
        <v>90300</v>
      </c>
      <c r="SU38" s="1">
        <v>89800</v>
      </c>
      <c r="SV38" s="1">
        <v>91800</v>
      </c>
      <c r="SW38" s="1">
        <v>94900</v>
      </c>
      <c r="SX38" s="1">
        <v>97400</v>
      </c>
      <c r="SY38" s="1">
        <v>100000</v>
      </c>
      <c r="SZ38" s="1">
        <v>103200</v>
      </c>
      <c r="TA38" s="1">
        <v>105100</v>
      </c>
      <c r="TB38" s="1">
        <v>105800</v>
      </c>
      <c r="TC38" s="1">
        <v>109200</v>
      </c>
      <c r="TD38" s="1">
        <v>112200</v>
      </c>
      <c r="TE38" s="1">
        <v>114500</v>
      </c>
      <c r="TF38" s="1">
        <v>119900</v>
      </c>
      <c r="TG38" s="1">
        <v>125100</v>
      </c>
      <c r="TH38" s="1">
        <v>128900</v>
      </c>
      <c r="TI38" s="1">
        <v>62900</v>
      </c>
      <c r="TJ38" s="1">
        <v>63600</v>
      </c>
      <c r="TK38" s="1">
        <v>67700</v>
      </c>
      <c r="TL38" s="1">
        <v>65000</v>
      </c>
      <c r="TM38" s="1">
        <v>66100</v>
      </c>
      <c r="TN38" s="1">
        <v>68000</v>
      </c>
      <c r="TO38" s="1">
        <v>70100</v>
      </c>
      <c r="TP38" s="1">
        <v>72800</v>
      </c>
      <c r="TQ38" s="1">
        <v>77000</v>
      </c>
      <c r="TR38" s="1">
        <v>80000</v>
      </c>
      <c r="TS38" s="1">
        <v>82600</v>
      </c>
      <c r="TT38" s="1">
        <v>84300</v>
      </c>
      <c r="TU38" s="1">
        <v>87600</v>
      </c>
      <c r="TV38" s="1">
        <v>91000</v>
      </c>
      <c r="TW38" s="1">
        <v>95500</v>
      </c>
      <c r="TX38" s="1">
        <v>100100</v>
      </c>
      <c r="TY38" s="1">
        <v>102500</v>
      </c>
      <c r="TZ38" s="1">
        <v>102000</v>
      </c>
      <c r="UA38" s="1">
        <v>104400</v>
      </c>
      <c r="UB38" s="1">
        <v>107900</v>
      </c>
      <c r="UC38" s="1">
        <v>110900</v>
      </c>
      <c r="UD38" s="1">
        <v>114100</v>
      </c>
      <c r="UE38" s="1">
        <v>117600</v>
      </c>
      <c r="UF38" s="1">
        <v>119700</v>
      </c>
      <c r="UG38" s="1">
        <v>120500</v>
      </c>
      <c r="UH38" s="1">
        <v>124500</v>
      </c>
      <c r="UI38" s="1">
        <v>127800</v>
      </c>
      <c r="UJ38" s="1">
        <v>130500</v>
      </c>
      <c r="UK38" s="1">
        <v>136200</v>
      </c>
      <c r="UL38" s="1">
        <v>142700</v>
      </c>
      <c r="UM38" s="1">
        <v>147400</v>
      </c>
      <c r="UN38" s="1">
        <v>71300</v>
      </c>
      <c r="UO38" s="1">
        <v>72200</v>
      </c>
      <c r="UP38" s="1">
        <v>77700</v>
      </c>
      <c r="UQ38" s="1">
        <v>73800</v>
      </c>
      <c r="UR38" s="1">
        <v>75300</v>
      </c>
      <c r="US38" s="1">
        <v>77600</v>
      </c>
      <c r="UT38" s="1">
        <v>80100</v>
      </c>
      <c r="UU38" s="1">
        <v>83200</v>
      </c>
      <c r="UV38" s="1">
        <v>88400</v>
      </c>
      <c r="UW38" s="1">
        <v>91600</v>
      </c>
      <c r="UX38" s="1">
        <v>94600</v>
      </c>
      <c r="UY38" s="1">
        <v>96600</v>
      </c>
      <c r="UZ38" s="1">
        <v>100500</v>
      </c>
      <c r="VA38" s="1">
        <v>104500</v>
      </c>
      <c r="VB38" s="1">
        <v>109900</v>
      </c>
      <c r="VC38" s="1">
        <v>115300</v>
      </c>
      <c r="VD38" s="1">
        <v>118100</v>
      </c>
      <c r="VE38" s="1">
        <v>117700</v>
      </c>
      <c r="VF38" s="1">
        <v>120500</v>
      </c>
      <c r="VG38" s="1">
        <v>124700</v>
      </c>
      <c r="VH38" s="1">
        <v>128200</v>
      </c>
      <c r="VI38" s="1">
        <v>132000</v>
      </c>
      <c r="VJ38" s="1">
        <v>136100</v>
      </c>
      <c r="VK38" s="1">
        <v>138600</v>
      </c>
      <c r="VL38" s="1">
        <v>139500</v>
      </c>
      <c r="VM38" s="1">
        <v>144100</v>
      </c>
      <c r="VN38" s="1">
        <v>148000</v>
      </c>
      <c r="VO38" s="1">
        <v>151100</v>
      </c>
      <c r="VP38" s="1">
        <v>157200</v>
      </c>
      <c r="VQ38" s="1">
        <v>165400</v>
      </c>
      <c r="VR38" s="1">
        <v>171000</v>
      </c>
      <c r="VS38" s="1">
        <v>83100</v>
      </c>
      <c r="VT38" s="1">
        <v>84400</v>
      </c>
      <c r="VU38" s="1">
        <v>92800</v>
      </c>
      <c r="VV38" s="1">
        <v>86100</v>
      </c>
      <c r="VW38" s="1">
        <v>88000</v>
      </c>
      <c r="VX38" s="1">
        <v>91000</v>
      </c>
      <c r="VY38" s="1">
        <v>94100</v>
      </c>
      <c r="VZ38" s="1">
        <v>97900</v>
      </c>
      <c r="WA38" s="1">
        <v>104400</v>
      </c>
      <c r="WB38" s="1">
        <v>107900</v>
      </c>
      <c r="WC38" s="1">
        <v>111500</v>
      </c>
      <c r="WD38" s="1">
        <v>114000</v>
      </c>
      <c r="WE38" s="1">
        <v>118700</v>
      </c>
      <c r="WF38" s="1">
        <v>123800</v>
      </c>
      <c r="WG38" s="1">
        <v>130600</v>
      </c>
      <c r="WH38" s="1">
        <v>137100</v>
      </c>
      <c r="WI38" s="1">
        <v>140300</v>
      </c>
      <c r="WJ38" s="1">
        <v>139900</v>
      </c>
      <c r="WK38" s="1">
        <v>143500</v>
      </c>
      <c r="WL38" s="1">
        <v>148600</v>
      </c>
      <c r="WM38" s="1">
        <v>152700</v>
      </c>
      <c r="WN38" s="1">
        <v>157400</v>
      </c>
      <c r="WO38" s="1">
        <v>162300</v>
      </c>
      <c r="WP38" s="1">
        <v>165400</v>
      </c>
      <c r="WQ38" s="1">
        <v>166300</v>
      </c>
      <c r="WR38" s="1">
        <v>172100</v>
      </c>
      <c r="WS38" s="1">
        <v>176600</v>
      </c>
      <c r="WT38" s="1">
        <v>180400</v>
      </c>
      <c r="WU38" s="1">
        <v>187200</v>
      </c>
      <c r="WV38" s="1">
        <v>198100</v>
      </c>
      <c r="WW38" s="1">
        <v>204700</v>
      </c>
      <c r="WX38" s="1">
        <v>104300</v>
      </c>
      <c r="WY38" s="1">
        <v>106700</v>
      </c>
      <c r="WZ38" s="1">
        <v>123500</v>
      </c>
      <c r="XA38" s="1">
        <v>108000</v>
      </c>
      <c r="XB38" s="1">
        <v>110800</v>
      </c>
      <c r="XC38" s="1">
        <v>115300</v>
      </c>
      <c r="XD38" s="1">
        <v>119800</v>
      </c>
      <c r="XE38" s="1">
        <v>124800</v>
      </c>
      <c r="XF38" s="1">
        <v>134300</v>
      </c>
      <c r="XG38" s="1">
        <v>138300</v>
      </c>
      <c r="XH38" s="1">
        <v>142700</v>
      </c>
      <c r="XI38" s="1">
        <v>146000</v>
      </c>
      <c r="XJ38" s="1">
        <v>152700</v>
      </c>
      <c r="XK38" s="1">
        <v>160000</v>
      </c>
      <c r="XL38" s="1">
        <v>169700</v>
      </c>
      <c r="XM38" s="1">
        <v>179000</v>
      </c>
      <c r="XN38" s="1">
        <v>182200</v>
      </c>
      <c r="XO38" s="1">
        <v>181100</v>
      </c>
      <c r="XP38" s="1">
        <v>186000</v>
      </c>
      <c r="XQ38" s="1">
        <v>192700</v>
      </c>
      <c r="XR38" s="1">
        <v>198300</v>
      </c>
      <c r="XS38" s="1">
        <v>204900</v>
      </c>
      <c r="XT38" s="1">
        <v>211300</v>
      </c>
      <c r="XU38" s="1">
        <v>215500</v>
      </c>
      <c r="XV38" s="1">
        <v>215700</v>
      </c>
      <c r="XW38" s="1">
        <v>224400</v>
      </c>
      <c r="XX38" s="1">
        <v>229600</v>
      </c>
      <c r="XY38" s="1">
        <v>234600</v>
      </c>
      <c r="XZ38" s="1">
        <v>243300</v>
      </c>
      <c r="YA38" s="1">
        <v>261600</v>
      </c>
      <c r="YB38" s="1">
        <v>268600</v>
      </c>
    </row>
    <row r="40" spans="1:652" x14ac:dyDescent="0.2">
      <c r="A40" t="s">
        <v>60</v>
      </c>
    </row>
    <row r="41" spans="1:652" x14ac:dyDescent="0.2">
      <c r="A41" t="s">
        <v>47</v>
      </c>
      <c r="B41" t="s">
        <v>61</v>
      </c>
    </row>
    <row r="42" spans="1:652" x14ac:dyDescent="0.2">
      <c r="A42" t="s">
        <v>54</v>
      </c>
      <c r="B42" t="s">
        <v>62</v>
      </c>
    </row>
    <row r="43" spans="1:652" x14ac:dyDescent="0.2">
      <c r="A43" t="s">
        <v>51</v>
      </c>
      <c r="B43" t="s">
        <v>63</v>
      </c>
    </row>
    <row r="46" spans="1:652" x14ac:dyDescent="0.2">
      <c r="A46" t="s">
        <v>64</v>
      </c>
    </row>
    <row r="47" spans="1:652" x14ac:dyDescent="0.2">
      <c r="A47" t="s">
        <v>65</v>
      </c>
      <c r="B47" t="s">
        <v>66</v>
      </c>
    </row>
    <row r="48" spans="1:652" x14ac:dyDescent="0.2">
      <c r="B48" t="s">
        <v>67</v>
      </c>
    </row>
    <row r="49" spans="1:2" x14ac:dyDescent="0.2">
      <c r="B49" t="s">
        <v>68</v>
      </c>
    </row>
    <row r="53" spans="1:2" x14ac:dyDescent="0.2">
      <c r="A53" t="s">
        <v>69</v>
      </c>
    </row>
    <row r="54" spans="1:2" x14ac:dyDescent="0.2">
      <c r="A54">
        <v>1</v>
      </c>
      <c r="B54" t="s">
        <v>70</v>
      </c>
    </row>
    <row r="55" spans="1:2" x14ac:dyDescent="0.2">
      <c r="A55">
        <v>2</v>
      </c>
      <c r="B55" t="s">
        <v>71</v>
      </c>
    </row>
    <row r="56" spans="1:2" x14ac:dyDescent="0.2">
      <c r="A56">
        <v>3</v>
      </c>
      <c r="B56" t="s">
        <v>72</v>
      </c>
    </row>
    <row r="57" spans="1:2" x14ac:dyDescent="0.2">
      <c r="A57">
        <v>4</v>
      </c>
      <c r="B57" t="s">
        <v>73</v>
      </c>
    </row>
    <row r="58" spans="1:2" x14ac:dyDescent="0.2">
      <c r="A58">
        <v>5</v>
      </c>
      <c r="B58" t="s">
        <v>74</v>
      </c>
    </row>
    <row r="59" spans="1:2" x14ac:dyDescent="0.2">
      <c r="A59">
        <v>6</v>
      </c>
      <c r="B59" t="s">
        <v>75</v>
      </c>
    </row>
    <row r="60" spans="1:2" x14ac:dyDescent="0.2">
      <c r="A60">
        <v>7</v>
      </c>
      <c r="B60" t="s">
        <v>76</v>
      </c>
    </row>
    <row r="61" spans="1:2" x14ac:dyDescent="0.2">
      <c r="A61">
        <v>8</v>
      </c>
      <c r="B61" t="s">
        <v>77</v>
      </c>
    </row>
    <row r="62" spans="1:2" x14ac:dyDescent="0.2">
      <c r="A62">
        <v>9</v>
      </c>
      <c r="B62" t="s">
        <v>78</v>
      </c>
    </row>
    <row r="63" spans="1:2" x14ac:dyDescent="0.2">
      <c r="A63">
        <v>10</v>
      </c>
      <c r="B63" t="s">
        <v>79</v>
      </c>
    </row>
    <row r="64" spans="1:2" x14ac:dyDescent="0.2">
      <c r="A64">
        <v>11</v>
      </c>
      <c r="B64" t="s">
        <v>80</v>
      </c>
    </row>
    <row r="68" spans="1:1" x14ac:dyDescent="0.2">
      <c r="A68" t="s">
        <v>81</v>
      </c>
    </row>
    <row r="69" spans="1:1" x14ac:dyDescent="0.2">
      <c r="A69"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0524-8023-0F42-BCE1-F50B6B6BB68F}">
  <dimension ref="A1:AF652"/>
  <sheetViews>
    <sheetView workbookViewId="0">
      <selection activeCell="K18" sqref="K18"/>
    </sheetView>
  </sheetViews>
  <sheetFormatPr baseColWidth="10" defaultRowHeight="16" x14ac:dyDescent="0.2"/>
  <cols>
    <col min="2" max="2" width="28.1640625" bestFit="1" customWidth="1"/>
    <col min="3" max="3" width="42.33203125" bestFit="1" customWidth="1"/>
    <col min="4" max="4" width="19.33203125" bestFit="1" customWidth="1"/>
    <col min="5" max="5" width="8.83203125" bestFit="1" customWidth="1"/>
    <col min="6" max="6" width="19.33203125" bestFit="1" customWidth="1"/>
    <col min="7" max="7" width="23.83203125" bestFit="1" customWidth="1"/>
    <col min="8" max="8" width="28.6640625" bestFit="1" customWidth="1"/>
    <col min="9" max="9" width="23.1640625" bestFit="1" customWidth="1"/>
    <col min="10" max="10" width="18.5" customWidth="1"/>
    <col min="11" max="11" width="42.33203125" bestFit="1" customWidth="1"/>
    <col min="12" max="12" width="14.1640625" bestFit="1" customWidth="1"/>
    <col min="13" max="13" width="24.33203125" style="13" bestFit="1" customWidth="1"/>
    <col min="14" max="14" width="19.5" bestFit="1" customWidth="1"/>
    <col min="15" max="15" width="23" style="5" customWidth="1"/>
    <col min="16" max="16" width="16.6640625" bestFit="1" customWidth="1"/>
    <col min="17" max="17" width="26.83203125" style="5" bestFit="1" customWidth="1"/>
    <col min="18" max="18" width="24.33203125" style="6" customWidth="1"/>
    <col min="19" max="19" width="23" style="15" customWidth="1"/>
    <col min="20" max="20" width="31.5" style="15" bestFit="1" customWidth="1"/>
    <col min="21" max="21" width="23.33203125" style="15" customWidth="1"/>
    <col min="22" max="22" width="46" style="5" bestFit="1" customWidth="1"/>
    <col min="23" max="23" width="46" customWidth="1"/>
    <col min="24" max="24" width="46" style="5" bestFit="1" customWidth="1"/>
    <col min="25" max="25" width="18.6640625" style="6" bestFit="1" customWidth="1"/>
    <col min="26" max="26" width="34.6640625" style="15" bestFit="1" customWidth="1"/>
    <col min="27" max="27" width="30.33203125" style="15" bestFit="1" customWidth="1"/>
    <col min="28" max="28" width="35.33203125" style="5" bestFit="1" customWidth="1"/>
    <col min="29" max="29" width="16.6640625" style="6" bestFit="1" customWidth="1"/>
    <col min="30" max="30" width="40.5" style="5" bestFit="1" customWidth="1"/>
    <col min="31" max="31" width="40.5" style="6" customWidth="1"/>
    <col min="32" max="32" width="38.33203125" style="5" bestFit="1" customWidth="1"/>
    <col min="33" max="33" width="21" bestFit="1" customWidth="1"/>
    <col min="34" max="34" width="25.6640625" customWidth="1"/>
  </cols>
  <sheetData>
    <row r="1" spans="1:32" x14ac:dyDescent="0.2">
      <c r="A1" t="s">
        <v>5</v>
      </c>
      <c r="B1" t="s">
        <v>7</v>
      </c>
      <c r="C1" t="s">
        <v>29</v>
      </c>
      <c r="D1" t="s">
        <v>31</v>
      </c>
      <c r="E1" t="s">
        <v>33</v>
      </c>
      <c r="F1" t="s">
        <v>35</v>
      </c>
      <c r="G1" t="s">
        <v>37</v>
      </c>
      <c r="H1" t="s">
        <v>38</v>
      </c>
      <c r="I1" t="s">
        <v>97</v>
      </c>
      <c r="K1" t="s">
        <v>89</v>
      </c>
      <c r="M1" s="13" t="s">
        <v>91</v>
      </c>
      <c r="N1" t="s">
        <v>87</v>
      </c>
      <c r="O1" s="5" t="s">
        <v>88</v>
      </c>
      <c r="P1" t="s">
        <v>92</v>
      </c>
      <c r="Q1" s="5" t="s">
        <v>99</v>
      </c>
      <c r="R1" s="6" t="s">
        <v>100</v>
      </c>
      <c r="S1" s="15" t="s">
        <v>98</v>
      </c>
      <c r="T1" s="15" t="s">
        <v>93</v>
      </c>
      <c r="U1" s="15" t="s">
        <v>94</v>
      </c>
      <c r="V1" s="5" t="s">
        <v>101</v>
      </c>
      <c r="W1" t="s">
        <v>92</v>
      </c>
      <c r="X1" s="5" t="s">
        <v>102</v>
      </c>
      <c r="Y1" s="6" t="s">
        <v>100</v>
      </c>
      <c r="Z1" s="15" t="s">
        <v>95</v>
      </c>
      <c r="AA1" s="15" t="s">
        <v>96</v>
      </c>
      <c r="AB1" s="5" t="s">
        <v>139</v>
      </c>
      <c r="AC1" s="6" t="s">
        <v>92</v>
      </c>
      <c r="AD1" s="5" t="s">
        <v>138</v>
      </c>
      <c r="AE1" s="6" t="s">
        <v>100</v>
      </c>
      <c r="AF1" s="5" t="s">
        <v>103</v>
      </c>
    </row>
    <row r="2" spans="1:32" x14ac:dyDescent="0.2">
      <c r="A2" t="s">
        <v>6</v>
      </c>
      <c r="B2" t="s">
        <v>8</v>
      </c>
      <c r="C2" t="s">
        <v>30</v>
      </c>
      <c r="D2" t="s">
        <v>32</v>
      </c>
      <c r="E2">
        <v>1992</v>
      </c>
      <c r="F2" s="1">
        <v>11366920</v>
      </c>
      <c r="G2" s="1">
        <v>54681115100</v>
      </c>
      <c r="H2" s="1">
        <v>483085561700</v>
      </c>
      <c r="I2" s="1">
        <f>H2-G2</f>
        <v>428404446600</v>
      </c>
      <c r="K2" s="2">
        <v>1992</v>
      </c>
      <c r="L2" t="s">
        <v>83</v>
      </c>
      <c r="M2" s="13">
        <f xml:space="preserve"> SUM(H33+H64+H95+H126)</f>
        <v>19035292300</v>
      </c>
      <c r="N2" s="1">
        <f>SUM(F33+F64+F95+F126)</f>
        <v>2273190</v>
      </c>
      <c r="O2" s="5">
        <f>M2/H2</f>
        <v>3.9403562865787049E-2</v>
      </c>
      <c r="Q2" s="5">
        <f>O2*100</f>
        <v>3.9403562865787047</v>
      </c>
      <c r="S2" s="15">
        <f>M2/N2</f>
        <v>8373.8237014943752</v>
      </c>
      <c r="T2" s="15">
        <f xml:space="preserve"> SUM(G33+G64+G95+G126)</f>
        <v>192028200</v>
      </c>
      <c r="U2" s="15">
        <f>M2-T2</f>
        <v>18843264100</v>
      </c>
      <c r="V2" s="5">
        <f>U2/$I2</f>
        <v>4.3984753775429181E-2</v>
      </c>
      <c r="X2" s="5">
        <f>V2*100</f>
        <v>4.3984753775429182</v>
      </c>
      <c r="Z2" s="15">
        <f t="shared" ref="Z2:Z33" si="0">U2/N2</f>
        <v>8289.3484926468973</v>
      </c>
      <c r="AA2" s="15">
        <f>T2/N2</f>
        <v>84.475208847478655</v>
      </c>
      <c r="AB2" s="5">
        <f>T2/G2</f>
        <v>3.5117828092719344E-3</v>
      </c>
      <c r="AD2" s="5">
        <f>AB2*100</f>
        <v>0.35117828092719344</v>
      </c>
      <c r="AF2" s="5">
        <f>AA2/S2</f>
        <v>1.0088008997897028E-2</v>
      </c>
    </row>
    <row r="3" spans="1:32" x14ac:dyDescent="0.2">
      <c r="E3">
        <v>1993</v>
      </c>
      <c r="F3" s="1">
        <v>11652250</v>
      </c>
      <c r="G3" s="1">
        <v>55049730600</v>
      </c>
      <c r="H3" s="1">
        <v>501775046700</v>
      </c>
      <c r="I3" s="1">
        <f t="shared" ref="I3:I32" si="1">H3-G3</f>
        <v>446725316100</v>
      </c>
      <c r="K3" s="2">
        <v>1992</v>
      </c>
      <c r="L3" t="s">
        <v>84</v>
      </c>
      <c r="M3" s="14">
        <f>SUM(H157+H188+H219+H250)</f>
        <v>43329453900</v>
      </c>
      <c r="N3" s="1">
        <f>SUM(F157+F188+F219+F250)</f>
        <v>2273565</v>
      </c>
      <c r="O3" s="5">
        <f>M3/H2</f>
        <v>8.9693125473511742E-2</v>
      </c>
      <c r="Q3" s="5">
        <f t="shared" ref="Q3:Q66" si="2">O3*100</f>
        <v>8.9693125473511746</v>
      </c>
      <c r="S3" s="15">
        <f>M3/N3</f>
        <v>19057.934961173312</v>
      </c>
      <c r="T3" s="15">
        <f>SUM(G157+G188+G219+G250)</f>
        <v>1919718800</v>
      </c>
      <c r="U3" s="15">
        <f t="shared" ref="U3:U66" si="3">M3-T3</f>
        <v>41409735100</v>
      </c>
      <c r="V3" s="5">
        <f>U3/I2</f>
        <v>9.6660376493860597E-2</v>
      </c>
      <c r="X3" s="5">
        <f t="shared" ref="X3:X66" si="4">V3*100</f>
        <v>9.6660376493860589</v>
      </c>
      <c r="Z3" s="15">
        <f t="shared" si="0"/>
        <v>18213.569922126702</v>
      </c>
      <c r="AA3" s="15">
        <f t="shared" ref="AA3:AA66" si="5">T3/N3</f>
        <v>844.36503904660742</v>
      </c>
      <c r="AB3" s="5">
        <f>T3/G2</f>
        <v>3.5107528375916387E-2</v>
      </c>
      <c r="AD3" s="5">
        <f t="shared" ref="AD3:AD66" si="6">AB3*100</f>
        <v>3.5107528375916388</v>
      </c>
      <c r="AF3" s="5">
        <f t="shared" ref="AF3:AF66" si="7">AA3/S3</f>
        <v>4.4305169514264289E-2</v>
      </c>
    </row>
    <row r="4" spans="1:32" x14ac:dyDescent="0.2">
      <c r="E4">
        <v>1994</v>
      </c>
      <c r="F4" s="1">
        <v>11815665</v>
      </c>
      <c r="G4" s="1">
        <v>56469042800</v>
      </c>
      <c r="H4" s="1">
        <v>551960364500</v>
      </c>
      <c r="I4" s="1">
        <f>H4-G4</f>
        <v>495491321700</v>
      </c>
      <c r="K4" s="2">
        <v>1992</v>
      </c>
      <c r="L4" t="s">
        <v>85</v>
      </c>
      <c r="M4" s="13">
        <f>SUM(H281+H312+H343+H374)</f>
        <v>74254755300</v>
      </c>
      <c r="N4" s="1">
        <f>SUM(F281+F312+F343+F374)</f>
        <v>2273365</v>
      </c>
      <c r="O4" s="5">
        <f>M4/H2</f>
        <v>0.15370932436625542</v>
      </c>
      <c r="Q4" s="5">
        <f t="shared" si="2"/>
        <v>15.370932436625543</v>
      </c>
      <c r="S4" s="15">
        <f>M4/N4</f>
        <v>32662.927114651629</v>
      </c>
      <c r="T4" s="15">
        <f>SUM(G281+G312+G343+G374)</f>
        <v>6077522200</v>
      </c>
      <c r="U4" s="15">
        <f t="shared" si="3"/>
        <v>68177233100</v>
      </c>
      <c r="V4" s="5">
        <f>U4/I2</f>
        <v>0.15914221628903139</v>
      </c>
      <c r="X4" s="5">
        <f t="shared" si="4"/>
        <v>15.914221628903139</v>
      </c>
      <c r="Z4" s="15">
        <f t="shared" si="0"/>
        <v>29989.567491361922</v>
      </c>
      <c r="AA4" s="15">
        <f t="shared" si="5"/>
        <v>2673.3596232897048</v>
      </c>
      <c r="AB4" s="5">
        <f>T4/G2</f>
        <v>0.11114481094406212</v>
      </c>
      <c r="AD4" s="5">
        <f t="shared" si="6"/>
        <v>11.114481094406212</v>
      </c>
      <c r="AF4" s="5">
        <f t="shared" si="7"/>
        <v>8.1846909001934309E-2</v>
      </c>
    </row>
    <row r="5" spans="1:32" x14ac:dyDescent="0.2">
      <c r="E5">
        <v>1995</v>
      </c>
      <c r="F5" s="1">
        <v>12008050</v>
      </c>
      <c r="G5" s="1">
        <v>59911866700</v>
      </c>
      <c r="H5" s="1">
        <v>523575566300</v>
      </c>
      <c r="I5" s="1">
        <f t="shared" si="1"/>
        <v>463663699600</v>
      </c>
      <c r="K5" s="2">
        <v>1992</v>
      </c>
      <c r="L5" t="s">
        <v>86</v>
      </c>
      <c r="M5" s="13">
        <f xml:space="preserve"> SUM(H405+H436+H467+H498)</f>
        <v>115544516500</v>
      </c>
      <c r="N5" s="1">
        <f>SUM(F405+F436+F467+F498)</f>
        <v>2273390</v>
      </c>
      <c r="O5" s="5">
        <f>M5/H2</f>
        <v>0.23918023153785348</v>
      </c>
      <c r="Q5" s="5">
        <f t="shared" si="2"/>
        <v>23.918023153785349</v>
      </c>
      <c r="S5" s="15">
        <f>M5/N5</f>
        <v>50824.766758013364</v>
      </c>
      <c r="T5" s="15">
        <f>SUM(G405+G436+G467+G498)</f>
        <v>12880632000</v>
      </c>
      <c r="U5" s="15">
        <f t="shared" si="3"/>
        <v>102663884500</v>
      </c>
      <c r="V5" s="5">
        <f>U5/I2</f>
        <v>0.23964243442098765</v>
      </c>
      <c r="X5" s="5">
        <f t="shared" si="4"/>
        <v>23.964243442098766</v>
      </c>
      <c r="Z5" s="15">
        <f t="shared" si="0"/>
        <v>45158.940832853143</v>
      </c>
      <c r="AA5" s="15">
        <f t="shared" si="5"/>
        <v>5665.8259251602231</v>
      </c>
      <c r="AB5" s="5">
        <f>T5/G2</f>
        <v>0.23555905867033058</v>
      </c>
      <c r="AD5" s="5">
        <f t="shared" si="6"/>
        <v>23.555905867033058</v>
      </c>
      <c r="AF5" s="5">
        <f t="shared" si="7"/>
        <v>0.11147765718505559</v>
      </c>
    </row>
    <row r="6" spans="1:32" x14ac:dyDescent="0.2">
      <c r="E6">
        <v>1996</v>
      </c>
      <c r="F6" s="1">
        <v>12115855</v>
      </c>
      <c r="G6" s="1">
        <v>62908877100</v>
      </c>
      <c r="H6" s="1">
        <v>540443620400</v>
      </c>
      <c r="I6" s="1">
        <f t="shared" si="1"/>
        <v>477534743300</v>
      </c>
      <c r="K6" s="2">
        <v>1992</v>
      </c>
      <c r="L6" t="s">
        <v>90</v>
      </c>
      <c r="M6" s="13">
        <f xml:space="preserve"> SUM(H529+H560+H591+H622)</f>
        <v>230921543700</v>
      </c>
      <c r="N6" s="1">
        <f>SUM(F529+F560+F591+F622)</f>
        <v>2273415</v>
      </c>
      <c r="O6" s="5">
        <f>M6/H2</f>
        <v>0.47801375575659227</v>
      </c>
      <c r="P6">
        <f>SUM(O2:O6)</f>
        <v>1</v>
      </c>
      <c r="Q6" s="5">
        <f t="shared" si="2"/>
        <v>47.801375575659229</v>
      </c>
      <c r="R6" s="6">
        <f>SUM(Q2:Q6)</f>
        <v>100</v>
      </c>
      <c r="S6" s="15">
        <f t="shared" ref="S6:S69" si="8">M6/N6</f>
        <v>101574.7427108557</v>
      </c>
      <c r="T6" s="15">
        <f>SUM(G529+G560+G591+G622)</f>
        <v>33611214000</v>
      </c>
      <c r="U6" s="15">
        <f t="shared" si="3"/>
        <v>197310329700</v>
      </c>
      <c r="V6" s="5">
        <f>U6/I2</f>
        <v>0.46057021878726689</v>
      </c>
      <c r="W6">
        <f>SUM(V2:V6)</f>
        <v>0.99999999976657572</v>
      </c>
      <c r="X6" s="5">
        <f t="shared" si="4"/>
        <v>46.057021878726687</v>
      </c>
      <c r="Y6" s="6">
        <f>SUM(X2:X6)</f>
        <v>99.999999976657563</v>
      </c>
      <c r="Z6" s="15">
        <f t="shared" si="0"/>
        <v>86790.28232856738</v>
      </c>
      <c r="AA6" s="15">
        <f t="shared" si="5"/>
        <v>14784.46038228832</v>
      </c>
      <c r="AB6" s="5">
        <f>T6/G2</f>
        <v>0.61467682102920396</v>
      </c>
      <c r="AC6" s="6">
        <f>SUM(AB2:AB6)</f>
        <v>1.0000000018287851</v>
      </c>
      <c r="AD6" s="5">
        <f t="shared" si="6"/>
        <v>61.467682102920392</v>
      </c>
      <c r="AE6" s="6">
        <f>SUM(AD2:AD6)</f>
        <v>100.00000018287849</v>
      </c>
      <c r="AF6" s="5">
        <f t="shared" si="7"/>
        <v>0.14555252602877866</v>
      </c>
    </row>
    <row r="7" spans="1:32" x14ac:dyDescent="0.2">
      <c r="E7">
        <v>1997</v>
      </c>
      <c r="F7" s="1">
        <v>12254435</v>
      </c>
      <c r="G7" s="1">
        <v>68189790900</v>
      </c>
      <c r="H7" s="1">
        <v>568211222200</v>
      </c>
      <c r="I7" s="1">
        <f t="shared" si="1"/>
        <v>500021431300</v>
      </c>
      <c r="K7" s="2">
        <v>1993</v>
      </c>
      <c r="L7" t="s">
        <v>83</v>
      </c>
      <c r="M7" s="13">
        <f xml:space="preserve"> SUM(H34+H65+H96+H127)</f>
        <v>18605718100</v>
      </c>
      <c r="N7" s="1">
        <f>SUM(F34+F65+F96+F127)</f>
        <v>2330235</v>
      </c>
      <c r="O7" s="5">
        <f>M7/H3</f>
        <v>3.7079799448703835E-2</v>
      </c>
      <c r="Q7" s="5">
        <f t="shared" si="2"/>
        <v>3.7079799448703836</v>
      </c>
      <c r="S7" s="15">
        <f t="shared" si="8"/>
        <v>7984.4814364216481</v>
      </c>
      <c r="T7" s="15">
        <f>SUM(G34+G65+G96+G127)</f>
        <v>159801500</v>
      </c>
      <c r="U7" s="15">
        <f t="shared" si="3"/>
        <v>18445916600</v>
      </c>
      <c r="V7" s="5">
        <f>U7/I3</f>
        <v>4.1291406453156689E-2</v>
      </c>
      <c r="X7" s="5">
        <f t="shared" si="4"/>
        <v>4.1291406453156689</v>
      </c>
      <c r="Z7" s="15">
        <f t="shared" si="0"/>
        <v>7915.904018264252</v>
      </c>
      <c r="AA7" s="15">
        <f t="shared" si="5"/>
        <v>68.577418157396139</v>
      </c>
      <c r="AB7" s="5">
        <f>T7/G3</f>
        <v>2.9028570759254543E-3</v>
      </c>
      <c r="AD7" s="5">
        <f t="shared" si="6"/>
        <v>0.29028570759254541</v>
      </c>
      <c r="AF7" s="5">
        <f t="shared" si="7"/>
        <v>8.5888380733877712E-3</v>
      </c>
    </row>
    <row r="8" spans="1:32" x14ac:dyDescent="0.2">
      <c r="E8">
        <v>1998</v>
      </c>
      <c r="F8" s="1">
        <v>12344860</v>
      </c>
      <c r="G8" s="1">
        <v>72286856300</v>
      </c>
      <c r="H8" s="1">
        <v>594845541500</v>
      </c>
      <c r="I8" s="1">
        <f t="shared" si="1"/>
        <v>522558685200</v>
      </c>
      <c r="K8" s="2">
        <v>1993</v>
      </c>
      <c r="L8" t="s">
        <v>84</v>
      </c>
      <c r="M8" s="14">
        <f>SUM(H158+H189+H220+H251)</f>
        <v>43647554400</v>
      </c>
      <c r="N8" s="1">
        <f>SUM(F158+F189+F220+F251)</f>
        <v>2330600</v>
      </c>
      <c r="O8" s="5">
        <f>M8/H3</f>
        <v>8.6986299312918777E-2</v>
      </c>
      <c r="Q8" s="5">
        <f t="shared" si="2"/>
        <v>8.6986299312918778</v>
      </c>
      <c r="S8" s="15">
        <f t="shared" si="8"/>
        <v>18728.033296146914</v>
      </c>
      <c r="T8" s="15">
        <f>SUM(G158+G189+G220+G251)</f>
        <v>1743763700</v>
      </c>
      <c r="U8" s="15">
        <f t="shared" si="3"/>
        <v>41903790700</v>
      </c>
      <c r="V8" s="5">
        <f>U8/I3</f>
        <v>9.3802140129035774E-2</v>
      </c>
      <c r="X8" s="5">
        <f t="shared" si="4"/>
        <v>9.3802140129035774</v>
      </c>
      <c r="Z8" s="15">
        <f t="shared" si="0"/>
        <v>17979.829528876686</v>
      </c>
      <c r="AA8" s="15">
        <f t="shared" si="5"/>
        <v>748.20376727023086</v>
      </c>
      <c r="AB8" s="5">
        <f>T8/G3</f>
        <v>3.1676153198104844E-2</v>
      </c>
      <c r="AD8" s="5">
        <f t="shared" si="6"/>
        <v>3.1676153198104844</v>
      </c>
      <c r="AF8" s="5">
        <f t="shared" si="7"/>
        <v>3.9951005823134961E-2</v>
      </c>
    </row>
    <row r="9" spans="1:32" x14ac:dyDescent="0.2">
      <c r="E9">
        <v>1999</v>
      </c>
      <c r="F9" s="1">
        <v>12546600</v>
      </c>
      <c r="G9" s="1">
        <v>76161492800</v>
      </c>
      <c r="H9" s="1">
        <v>630410150800</v>
      </c>
      <c r="I9" s="1">
        <f t="shared" si="1"/>
        <v>554248658000</v>
      </c>
      <c r="K9" s="2">
        <v>1993</v>
      </c>
      <c r="L9" t="s">
        <v>85</v>
      </c>
      <c r="M9" s="13">
        <f>SUM(H282+H313+H344+H375)</f>
        <v>75612435900</v>
      </c>
      <c r="N9" s="1">
        <f>SUM(F282+F313+F344+F375)</f>
        <v>2330360</v>
      </c>
      <c r="O9" s="5">
        <f>M9/H3</f>
        <v>0.15068990855020931</v>
      </c>
      <c r="Q9" s="5">
        <f t="shared" si="2"/>
        <v>15.06899085502093</v>
      </c>
      <c r="S9" s="15">
        <f t="shared" si="8"/>
        <v>32446.676007140526</v>
      </c>
      <c r="T9" s="15">
        <f>SUM(G282+G313+G344+G375)</f>
        <v>5903249800</v>
      </c>
      <c r="U9" s="15">
        <f t="shared" si="3"/>
        <v>69709186100</v>
      </c>
      <c r="V9" s="5">
        <f>U9/I3</f>
        <v>0.15604485259213632</v>
      </c>
      <c r="X9" s="5">
        <f t="shared" si="4"/>
        <v>15.604485259213632</v>
      </c>
      <c r="Z9" s="15">
        <f t="shared" si="0"/>
        <v>29913.483796494962</v>
      </c>
      <c r="AA9" s="15">
        <f t="shared" si="5"/>
        <v>2533.1922106455654</v>
      </c>
      <c r="AB9" s="5">
        <f>T9/G3</f>
        <v>0.10723485357074572</v>
      </c>
      <c r="AD9" s="5">
        <f t="shared" si="6"/>
        <v>10.723485357074573</v>
      </c>
      <c r="AF9" s="5">
        <f t="shared" si="7"/>
        <v>7.8072472202948828E-2</v>
      </c>
    </row>
    <row r="10" spans="1:32" x14ac:dyDescent="0.2">
      <c r="E10">
        <v>2000</v>
      </c>
      <c r="F10" s="1">
        <v>12714735</v>
      </c>
      <c r="G10" s="1">
        <v>82699651200</v>
      </c>
      <c r="H10" s="1">
        <v>686454130600</v>
      </c>
      <c r="I10" s="1">
        <f t="shared" si="1"/>
        <v>603754479400</v>
      </c>
      <c r="K10" s="2">
        <v>1993</v>
      </c>
      <c r="L10" t="s">
        <v>86</v>
      </c>
      <c r="M10" s="13">
        <f>SUM(H406+H437+H468+H499)</f>
        <v>119158265400</v>
      </c>
      <c r="N10" s="1">
        <f>SUM(F406+F437+F468+F499)</f>
        <v>2330535</v>
      </c>
      <c r="O10" s="5">
        <f>M10/H3</f>
        <v>0.23747347777387989</v>
      </c>
      <c r="Q10" s="5">
        <f t="shared" si="2"/>
        <v>23.74734777738799</v>
      </c>
      <c r="S10" s="15">
        <f t="shared" si="8"/>
        <v>51129.14648353275</v>
      </c>
      <c r="T10" s="15">
        <f>SUM(G406+G437+G468+G499)</f>
        <v>12878473800</v>
      </c>
      <c r="U10" s="15">
        <f t="shared" si="3"/>
        <v>106279791600</v>
      </c>
      <c r="V10" s="5">
        <f>U10/I3</f>
        <v>0.23790859342345652</v>
      </c>
      <c r="X10" s="5">
        <f t="shared" si="4"/>
        <v>23.790859342345652</v>
      </c>
      <c r="Z10" s="15">
        <f t="shared" si="0"/>
        <v>45603.173348608798</v>
      </c>
      <c r="AA10" s="15">
        <f t="shared" si="5"/>
        <v>5525.9731349239555</v>
      </c>
      <c r="AB10" s="5">
        <f>T10/G3</f>
        <v>0.23394253994768868</v>
      </c>
      <c r="AD10" s="5">
        <f t="shared" si="6"/>
        <v>23.394253994768867</v>
      </c>
      <c r="AF10" s="5">
        <f t="shared" si="7"/>
        <v>0.10807872837665528</v>
      </c>
    </row>
    <row r="11" spans="1:32" x14ac:dyDescent="0.2">
      <c r="E11">
        <v>2001</v>
      </c>
      <c r="F11" s="1">
        <v>12788500</v>
      </c>
      <c r="G11" s="1">
        <v>79187646400</v>
      </c>
      <c r="H11" s="1">
        <v>716193730800</v>
      </c>
      <c r="I11" s="1">
        <f t="shared" si="1"/>
        <v>637006084400</v>
      </c>
      <c r="K11" s="2">
        <v>1993</v>
      </c>
      <c r="L11" t="s">
        <v>90</v>
      </c>
      <c r="M11" s="13">
        <f>SUM(H530+H561+H592+H623)</f>
        <v>244751072800</v>
      </c>
      <c r="N11" s="1">
        <f>SUM(F530+F561+F592+F623)</f>
        <v>2330515</v>
      </c>
      <c r="O11" s="5">
        <f>M11/H3</f>
        <v>0.48777051471499572</v>
      </c>
      <c r="P11">
        <f>SUM(O7:O11)</f>
        <v>0.99999999980070764</v>
      </c>
      <c r="Q11" s="5">
        <f t="shared" si="2"/>
        <v>48.777051471499568</v>
      </c>
      <c r="R11" s="6">
        <f>SUM(Q7:Q11)</f>
        <v>99.999999980070754</v>
      </c>
      <c r="S11" s="15">
        <f t="shared" si="8"/>
        <v>105020.1662722617</v>
      </c>
      <c r="T11" s="15">
        <f>SUM(G530+G561+G592+G623)</f>
        <v>34364441800</v>
      </c>
      <c r="U11" s="15">
        <f t="shared" si="3"/>
        <v>210386631000</v>
      </c>
      <c r="V11" s="5">
        <f>U11/I3</f>
        <v>0.47095300717836347</v>
      </c>
      <c r="W11">
        <f>SUM(V7:V11)</f>
        <v>0.99999999977614884</v>
      </c>
      <c r="X11" s="5">
        <f t="shared" si="4"/>
        <v>47.095300717836345</v>
      </c>
      <c r="Y11" s="6">
        <f>SUM(X7:X11)</f>
        <v>99.999999977614863</v>
      </c>
      <c r="Z11" s="15">
        <f t="shared" si="0"/>
        <v>90274.737987097265</v>
      </c>
      <c r="AA11" s="15">
        <f t="shared" si="5"/>
        <v>14745.428285164438</v>
      </c>
      <c r="AB11" s="5">
        <f>T11/G3</f>
        <v>0.62424359620753533</v>
      </c>
      <c r="AC11" s="6">
        <f>SUM(AB7:AB11)</f>
        <v>1</v>
      </c>
      <c r="AD11" s="5">
        <f t="shared" si="6"/>
        <v>62.424359620753535</v>
      </c>
      <c r="AE11" s="6">
        <f>SUM(AD7:AD11)</f>
        <v>100</v>
      </c>
      <c r="AF11" s="5">
        <f t="shared" si="7"/>
        <v>0.14040568405631113</v>
      </c>
    </row>
    <row r="12" spans="1:32" x14ac:dyDescent="0.2">
      <c r="E12">
        <v>2002</v>
      </c>
      <c r="F12" s="1">
        <v>12769940</v>
      </c>
      <c r="G12" s="1">
        <v>80357552600</v>
      </c>
      <c r="H12" s="1">
        <v>730557488900</v>
      </c>
      <c r="I12" s="1">
        <f t="shared" si="1"/>
        <v>650199936300</v>
      </c>
      <c r="K12" s="2">
        <v>1994</v>
      </c>
      <c r="L12" t="s">
        <v>83</v>
      </c>
      <c r="M12" s="13">
        <f xml:space="preserve"> SUM(H35+H66+H97+H128)</f>
        <v>18973658900</v>
      </c>
      <c r="N12" s="1">
        <f>SUM(F35+F66+F97+F128)</f>
        <v>2363015</v>
      </c>
      <c r="O12" s="5">
        <f>M12/H4</f>
        <v>3.437503871711426E-2</v>
      </c>
      <c r="Q12" s="5">
        <f t="shared" si="2"/>
        <v>3.4375038717114261</v>
      </c>
      <c r="S12" s="15">
        <f t="shared" si="8"/>
        <v>8029.4280400251373</v>
      </c>
      <c r="T12" s="15">
        <f>SUM(G35+G66+G97+G128)</f>
        <v>163007800</v>
      </c>
      <c r="U12" s="15">
        <f t="shared" si="3"/>
        <v>18810651100</v>
      </c>
      <c r="V12" s="5">
        <f>U12/I4</f>
        <v>3.7963633824023034E-2</v>
      </c>
      <c r="X12" s="5">
        <f t="shared" si="4"/>
        <v>3.7963633824023035</v>
      </c>
      <c r="Z12" s="15">
        <f t="shared" si="0"/>
        <v>7960.4450670012675</v>
      </c>
      <c r="AA12" s="15">
        <f t="shared" si="5"/>
        <v>68.982973023869931</v>
      </c>
      <c r="AB12" s="5">
        <f>T12/G4</f>
        <v>2.8866754582211546E-3</v>
      </c>
      <c r="AD12" s="5">
        <f t="shared" si="6"/>
        <v>0.28866754582211546</v>
      </c>
      <c r="AF12" s="5">
        <f t="shared" si="7"/>
        <v>8.5912686034426387E-3</v>
      </c>
    </row>
    <row r="13" spans="1:32" x14ac:dyDescent="0.2">
      <c r="E13">
        <v>2003</v>
      </c>
      <c r="F13" s="1">
        <v>13063065</v>
      </c>
      <c r="G13" s="1">
        <v>83780108200</v>
      </c>
      <c r="H13" s="1">
        <v>761214831300</v>
      </c>
      <c r="I13" s="1">
        <f t="shared" si="1"/>
        <v>677434723100</v>
      </c>
      <c r="K13" s="2">
        <v>1994</v>
      </c>
      <c r="L13" t="s">
        <v>84</v>
      </c>
      <c r="M13" s="14">
        <f>SUM(H159+H190+H221+H252)</f>
        <v>44950706400</v>
      </c>
      <c r="N13" s="1">
        <f>SUM(F159+F190+F221+F252)</f>
        <v>2363210</v>
      </c>
      <c r="O13" s="5">
        <f>M13/H4</f>
        <v>8.1438286679731325E-2</v>
      </c>
      <c r="Q13" s="5">
        <f t="shared" si="2"/>
        <v>8.143828667973132</v>
      </c>
      <c r="S13" s="15">
        <f t="shared" si="8"/>
        <v>19021.037656408022</v>
      </c>
      <c r="T13" s="15">
        <f>SUM(G159+G190+G221+G252)</f>
        <v>1811679200</v>
      </c>
      <c r="U13" s="15">
        <f t="shared" si="3"/>
        <v>43139027200</v>
      </c>
      <c r="V13" s="5">
        <f>U13/I4</f>
        <v>8.7063133723498276E-2</v>
      </c>
      <c r="X13" s="5">
        <f t="shared" si="4"/>
        <v>8.7063133723498272</v>
      </c>
      <c r="Z13" s="15">
        <f t="shared" si="0"/>
        <v>18254.419708785932</v>
      </c>
      <c r="AA13" s="15">
        <f t="shared" si="5"/>
        <v>766.61794762209024</v>
      </c>
      <c r="AB13" s="5">
        <f>T13/G4</f>
        <v>3.2082697176513852E-2</v>
      </c>
      <c r="AD13" s="5">
        <f t="shared" si="6"/>
        <v>3.208269717651385</v>
      </c>
      <c r="AF13" s="5">
        <f t="shared" si="7"/>
        <v>4.0303686973871447E-2</v>
      </c>
    </row>
    <row r="14" spans="1:32" x14ac:dyDescent="0.2">
      <c r="E14">
        <v>2004</v>
      </c>
      <c r="F14" s="1">
        <v>13262020</v>
      </c>
      <c r="G14" s="1">
        <v>88169360900</v>
      </c>
      <c r="H14" s="1">
        <v>809659243000</v>
      </c>
      <c r="I14" s="1">
        <f t="shared" si="1"/>
        <v>721489882100</v>
      </c>
      <c r="K14" s="2">
        <v>1994</v>
      </c>
      <c r="L14" t="s">
        <v>85</v>
      </c>
      <c r="M14" s="13">
        <f>SUM(H283+H314+H345+H376)</f>
        <v>79018286300</v>
      </c>
      <c r="N14" s="1">
        <f>SUM(F283+F314+F345+F376)</f>
        <v>2363050</v>
      </c>
      <c r="O14" s="5">
        <f>M14/H4</f>
        <v>0.14315934871805455</v>
      </c>
      <c r="Q14" s="5">
        <f t="shared" si="2"/>
        <v>14.315934871805455</v>
      </c>
      <c r="S14" s="15">
        <f t="shared" si="8"/>
        <v>33439.108905863184</v>
      </c>
      <c r="T14" s="15">
        <f>SUM(G283+G314+G345+G376)</f>
        <v>6284856800</v>
      </c>
      <c r="U14" s="15">
        <f t="shared" si="3"/>
        <v>72733429500</v>
      </c>
      <c r="V14" s="5">
        <f>U14/I4</f>
        <v>0.14679052147766405</v>
      </c>
      <c r="X14" s="5">
        <f t="shared" si="4"/>
        <v>14.679052147766406</v>
      </c>
      <c r="Z14" s="15">
        <f t="shared" si="0"/>
        <v>30779.471234210025</v>
      </c>
      <c r="AA14" s="15">
        <f t="shared" si="5"/>
        <v>2659.6376716531599</v>
      </c>
      <c r="AB14" s="5">
        <f>T14/G4</f>
        <v>0.11129738505147815</v>
      </c>
      <c r="AD14" s="5">
        <f t="shared" si="6"/>
        <v>11.129738505147815</v>
      </c>
      <c r="AF14" s="5">
        <f t="shared" si="7"/>
        <v>7.9536738826997314E-2</v>
      </c>
    </row>
    <row r="15" spans="1:32" x14ac:dyDescent="0.2">
      <c r="E15">
        <v>2005</v>
      </c>
      <c r="F15" s="1">
        <v>13517060</v>
      </c>
      <c r="G15" s="1">
        <v>91468211000</v>
      </c>
      <c r="H15" s="1">
        <v>864297809100</v>
      </c>
      <c r="I15" s="1">
        <f t="shared" si="1"/>
        <v>772829598100</v>
      </c>
      <c r="K15" s="2">
        <v>1994</v>
      </c>
      <c r="L15" t="s">
        <v>86</v>
      </c>
      <c r="M15" s="13">
        <f>SUM(H407+H438+H469+H500)</f>
        <v>127134600700</v>
      </c>
      <c r="N15" s="1">
        <f>SUM(F407+F438+F469+F500)</f>
        <v>2363260</v>
      </c>
      <c r="O15" s="5">
        <f>M15/H4</f>
        <v>0.23033284430697559</v>
      </c>
      <c r="Q15" s="5">
        <f t="shared" si="2"/>
        <v>23.033284430697559</v>
      </c>
      <c r="S15" s="15">
        <f t="shared" si="8"/>
        <v>53796.28170408673</v>
      </c>
      <c r="T15" s="15">
        <f>SUM(G407+G438+G469+G500)</f>
        <v>13817467600</v>
      </c>
      <c r="U15" s="15">
        <f t="shared" si="3"/>
        <v>113317133100</v>
      </c>
      <c r="V15" s="5">
        <f>U15/I4</f>
        <v>0.22869650413092191</v>
      </c>
      <c r="X15" s="5">
        <f t="shared" si="4"/>
        <v>22.869650413092192</v>
      </c>
      <c r="Z15" s="15">
        <f t="shared" si="0"/>
        <v>47949.49903946244</v>
      </c>
      <c r="AA15" s="15">
        <f t="shared" si="5"/>
        <v>5846.7826646242902</v>
      </c>
      <c r="AB15" s="5">
        <f>T15/G4</f>
        <v>0.24469101856282927</v>
      </c>
      <c r="AD15" s="5">
        <f t="shared" si="6"/>
        <v>24.469101856282926</v>
      </c>
      <c r="AF15" s="5">
        <f t="shared" si="7"/>
        <v>0.1086837692014712</v>
      </c>
    </row>
    <row r="16" spans="1:32" x14ac:dyDescent="0.2">
      <c r="E16">
        <v>2006</v>
      </c>
      <c r="F16" s="1">
        <v>13664545</v>
      </c>
      <c r="G16" s="1">
        <v>98641782100</v>
      </c>
      <c r="H16" s="1">
        <v>927218996100</v>
      </c>
      <c r="I16" s="1">
        <f t="shared" si="1"/>
        <v>828577214000</v>
      </c>
      <c r="K16" s="2">
        <v>1994</v>
      </c>
      <c r="L16" t="s">
        <v>90</v>
      </c>
      <c r="M16" s="13">
        <f>SUM(H531+H562+H593+H624)</f>
        <v>281883112200</v>
      </c>
      <c r="N16" s="1">
        <f>SUM(F531+F562+F593+F624)</f>
        <v>2363135</v>
      </c>
      <c r="O16" s="5">
        <f>M16/H4</f>
        <v>0.51069448157812425</v>
      </c>
      <c r="P16">
        <f>SUM(O12:O16)</f>
        <v>1</v>
      </c>
      <c r="Q16" s="5">
        <f t="shared" si="2"/>
        <v>51.069448157812424</v>
      </c>
      <c r="R16" s="6">
        <f>SUM(Q12:Q16)</f>
        <v>100</v>
      </c>
      <c r="S16" s="15">
        <f t="shared" si="8"/>
        <v>119283.54165123872</v>
      </c>
      <c r="T16" s="15">
        <f>SUM(G531+G562+G593+G624)</f>
        <v>34392031400</v>
      </c>
      <c r="U16" s="15">
        <f t="shared" si="3"/>
        <v>247491080800</v>
      </c>
      <c r="V16" s="5">
        <f>U16/I4</f>
        <v>0.49948620684389272</v>
      </c>
      <c r="W16">
        <f>SUM(V12:V16)</f>
        <v>1</v>
      </c>
      <c r="X16" s="5">
        <f>V16*100</f>
        <v>49.948620684389269</v>
      </c>
      <c r="Y16" s="6">
        <f>SUM(X12:X16)</f>
        <v>100</v>
      </c>
      <c r="Z16" s="15">
        <f t="shared" si="0"/>
        <v>104729.97979379087</v>
      </c>
      <c r="AA16" s="15">
        <f t="shared" si="5"/>
        <v>14553.561857447839</v>
      </c>
      <c r="AB16" s="5">
        <f>T16/G4</f>
        <v>0.60904222375095762</v>
      </c>
      <c r="AC16" s="6">
        <f>SUM(AB12:AB16)</f>
        <v>1</v>
      </c>
      <c r="AD16" s="5">
        <f t="shared" si="6"/>
        <v>60.904222375095763</v>
      </c>
      <c r="AE16" s="6">
        <f>SUM(AD12:AD16)</f>
        <v>100</v>
      </c>
      <c r="AF16" s="5">
        <f t="shared" si="7"/>
        <v>0.12200813000673262</v>
      </c>
    </row>
    <row r="17" spans="5:32" x14ac:dyDescent="0.2">
      <c r="E17">
        <v>2007</v>
      </c>
      <c r="F17" s="1">
        <v>13853445</v>
      </c>
      <c r="G17" s="1">
        <v>100985082500</v>
      </c>
      <c r="H17" s="1">
        <v>988808978700</v>
      </c>
      <c r="I17" s="1">
        <f t="shared" si="1"/>
        <v>887823896200</v>
      </c>
      <c r="K17" s="2">
        <v>1995</v>
      </c>
      <c r="L17" t="s">
        <v>83</v>
      </c>
      <c r="M17" s="13">
        <f xml:space="preserve"> SUM(H36+H67+H98+H129)</f>
        <v>19506699500</v>
      </c>
      <c r="N17" s="1">
        <f>SUM(F36+F67+F98+F129)</f>
        <v>2401530</v>
      </c>
      <c r="O17" s="5">
        <f>M17/H5</f>
        <v>3.7256703245053625E-2</v>
      </c>
      <c r="Q17" s="5">
        <f t="shared" si="2"/>
        <v>3.7256703245053626</v>
      </c>
      <c r="S17" s="15">
        <f t="shared" si="8"/>
        <v>8122.6132923594541</v>
      </c>
      <c r="T17" s="15">
        <f>SUM(G36+G67+G98+G129)</f>
        <v>173892700</v>
      </c>
      <c r="U17" s="15">
        <f t="shared" si="3"/>
        <v>19332806800</v>
      </c>
      <c r="V17" s="5">
        <f>U17/I5</f>
        <v>4.1695752366808746E-2</v>
      </c>
      <c r="X17" s="5">
        <f t="shared" si="4"/>
        <v>4.1695752366808749</v>
      </c>
      <c r="Z17" s="15">
        <f t="shared" si="0"/>
        <v>8050.2041615137014</v>
      </c>
      <c r="AA17" s="15">
        <f t="shared" si="5"/>
        <v>72.4091308457525</v>
      </c>
      <c r="AB17" s="5">
        <f>T17/G5</f>
        <v>2.9024750784471887E-3</v>
      </c>
      <c r="AD17" s="5">
        <f t="shared" si="6"/>
        <v>0.29024750784471887</v>
      </c>
      <c r="AF17" s="5">
        <f t="shared" si="7"/>
        <v>8.9145116527785742E-3</v>
      </c>
    </row>
    <row r="18" spans="5:32" x14ac:dyDescent="0.2">
      <c r="E18">
        <v>2008</v>
      </c>
      <c r="F18" s="1">
        <v>14061340</v>
      </c>
      <c r="G18" s="1">
        <v>104497730800</v>
      </c>
      <c r="H18" s="1">
        <v>1010723760800</v>
      </c>
      <c r="I18" s="1">
        <f t="shared" si="1"/>
        <v>906226030000</v>
      </c>
      <c r="K18" s="2">
        <v>1995</v>
      </c>
      <c r="L18" t="s">
        <v>84</v>
      </c>
      <c r="M18" s="14">
        <f>SUM(H160+H191+H222+H253)</f>
        <v>45672880700</v>
      </c>
      <c r="N18" s="1">
        <f>SUM(F160+F191+F222+F253)</f>
        <v>2401640</v>
      </c>
      <c r="O18" s="5">
        <f>M18/H5</f>
        <v>8.723264346111638E-2</v>
      </c>
      <c r="Q18" s="5">
        <f t="shared" si="2"/>
        <v>8.7232643461116375</v>
      </c>
      <c r="S18" s="15">
        <f t="shared" si="8"/>
        <v>19017.371754301228</v>
      </c>
      <c r="T18" s="15">
        <f>SUM(G160+G191+G222+G253)</f>
        <v>1826946400</v>
      </c>
      <c r="U18" s="15">
        <f t="shared" si="3"/>
        <v>43845934300</v>
      </c>
      <c r="V18" s="5">
        <f>U18/I5</f>
        <v>9.4564086724549787E-2</v>
      </c>
      <c r="X18" s="5">
        <f t="shared" si="4"/>
        <v>9.4564086724549785</v>
      </c>
      <c r="Z18" s="15">
        <f t="shared" si="0"/>
        <v>18256.663904665147</v>
      </c>
      <c r="AA18" s="15">
        <f t="shared" si="5"/>
        <v>760.70784963608196</v>
      </c>
      <c r="AB18" s="5">
        <f>T18/G5</f>
        <v>3.0493898798850144E-2</v>
      </c>
      <c r="AD18" s="5">
        <f t="shared" si="6"/>
        <v>3.0493898798850143</v>
      </c>
      <c r="AF18" s="5">
        <f t="shared" si="7"/>
        <v>4.0000682505669058E-2</v>
      </c>
    </row>
    <row r="19" spans="5:32" x14ac:dyDescent="0.2">
      <c r="E19">
        <v>2009</v>
      </c>
      <c r="F19" s="1">
        <v>14236700</v>
      </c>
      <c r="G19" s="1">
        <v>96168364500</v>
      </c>
      <c r="H19" s="1">
        <v>1006534137700</v>
      </c>
      <c r="I19" s="1">
        <f t="shared" si="1"/>
        <v>910365773200</v>
      </c>
      <c r="K19" s="2">
        <v>1995</v>
      </c>
      <c r="L19" t="s">
        <v>85</v>
      </c>
      <c r="M19" s="13">
        <f>SUM(H284+H315+H346+H377)</f>
        <v>79212005800</v>
      </c>
      <c r="N19" s="1">
        <f>SUM(F284+F315+F346+F377)</f>
        <v>2401630</v>
      </c>
      <c r="O19" s="5">
        <f>M19/H5</f>
        <v>0.15129049348076884</v>
      </c>
      <c r="Q19" s="5">
        <f t="shared" si="2"/>
        <v>15.129049348076883</v>
      </c>
      <c r="S19" s="15">
        <f t="shared" si="8"/>
        <v>32982.601732989679</v>
      </c>
      <c r="T19" s="15">
        <f>SUM(G284+G315+G346+G377)</f>
        <v>6292196200</v>
      </c>
      <c r="U19" s="15">
        <f t="shared" si="3"/>
        <v>72919809600</v>
      </c>
      <c r="V19" s="5">
        <f>U19/I5</f>
        <v>0.15726874815282607</v>
      </c>
      <c r="X19" s="5">
        <f t="shared" si="4"/>
        <v>15.726874815282606</v>
      </c>
      <c r="Z19" s="15">
        <f t="shared" si="0"/>
        <v>30362.632711949802</v>
      </c>
      <c r="AA19" s="15">
        <f t="shared" si="5"/>
        <v>2619.9690210398771</v>
      </c>
      <c r="AB19" s="5">
        <f>T19/G5</f>
        <v>0.10502420549683858</v>
      </c>
      <c r="AD19" s="5">
        <f t="shared" si="6"/>
        <v>10.502420549683858</v>
      </c>
      <c r="AF19" s="5">
        <f t="shared" si="7"/>
        <v>7.943488031204482E-2</v>
      </c>
    </row>
    <row r="20" spans="5:32" x14ac:dyDescent="0.2">
      <c r="E20">
        <v>2010</v>
      </c>
      <c r="F20" s="1">
        <v>14385630</v>
      </c>
      <c r="G20" s="1">
        <v>101155264700</v>
      </c>
      <c r="H20" s="1">
        <v>1041509944600</v>
      </c>
      <c r="I20" s="1">
        <f t="shared" si="1"/>
        <v>940354679900</v>
      </c>
      <c r="K20" s="2">
        <v>1995</v>
      </c>
      <c r="L20" t="s">
        <v>86</v>
      </c>
      <c r="M20" s="13">
        <f>SUM(H408+H439+H470+H501)</f>
        <v>125260747700</v>
      </c>
      <c r="N20" s="1">
        <f>SUM(F408+F439+F470+F501)</f>
        <v>2401600</v>
      </c>
      <c r="O20" s="5">
        <f>M20/H5</f>
        <v>0.23924101077747334</v>
      </c>
      <c r="Q20" s="5">
        <f t="shared" si="2"/>
        <v>23.924101077747334</v>
      </c>
      <c r="S20" s="15">
        <f t="shared" si="8"/>
        <v>52157.20673717522</v>
      </c>
      <c r="T20" s="15">
        <f>SUM(G408+G439+G470+G501)</f>
        <v>13790395600</v>
      </c>
      <c r="U20" s="15">
        <f t="shared" si="3"/>
        <v>111470352100</v>
      </c>
      <c r="V20" s="5">
        <f>U20/I5</f>
        <v>0.24041207495036776</v>
      </c>
      <c r="X20" s="5">
        <f t="shared" si="4"/>
        <v>24.041207495036776</v>
      </c>
      <c r="Z20" s="15">
        <f t="shared" si="0"/>
        <v>46415.036683877413</v>
      </c>
      <c r="AA20" s="15">
        <f t="shared" si="5"/>
        <v>5742.1700532978011</v>
      </c>
      <c r="AB20" s="5">
        <f>T20/G5</f>
        <v>0.23017803249318552</v>
      </c>
      <c r="AD20" s="5">
        <f t="shared" si="6"/>
        <v>23.017803249318554</v>
      </c>
      <c r="AF20" s="5">
        <f t="shared" si="7"/>
        <v>0.11009351176018885</v>
      </c>
    </row>
    <row r="21" spans="5:32" x14ac:dyDescent="0.2">
      <c r="E21">
        <v>2011</v>
      </c>
      <c r="F21" s="1">
        <v>14599680</v>
      </c>
      <c r="G21" s="1">
        <v>107787387100</v>
      </c>
      <c r="H21" s="1">
        <v>1092894156600</v>
      </c>
      <c r="I21" s="1">
        <f t="shared" si="1"/>
        <v>985106769500</v>
      </c>
      <c r="K21" s="2">
        <v>1995</v>
      </c>
      <c r="L21" t="s">
        <v>90</v>
      </c>
      <c r="M21" s="13">
        <f>SUM(H532+H563+H594+H625)</f>
        <v>253923232600</v>
      </c>
      <c r="N21" s="1">
        <f>SUM(F532+F563+F594+F625)</f>
        <v>2401655</v>
      </c>
      <c r="O21" s="5">
        <f>M21/H5</f>
        <v>0.48497914903558781</v>
      </c>
      <c r="P21">
        <f>SUM(O17:O21)</f>
        <v>1</v>
      </c>
      <c r="Q21" s="5">
        <f t="shared" si="2"/>
        <v>48.49791490355878</v>
      </c>
      <c r="R21" s="6">
        <f>SUM(Q17:Q21)</f>
        <v>100</v>
      </c>
      <c r="S21" s="15">
        <f t="shared" si="8"/>
        <v>105728.43834772271</v>
      </c>
      <c r="T21" s="15">
        <f>SUM(G532+G563+G594+G625)</f>
        <v>37828435700</v>
      </c>
      <c r="U21" s="15">
        <f t="shared" si="3"/>
        <v>216094796900</v>
      </c>
      <c r="V21" s="5">
        <f>U21/I5</f>
        <v>0.46605933802112121</v>
      </c>
      <c r="W21">
        <f>SUM(V17:V21)</f>
        <v>1.0000000002156737</v>
      </c>
      <c r="X21" s="5">
        <f t="shared" si="4"/>
        <v>46.605933802112119</v>
      </c>
      <c r="Y21" s="6">
        <f>SUM(X17:X21)</f>
        <v>100.00000002156736</v>
      </c>
      <c r="Z21" s="15">
        <f t="shared" si="0"/>
        <v>89977.451757225746</v>
      </c>
      <c r="AA21" s="15">
        <f t="shared" si="5"/>
        <v>15750.98659049697</v>
      </c>
      <c r="AB21" s="5">
        <f>T21/G5</f>
        <v>0.63140138646356014</v>
      </c>
      <c r="AC21" s="6">
        <f>SUM(AB17:AB21)</f>
        <v>0.9999999983308816</v>
      </c>
      <c r="AD21" s="5">
        <f t="shared" si="6"/>
        <v>63.140138646356014</v>
      </c>
      <c r="AE21" s="6">
        <f>SUM(AD17:AD21)</f>
        <v>99.999999833088168</v>
      </c>
      <c r="AF21" s="5">
        <f t="shared" si="7"/>
        <v>0.14897587476601779</v>
      </c>
    </row>
    <row r="22" spans="5:32" x14ac:dyDescent="0.2">
      <c r="E22">
        <v>2012</v>
      </c>
      <c r="F22" s="1">
        <v>14829510</v>
      </c>
      <c r="G22" s="1">
        <v>112254868700</v>
      </c>
      <c r="H22" s="1">
        <v>1136299261100</v>
      </c>
      <c r="I22" s="1">
        <f t="shared" si="1"/>
        <v>1024044392400</v>
      </c>
      <c r="K22" s="2">
        <v>1996</v>
      </c>
      <c r="L22" t="s">
        <v>83</v>
      </c>
      <c r="M22" s="13">
        <f>SUM(H37+H68+H99+H130)</f>
        <v>19528984100</v>
      </c>
      <c r="N22" s="1">
        <f>SUM(F37+F68+F99+F130)</f>
        <v>2422970</v>
      </c>
      <c r="O22" s="5">
        <f>M22/H6</f>
        <v>3.6135099690039751E-2</v>
      </c>
      <c r="Q22" s="5">
        <f t="shared" si="2"/>
        <v>3.6135099690039754</v>
      </c>
      <c r="S22" s="15">
        <f t="shared" si="8"/>
        <v>8059.936400368143</v>
      </c>
      <c r="T22" s="15">
        <f>SUM(G37+G68+G99+G130)</f>
        <v>174917400</v>
      </c>
      <c r="U22" s="15">
        <f t="shared" si="3"/>
        <v>19354066700</v>
      </c>
      <c r="V22" s="5">
        <f>U22/I6</f>
        <v>4.0529127925339796E-2</v>
      </c>
      <c r="X22" s="5">
        <f t="shared" si="4"/>
        <v>4.0529127925339798</v>
      </c>
      <c r="Z22" s="15">
        <f t="shared" si="0"/>
        <v>7987.745081449626</v>
      </c>
      <c r="AA22" s="15">
        <f t="shared" si="5"/>
        <v>72.191318918517354</v>
      </c>
      <c r="AB22" s="5">
        <f>T22/G6</f>
        <v>2.7804883517782582E-3</v>
      </c>
      <c r="AD22" s="5">
        <f t="shared" si="6"/>
        <v>0.2780488351778258</v>
      </c>
      <c r="AF22" s="5">
        <f t="shared" si="7"/>
        <v>8.9568099960714281E-3</v>
      </c>
    </row>
    <row r="23" spans="5:32" x14ac:dyDescent="0.2">
      <c r="E23">
        <v>2013</v>
      </c>
      <c r="F23" s="1">
        <v>15048705</v>
      </c>
      <c r="G23" s="1">
        <v>117464250300</v>
      </c>
      <c r="H23" s="1">
        <v>1185555953100</v>
      </c>
      <c r="I23" s="1">
        <f t="shared" si="1"/>
        <v>1068091702800</v>
      </c>
      <c r="K23" s="2">
        <v>1996</v>
      </c>
      <c r="L23" t="s">
        <v>84</v>
      </c>
      <c r="M23" s="13">
        <f>SUM(H161+H192+H223+H254)</f>
        <v>46394707300</v>
      </c>
      <c r="N23" s="1">
        <f>SUM(F161+F192+F223+F254)</f>
        <v>2423350</v>
      </c>
      <c r="O23" s="5">
        <f>M23/H6</f>
        <v>8.5845600815237233E-2</v>
      </c>
      <c r="Q23" s="5">
        <f t="shared" si="2"/>
        <v>8.5845600815237226</v>
      </c>
      <c r="S23" s="15">
        <f t="shared" si="8"/>
        <v>19144.864464480986</v>
      </c>
      <c r="T23" s="15">
        <f>SUM(G161+G192+G223+G254)</f>
        <v>1868880400</v>
      </c>
      <c r="U23" s="15">
        <f t="shared" si="3"/>
        <v>44525826900</v>
      </c>
      <c r="V23" s="5">
        <f>U23/I6</f>
        <v>9.3241020731401933E-2</v>
      </c>
      <c r="X23" s="5">
        <f t="shared" si="4"/>
        <v>9.3241020731401925</v>
      </c>
      <c r="Z23" s="15">
        <f t="shared" si="0"/>
        <v>18373.667402562569</v>
      </c>
      <c r="AA23" s="15">
        <f t="shared" si="5"/>
        <v>771.19706191841874</v>
      </c>
      <c r="AB23" s="5">
        <f>T23/G6</f>
        <v>2.9707737383854845E-2</v>
      </c>
      <c r="AD23" s="5">
        <f t="shared" si="6"/>
        <v>2.9707737383854846</v>
      </c>
      <c r="AF23" s="5">
        <f t="shared" si="7"/>
        <v>4.0282189688477681E-2</v>
      </c>
    </row>
    <row r="24" spans="5:32" x14ac:dyDescent="0.2">
      <c r="E24">
        <v>2014</v>
      </c>
      <c r="F24" s="1">
        <v>15252080</v>
      </c>
      <c r="G24" s="1">
        <v>123038021000</v>
      </c>
      <c r="H24" s="1">
        <v>1242553949700</v>
      </c>
      <c r="I24" s="1">
        <f t="shared" si="1"/>
        <v>1119515928700</v>
      </c>
      <c r="K24" s="2">
        <v>1996</v>
      </c>
      <c r="L24" t="s">
        <v>85</v>
      </c>
      <c r="M24" s="13">
        <f>SUM(H285+H316+H347+H378)</f>
        <v>81088738500</v>
      </c>
      <c r="N24" s="1">
        <f>SUM(F285+F316+F347+F378)</f>
        <v>2423140</v>
      </c>
      <c r="O24" s="5">
        <f>M24/H6</f>
        <v>0.15004106892775157</v>
      </c>
      <c r="Q24" s="5">
        <f t="shared" si="2"/>
        <v>15.004106892775157</v>
      </c>
      <c r="S24" s="15">
        <f t="shared" si="8"/>
        <v>33464.322531921389</v>
      </c>
      <c r="T24" s="15">
        <f>SUM(G285+G316+G347+G378)</f>
        <v>6486779900</v>
      </c>
      <c r="U24" s="15">
        <f t="shared" si="3"/>
        <v>74601958600</v>
      </c>
      <c r="V24" s="5">
        <f>U24/I6</f>
        <v>0.15622310134852968</v>
      </c>
      <c r="X24" s="5">
        <f t="shared" si="4"/>
        <v>15.622310134852968</v>
      </c>
      <c r="Z24" s="15">
        <f t="shared" si="0"/>
        <v>30787.3084510181</v>
      </c>
      <c r="AA24" s="15">
        <f t="shared" si="5"/>
        <v>2677.014080903291</v>
      </c>
      <c r="AB24" s="5">
        <f>T24/G6</f>
        <v>0.10311390377686458</v>
      </c>
      <c r="AD24" s="5">
        <f t="shared" si="6"/>
        <v>10.311390377686457</v>
      </c>
      <c r="AF24" s="5">
        <f t="shared" si="7"/>
        <v>7.9996063818405572E-2</v>
      </c>
    </row>
    <row r="25" spans="5:32" x14ac:dyDescent="0.2">
      <c r="E25">
        <v>2015</v>
      </c>
      <c r="F25" s="1">
        <v>15428710</v>
      </c>
      <c r="G25" s="1">
        <v>131902240800</v>
      </c>
      <c r="H25" s="1">
        <v>1297640311500</v>
      </c>
      <c r="I25" s="1">
        <f t="shared" si="1"/>
        <v>1165738070700</v>
      </c>
      <c r="K25" s="2">
        <v>1996</v>
      </c>
      <c r="L25" t="s">
        <v>86</v>
      </c>
      <c r="M25" s="13">
        <f>SUM(H409+H440+H471+H502)</f>
        <v>128589255200</v>
      </c>
      <c r="N25" s="1">
        <f>SUM(F409+F440+F471+F502)</f>
        <v>2423190</v>
      </c>
      <c r="O25" s="5">
        <f>M25/H6</f>
        <v>0.23793278400590034</v>
      </c>
      <c r="Q25" s="5">
        <f t="shared" si="2"/>
        <v>23.793278400590033</v>
      </c>
      <c r="S25" s="15">
        <f t="shared" si="8"/>
        <v>53066.10509287344</v>
      </c>
      <c r="T25" s="15">
        <f>SUM(G409+G440+G471+G502)</f>
        <v>14227505100</v>
      </c>
      <c r="U25" s="15">
        <f t="shared" si="3"/>
        <v>114361750100</v>
      </c>
      <c r="V25" s="5">
        <f>U25/I6</f>
        <v>0.23948362230086978</v>
      </c>
      <c r="X25" s="5">
        <f t="shared" si="4"/>
        <v>23.948362230086978</v>
      </c>
      <c r="Z25" s="15">
        <f t="shared" si="0"/>
        <v>47194.710319867612</v>
      </c>
      <c r="AA25" s="15">
        <f t="shared" si="5"/>
        <v>5871.3947730058308</v>
      </c>
      <c r="AB25" s="5">
        <f>T25/G6</f>
        <v>0.22616053180195772</v>
      </c>
      <c r="AD25" s="5">
        <f t="shared" si="6"/>
        <v>22.61605318019577</v>
      </c>
      <c r="AF25" s="5">
        <f t="shared" si="7"/>
        <v>0.11064303217147804</v>
      </c>
    </row>
    <row r="26" spans="5:32" x14ac:dyDescent="0.2">
      <c r="E26">
        <v>2016</v>
      </c>
      <c r="F26" s="1">
        <v>15606370</v>
      </c>
      <c r="G26" s="1">
        <v>126551648200</v>
      </c>
      <c r="H26" s="1">
        <v>1294133917400</v>
      </c>
      <c r="I26" s="1">
        <f t="shared" si="1"/>
        <v>1167582269200</v>
      </c>
      <c r="K26" s="2">
        <v>1996</v>
      </c>
      <c r="L26" t="s">
        <v>90</v>
      </c>
      <c r="M26" s="13">
        <f>SUM(H533+H564+H595+H626)</f>
        <v>264841935300</v>
      </c>
      <c r="N26" s="1">
        <f>SUM(F533+F564+F595+F626)</f>
        <v>2423195</v>
      </c>
      <c r="O26" s="5">
        <f>M26/H6</f>
        <v>0.49004544656107113</v>
      </c>
      <c r="P26">
        <f>SUM(O22:O26)</f>
        <v>1</v>
      </c>
      <c r="Q26" s="5">
        <f t="shared" si="2"/>
        <v>49.004544656107115</v>
      </c>
      <c r="R26" s="6">
        <f>SUM(Q22:Q26)</f>
        <v>100</v>
      </c>
      <c r="S26" s="15">
        <f t="shared" si="8"/>
        <v>109294.52037495951</v>
      </c>
      <c r="T26" s="15">
        <f>SUM(G533+G564+G595+G626)</f>
        <v>40150794500</v>
      </c>
      <c r="U26" s="15">
        <f t="shared" si="3"/>
        <v>224691140800</v>
      </c>
      <c r="V26" s="5">
        <f>U26/I6</f>
        <v>0.47052312727504114</v>
      </c>
      <c r="W26">
        <f>SUM(V22:V26)</f>
        <v>0.99999999958118235</v>
      </c>
      <c r="X26" s="5">
        <f t="shared" si="4"/>
        <v>47.052312727504116</v>
      </c>
      <c r="Y26" s="6">
        <f>SUM(X22:X26)</f>
        <v>99.999999958118238</v>
      </c>
      <c r="Z26" s="15">
        <f t="shared" si="0"/>
        <v>92725.158643856557</v>
      </c>
      <c r="AA26" s="15">
        <f t="shared" si="5"/>
        <v>16569.361731102945</v>
      </c>
      <c r="AB26" s="5">
        <f>T26/G6</f>
        <v>0.63823734186474612</v>
      </c>
      <c r="AC26" s="6">
        <f>SUM(AB22:AB26)</f>
        <v>1.0000000031792016</v>
      </c>
      <c r="AD26" s="5">
        <f t="shared" si="6"/>
        <v>63.82373418647461</v>
      </c>
      <c r="AE26" s="6">
        <f>SUM(AD22:AD26)</f>
        <v>100.00000031792015</v>
      </c>
      <c r="AF26" s="5">
        <f t="shared" si="7"/>
        <v>0.15160285871842441</v>
      </c>
    </row>
    <row r="27" spans="5:32" x14ac:dyDescent="0.2">
      <c r="E27">
        <v>2017</v>
      </c>
      <c r="F27" s="1">
        <v>15902680</v>
      </c>
      <c r="G27" s="1">
        <v>137191220400</v>
      </c>
      <c r="H27" s="1">
        <v>1379059719000</v>
      </c>
      <c r="I27" s="1">
        <f t="shared" si="1"/>
        <v>1241868498600</v>
      </c>
      <c r="K27" s="2">
        <v>1997</v>
      </c>
      <c r="L27" t="s">
        <v>83</v>
      </c>
      <c r="M27" s="13">
        <f>SUM(H38+H69+H100+H131)</f>
        <v>20136170700</v>
      </c>
      <c r="N27" s="1">
        <f>SUM(F38+F69+F100+F131)</f>
        <v>2450735</v>
      </c>
      <c r="O27" s="5">
        <f>M27/H7</f>
        <v>3.5437826486489972E-2</v>
      </c>
      <c r="Q27" s="5">
        <f t="shared" si="2"/>
        <v>3.5437826486489974</v>
      </c>
      <c r="S27" s="15">
        <f t="shared" si="8"/>
        <v>8216.3802695925915</v>
      </c>
      <c r="T27" s="15">
        <f>SUM(G38+G69+G100+G131)</f>
        <v>180924000</v>
      </c>
      <c r="U27" s="15">
        <f t="shared" si="3"/>
        <v>19955246700</v>
      </c>
      <c r="V27" s="5">
        <f>U27/I7</f>
        <v>3.9908782805806106E-2</v>
      </c>
      <c r="X27" s="5">
        <f t="shared" si="4"/>
        <v>3.9908782805806107</v>
      </c>
      <c r="Z27" s="15">
        <f t="shared" si="0"/>
        <v>8142.5558862953358</v>
      </c>
      <c r="AA27" s="15">
        <f t="shared" si="5"/>
        <v>73.824383297255721</v>
      </c>
      <c r="AB27" s="5">
        <f>T27/G7</f>
        <v>2.6532417479520382E-3</v>
      </c>
      <c r="AD27" s="5">
        <f t="shared" si="6"/>
        <v>0.26532417479520382</v>
      </c>
      <c r="AF27" s="5">
        <f t="shared" si="7"/>
        <v>8.9850251418458621E-3</v>
      </c>
    </row>
    <row r="28" spans="5:32" x14ac:dyDescent="0.2">
      <c r="E28">
        <v>2018</v>
      </c>
      <c r="F28" s="1">
        <v>16223575</v>
      </c>
      <c r="G28" s="1">
        <v>145481188100</v>
      </c>
      <c r="H28" s="1">
        <v>1442769777300</v>
      </c>
      <c r="I28" s="1">
        <f t="shared" si="1"/>
        <v>1297288589200</v>
      </c>
      <c r="K28" s="2">
        <v>1997</v>
      </c>
      <c r="L28" t="s">
        <v>84</v>
      </c>
      <c r="M28" s="13">
        <f>SUM(H162+H193+H224+H255)</f>
        <v>47894833500</v>
      </c>
      <c r="N28" s="1">
        <f>SUM(F162+F193+F224+F255)</f>
        <v>2451030</v>
      </c>
      <c r="O28" s="5">
        <f>M28/H7</f>
        <v>8.429054483394538E-2</v>
      </c>
      <c r="Q28" s="5">
        <f t="shared" si="2"/>
        <v>8.4290544833945376</v>
      </c>
      <c r="S28" s="15">
        <f t="shared" si="8"/>
        <v>19540.696564301539</v>
      </c>
      <c r="T28" s="15">
        <f>SUM(G162+G193+G224+G255)</f>
        <v>2008672100</v>
      </c>
      <c r="U28" s="15">
        <f t="shared" si="3"/>
        <v>45886161400</v>
      </c>
      <c r="V28" s="5">
        <f>U28/I7</f>
        <v>9.1768389368233866E-2</v>
      </c>
      <c r="X28" s="5">
        <f t="shared" si="4"/>
        <v>9.1768389368233869</v>
      </c>
      <c r="Z28" s="15">
        <f t="shared" si="0"/>
        <v>18721.174934619325</v>
      </c>
      <c r="AA28" s="15">
        <f t="shared" si="5"/>
        <v>819.52162968221523</v>
      </c>
      <c r="AB28" s="5">
        <f>T28/G7</f>
        <v>2.945707962275039E-2</v>
      </c>
      <c r="AD28" s="5">
        <f t="shared" si="6"/>
        <v>2.9457079622750388</v>
      </c>
      <c r="AF28" s="5">
        <f t="shared" si="7"/>
        <v>4.1939222943535234E-2</v>
      </c>
    </row>
    <row r="29" spans="5:32" x14ac:dyDescent="0.2">
      <c r="E29">
        <v>2019</v>
      </c>
      <c r="F29" s="1">
        <v>16498605</v>
      </c>
      <c r="G29" s="1">
        <v>150530074400</v>
      </c>
      <c r="H29" s="1">
        <v>1497273709100</v>
      </c>
      <c r="I29" s="1">
        <f t="shared" si="1"/>
        <v>1346743634700</v>
      </c>
      <c r="K29" s="2">
        <v>1997</v>
      </c>
      <c r="L29" t="s">
        <v>85</v>
      </c>
      <c r="M29" s="13">
        <f>SUM(H286+H317+H348+H379)</f>
        <v>83875976100</v>
      </c>
      <c r="N29" s="1">
        <f>SUM(F286+F317+F348+F379)</f>
        <v>2450800</v>
      </c>
      <c r="O29" s="5">
        <f>M29/H7</f>
        <v>0.14761407874918245</v>
      </c>
      <c r="Q29" s="5">
        <f t="shared" si="2"/>
        <v>14.761407874918245</v>
      </c>
      <c r="S29" s="15">
        <f t="shared" si="8"/>
        <v>34223.917129100701</v>
      </c>
      <c r="T29" s="15">
        <f>SUM(G286+G317+G348+G379)</f>
        <v>6867890800</v>
      </c>
      <c r="U29" s="15">
        <f t="shared" si="3"/>
        <v>77008085300</v>
      </c>
      <c r="V29" s="5">
        <f>U29/I7</f>
        <v>0.1540095693494328</v>
      </c>
      <c r="X29" s="5">
        <f t="shared" si="4"/>
        <v>15.400956934943281</v>
      </c>
      <c r="Z29" s="15">
        <f t="shared" si="0"/>
        <v>31421.611433001468</v>
      </c>
      <c r="AA29" s="15">
        <f t="shared" si="5"/>
        <v>2802.305696099233</v>
      </c>
      <c r="AB29" s="5">
        <f>T29/G7</f>
        <v>0.10071728787190048</v>
      </c>
      <c r="AD29" s="5">
        <f t="shared" si="6"/>
        <v>10.071728787190048</v>
      </c>
      <c r="AF29" s="5">
        <f t="shared" si="7"/>
        <v>8.18815007507257E-2</v>
      </c>
    </row>
    <row r="30" spans="5:32" x14ac:dyDescent="0.2">
      <c r="E30">
        <v>2020</v>
      </c>
      <c r="F30" s="1">
        <v>16602280</v>
      </c>
      <c r="G30" s="1">
        <v>156822597700</v>
      </c>
      <c r="H30" s="1">
        <v>1602916090000</v>
      </c>
      <c r="I30" s="1">
        <f t="shared" si="1"/>
        <v>1446093492300</v>
      </c>
      <c r="K30" s="2">
        <v>1997</v>
      </c>
      <c r="L30" t="s">
        <v>86</v>
      </c>
      <c r="M30" s="13">
        <f>SUM(H410+H441+H472+H503)</f>
        <v>133483670700</v>
      </c>
      <c r="N30" s="1">
        <f>SUM(F410+F441+F472+F503)</f>
        <v>2450915</v>
      </c>
      <c r="O30" s="5">
        <f>M30/H7</f>
        <v>0.23491910311658043</v>
      </c>
      <c r="Q30" s="5">
        <f t="shared" si="2"/>
        <v>23.491910311658042</v>
      </c>
      <c r="S30" s="15">
        <f t="shared" si="8"/>
        <v>54462.790712856222</v>
      </c>
      <c r="T30" s="15">
        <f>SUM(G410+G441+G472+G503)</f>
        <v>15058627700</v>
      </c>
      <c r="U30" s="15">
        <f t="shared" si="3"/>
        <v>118425043000</v>
      </c>
      <c r="V30" s="5">
        <f>U30/I7</f>
        <v>0.23683993442462672</v>
      </c>
      <c r="X30" s="5">
        <f t="shared" si="4"/>
        <v>23.683993442462672</v>
      </c>
      <c r="Z30" s="15">
        <f t="shared" si="0"/>
        <v>48318.706687094411</v>
      </c>
      <c r="AA30" s="15">
        <f t="shared" si="5"/>
        <v>6144.0840257618074</v>
      </c>
      <c r="AB30" s="5">
        <f>T30/G7</f>
        <v>0.22083405010118604</v>
      </c>
      <c r="AD30" s="5">
        <f t="shared" si="6"/>
        <v>22.083405010118604</v>
      </c>
      <c r="AF30" s="5">
        <f t="shared" si="7"/>
        <v>0.11281250823438735</v>
      </c>
    </row>
    <row r="31" spans="5:32" x14ac:dyDescent="0.2">
      <c r="E31">
        <v>2021</v>
      </c>
      <c r="F31" s="1">
        <v>16875260</v>
      </c>
      <c r="G31" s="1">
        <v>174954210400</v>
      </c>
      <c r="H31" s="1">
        <v>1730477039300</v>
      </c>
      <c r="I31" s="1">
        <f t="shared" si="1"/>
        <v>1555522828900</v>
      </c>
      <c r="K31" s="2">
        <v>1997</v>
      </c>
      <c r="L31" t="s">
        <v>90</v>
      </c>
      <c r="M31" s="13">
        <f>SUM(H534+H565+H596+H627)</f>
        <v>282820571100</v>
      </c>
      <c r="N31" s="1">
        <f>SUM(F534+F565+F596+F627)</f>
        <v>2450950</v>
      </c>
      <c r="O31" s="5">
        <f>M31/H7</f>
        <v>0.49773844663781086</v>
      </c>
      <c r="P31">
        <f>SUM(O27:O31)</f>
        <v>0.99999999982400911</v>
      </c>
      <c r="Q31" s="5">
        <f t="shared" si="2"/>
        <v>49.773844663781084</v>
      </c>
      <c r="R31" s="6">
        <f>SUM(Q27:Q31)</f>
        <v>99.999999982400908</v>
      </c>
      <c r="S31" s="15">
        <f t="shared" si="8"/>
        <v>115392.22387237602</v>
      </c>
      <c r="T31" s="15">
        <f>SUM(G534+G565+G596+G627)</f>
        <v>44073676400</v>
      </c>
      <c r="U31" s="15">
        <f t="shared" si="3"/>
        <v>238746894700</v>
      </c>
      <c r="V31" s="5">
        <f>U31/I7</f>
        <v>0.47747332365191764</v>
      </c>
      <c r="W31">
        <f>SUM(V27:V31)</f>
        <v>0.99999999960001706</v>
      </c>
      <c r="X31" s="5">
        <f t="shared" si="4"/>
        <v>47.747332365191767</v>
      </c>
      <c r="Y31" s="6">
        <f>SUM(X27:X31)</f>
        <v>99.999999960001716</v>
      </c>
      <c r="Z31" s="15">
        <f t="shared" si="0"/>
        <v>97409.940920867419</v>
      </c>
      <c r="AA31" s="15">
        <f t="shared" si="5"/>
        <v>17982.282951508598</v>
      </c>
      <c r="AB31" s="5">
        <f>T31/G7</f>
        <v>0.64633834212270624</v>
      </c>
      <c r="AC31" s="6">
        <f>SUM(AB27:AB31)</f>
        <v>1.0000000014664951</v>
      </c>
      <c r="AD31" s="5">
        <f t="shared" si="6"/>
        <v>64.633834212270628</v>
      </c>
      <c r="AE31" s="6">
        <f>SUM(AD27:AD31)</f>
        <v>100.00000014664953</v>
      </c>
      <c r="AF31" s="5">
        <f t="shared" si="7"/>
        <v>0.15583617637352262</v>
      </c>
    </row>
    <row r="32" spans="5:32" x14ac:dyDescent="0.2">
      <c r="E32">
        <v>2022</v>
      </c>
      <c r="F32" s="1">
        <v>17383360</v>
      </c>
      <c r="G32" s="1">
        <v>183067557900</v>
      </c>
      <c r="H32" s="1">
        <v>1797548769600</v>
      </c>
      <c r="I32" s="1">
        <f t="shared" si="1"/>
        <v>1614481211700</v>
      </c>
      <c r="K32" s="2">
        <v>1998</v>
      </c>
      <c r="L32" t="s">
        <v>83</v>
      </c>
      <c r="M32" s="13">
        <f>SUM(H39+H70+H101+H132)</f>
        <v>21332179300</v>
      </c>
      <c r="N32" s="1">
        <f>SUM(F39+F70+F101+F132)</f>
        <v>2468965</v>
      </c>
      <c r="O32" s="5">
        <f>M32/H8</f>
        <v>3.5861711674273343E-2</v>
      </c>
      <c r="Q32" s="5">
        <f t="shared" si="2"/>
        <v>3.5861711674273344</v>
      </c>
      <c r="S32" s="15">
        <f t="shared" si="8"/>
        <v>8640.1302975133312</v>
      </c>
      <c r="T32" s="15">
        <f>SUM(G39+G70+G101+G132)</f>
        <v>188048800</v>
      </c>
      <c r="U32" s="15">
        <f t="shared" si="3"/>
        <v>21144130500</v>
      </c>
      <c r="V32" s="5">
        <f>U32/I8</f>
        <v>4.0462690792149904E-2</v>
      </c>
      <c r="X32" s="5">
        <f t="shared" si="4"/>
        <v>4.0462690792149907</v>
      </c>
      <c r="Z32" s="15">
        <f t="shared" si="0"/>
        <v>8563.9652647971925</v>
      </c>
      <c r="AA32" s="15">
        <f t="shared" si="5"/>
        <v>76.165032716138143</v>
      </c>
      <c r="AB32" s="5">
        <f>T32/G8</f>
        <v>2.6014245137397128E-3</v>
      </c>
      <c r="AD32" s="5">
        <f t="shared" si="6"/>
        <v>0.2601424513739713</v>
      </c>
      <c r="AE32" s="5"/>
      <c r="AF32" s="5">
        <f t="shared" si="7"/>
        <v>8.815264364480567E-3</v>
      </c>
    </row>
    <row r="33" spans="2:32" x14ac:dyDescent="0.2">
      <c r="B33" t="s">
        <v>9</v>
      </c>
      <c r="C33" t="s">
        <v>30</v>
      </c>
      <c r="D33" t="s">
        <v>32</v>
      </c>
      <c r="E33">
        <v>1992</v>
      </c>
      <c r="F33" s="1">
        <v>568290</v>
      </c>
      <c r="G33" s="1">
        <v>1838500</v>
      </c>
      <c r="H33" s="1">
        <v>1760233500</v>
      </c>
      <c r="K33" s="2">
        <v>1998</v>
      </c>
      <c r="L33" t="s">
        <v>84</v>
      </c>
      <c r="M33" s="13">
        <f>SUM(H163+H194+H225+H256)</f>
        <v>50414342600</v>
      </c>
      <c r="N33" s="1">
        <f>SUM(F163+F194+F225+F256)</f>
        <v>2468845</v>
      </c>
      <c r="O33" s="5">
        <f>M33/H8</f>
        <v>8.4751988680745627E-2</v>
      </c>
      <c r="Q33" s="5">
        <f t="shared" si="2"/>
        <v>8.4751988680745622</v>
      </c>
      <c r="S33" s="15">
        <f t="shared" si="8"/>
        <v>20420.213743673663</v>
      </c>
      <c r="T33" s="15">
        <f>SUM(G163+G194+G225+G256)</f>
        <v>2127163600</v>
      </c>
      <c r="U33" s="15">
        <f t="shared" si="3"/>
        <v>48287179000</v>
      </c>
      <c r="V33" s="5">
        <f>U33/I8</f>
        <v>9.2405274981735203E-2</v>
      </c>
      <c r="X33" s="5">
        <f t="shared" si="4"/>
        <v>9.2405274981735204</v>
      </c>
      <c r="Z33" s="15">
        <f t="shared" si="0"/>
        <v>19558.611010411751</v>
      </c>
      <c r="AA33" s="15">
        <f t="shared" si="5"/>
        <v>861.60273326190998</v>
      </c>
      <c r="AB33" s="5">
        <f>T33/G8</f>
        <v>2.9426699525733836E-2</v>
      </c>
      <c r="AD33" s="5">
        <f t="shared" si="6"/>
        <v>2.9426699525733837</v>
      </c>
      <c r="AF33" s="5">
        <f t="shared" si="7"/>
        <v>4.2193619718052217E-2</v>
      </c>
    </row>
    <row r="34" spans="2:32" x14ac:dyDescent="0.2">
      <c r="E34">
        <v>1993</v>
      </c>
      <c r="F34" s="1">
        <v>582610</v>
      </c>
      <c r="G34" s="1">
        <v>4205200</v>
      </c>
      <c r="H34" s="1">
        <v>1366540000</v>
      </c>
      <c r="K34" s="2">
        <v>1998</v>
      </c>
      <c r="L34" t="s">
        <v>85</v>
      </c>
      <c r="M34" s="13">
        <f>SUM(H287+H318+H349+H380)</f>
        <v>87011275900</v>
      </c>
      <c r="N34" s="1">
        <f>SUM(F287+F318+F349+F380)</f>
        <v>2469050</v>
      </c>
      <c r="O34" s="5">
        <f>M34/H8</f>
        <v>0.14627541072357519</v>
      </c>
      <c r="Q34" s="5">
        <f t="shared" si="2"/>
        <v>14.62754107235752</v>
      </c>
      <c r="S34" s="15">
        <f t="shared" si="8"/>
        <v>35240.791356999653</v>
      </c>
      <c r="T34" s="15">
        <f>SUM(G287+G318+G349+G380)</f>
        <v>7165877700</v>
      </c>
      <c r="U34" s="15">
        <f t="shared" si="3"/>
        <v>79845398200</v>
      </c>
      <c r="V34" s="5">
        <f>U34/I8</f>
        <v>0.15279699766054142</v>
      </c>
      <c r="X34" s="5">
        <f t="shared" si="4"/>
        <v>15.279699766054142</v>
      </c>
      <c r="Z34" s="15">
        <f t="shared" ref="Z34:Z66" si="9">U34/N34</f>
        <v>32338.510034223691</v>
      </c>
      <c r="AA34" s="15">
        <f t="shared" si="5"/>
        <v>2902.2813227759666</v>
      </c>
      <c r="AB34" s="5">
        <f>T34/G8</f>
        <v>9.9131129319840125E-2</v>
      </c>
      <c r="AD34" s="5">
        <f t="shared" si="6"/>
        <v>9.9131129319840117</v>
      </c>
      <c r="AF34" s="5">
        <f t="shared" si="7"/>
        <v>8.235573637876055E-2</v>
      </c>
    </row>
    <row r="35" spans="2:32" ht="15" customHeight="1" x14ac:dyDescent="0.2">
      <c r="E35">
        <v>1994</v>
      </c>
      <c r="F35" s="1">
        <v>590780</v>
      </c>
      <c r="G35" s="1">
        <v>2678100</v>
      </c>
      <c r="H35" s="1">
        <v>1384672700</v>
      </c>
      <c r="K35" s="2">
        <v>1998</v>
      </c>
      <c r="L35" t="s">
        <v>86</v>
      </c>
      <c r="M35" s="13">
        <f>SUM(H411+H442+H473+H504)</f>
        <v>138249802400</v>
      </c>
      <c r="N35" s="1">
        <f>SUM(F411+F442+F473+F504)</f>
        <v>2468975</v>
      </c>
      <c r="O35" s="5">
        <f>M35/H8</f>
        <v>0.2324129421082666</v>
      </c>
      <c r="Q35" s="5">
        <f t="shared" si="2"/>
        <v>23.241294210826659</v>
      </c>
      <c r="S35" s="15">
        <f t="shared" si="8"/>
        <v>55994.816634433315</v>
      </c>
      <c r="T35" s="15">
        <f>SUM(G411+G442+G473+G504)</f>
        <v>15668218100</v>
      </c>
      <c r="U35" s="15">
        <f t="shared" si="3"/>
        <v>122581584300</v>
      </c>
      <c r="V35" s="5">
        <f>U35/I8</f>
        <v>0.23457955588870194</v>
      </c>
      <c r="X35" s="5">
        <f t="shared" si="4"/>
        <v>23.457955588870195</v>
      </c>
      <c r="Z35" s="15">
        <f t="shared" si="9"/>
        <v>49648.775017973043</v>
      </c>
      <c r="AA35" s="15">
        <f t="shared" si="5"/>
        <v>6346.0416164602721</v>
      </c>
      <c r="AB35" s="5">
        <f>T35/G8</f>
        <v>0.21675058097664154</v>
      </c>
      <c r="AD35" s="5">
        <f t="shared" si="6"/>
        <v>21.675058097664156</v>
      </c>
      <c r="AF35" s="5">
        <f t="shared" si="7"/>
        <v>0.11333266180494737</v>
      </c>
    </row>
    <row r="36" spans="2:32" x14ac:dyDescent="0.2">
      <c r="E36">
        <v>1995</v>
      </c>
      <c r="F36" s="1">
        <v>600340</v>
      </c>
      <c r="G36" s="1">
        <v>2280900</v>
      </c>
      <c r="H36" s="1">
        <v>1505533600</v>
      </c>
      <c r="K36" s="2">
        <v>1998</v>
      </c>
      <c r="L36" t="s">
        <v>90</v>
      </c>
      <c r="M36" s="13">
        <f>SUM(H535+H566+H597+H628)</f>
        <v>297837941400</v>
      </c>
      <c r="N36" s="1">
        <f>SUM(F535+F566+F597+F628)</f>
        <v>2469025</v>
      </c>
      <c r="O36" s="5">
        <f>M36/H8</f>
        <v>0.50069794698125014</v>
      </c>
      <c r="P36">
        <f>SUM(O32:O36)</f>
        <v>1.0000000001681109</v>
      </c>
      <c r="Q36" s="5">
        <f t="shared" si="2"/>
        <v>50.069794698125015</v>
      </c>
      <c r="R36" s="6">
        <f>SUM(Q32:Q36)</f>
        <v>100.0000000168111</v>
      </c>
      <c r="S36" s="15">
        <f t="shared" si="8"/>
        <v>120629.77952835633</v>
      </c>
      <c r="T36" s="15">
        <f>SUM(G535+G566+G597+G628)</f>
        <v>47137548200</v>
      </c>
      <c r="U36" s="15">
        <f t="shared" si="3"/>
        <v>250700393200</v>
      </c>
      <c r="V36" s="5">
        <f>U36/I8</f>
        <v>0.47975548067687157</v>
      </c>
      <c r="W36">
        <f>SUM(V32:V36)</f>
        <v>1</v>
      </c>
      <c r="X36" s="5">
        <f t="shared" si="4"/>
        <v>47.975548067687157</v>
      </c>
      <c r="Y36" s="6">
        <f>SUM(X32:X36)</f>
        <v>100</v>
      </c>
      <c r="Z36" s="15">
        <f t="shared" si="9"/>
        <v>101538.21577343284</v>
      </c>
      <c r="AA36" s="15">
        <f t="shared" si="5"/>
        <v>19091.563754923503</v>
      </c>
      <c r="AB36" s="5">
        <f>T36/G8</f>
        <v>0.65209016704742218</v>
      </c>
      <c r="AC36" s="6">
        <f>SUM(AB32:AB36)</f>
        <v>1.0000000013833774</v>
      </c>
      <c r="AD36" s="5">
        <f t="shared" si="6"/>
        <v>65.209016704742211</v>
      </c>
      <c r="AE36" s="6">
        <f>SUM(AD32:AD36)</f>
        <v>100.00000013833773</v>
      </c>
      <c r="AF36" s="5">
        <f t="shared" si="7"/>
        <v>0.15826576015946101</v>
      </c>
    </row>
    <row r="37" spans="2:32" x14ac:dyDescent="0.2">
      <c r="E37">
        <v>1996</v>
      </c>
      <c r="F37" s="1">
        <v>605620</v>
      </c>
      <c r="G37" s="1">
        <v>2861900</v>
      </c>
      <c r="H37" s="1">
        <v>1431882500</v>
      </c>
      <c r="K37" s="2">
        <v>1999</v>
      </c>
      <c r="L37" t="s">
        <v>83</v>
      </c>
      <c r="M37" s="13">
        <f>SUM(H40+H71+H102+H133)</f>
        <v>22266747900</v>
      </c>
      <c r="N37" s="1">
        <f>SUM(F40+F71+F102+F133)</f>
        <v>2509265</v>
      </c>
      <c r="O37" s="5">
        <f>M37/H9</f>
        <v>3.5321049116584118E-2</v>
      </c>
      <c r="Q37" s="5">
        <f t="shared" si="2"/>
        <v>3.5321049116584118</v>
      </c>
      <c r="S37" s="15">
        <f t="shared" si="8"/>
        <v>8873.812809727151</v>
      </c>
      <c r="T37" s="15">
        <f>SUM(G40+G71+G102+G133)</f>
        <v>190742900</v>
      </c>
      <c r="U37" s="15">
        <f t="shared" si="3"/>
        <v>22076005000</v>
      </c>
      <c r="V37" s="5">
        <f>U37/I9</f>
        <v>3.9830506905801116E-2</v>
      </c>
      <c r="X37" s="5">
        <f t="shared" si="4"/>
        <v>3.9830506905801117</v>
      </c>
      <c r="Z37" s="15">
        <f t="shared" si="9"/>
        <v>8797.7973629728222</v>
      </c>
      <c r="AA37" s="15">
        <f t="shared" si="5"/>
        <v>76.015446754328465</v>
      </c>
      <c r="AB37" s="5">
        <f>T37/G9</f>
        <v>2.504453274056624E-3</v>
      </c>
      <c r="AD37" s="5">
        <f t="shared" si="6"/>
        <v>0.25044532740566239</v>
      </c>
      <c r="AF37" s="5">
        <f t="shared" si="7"/>
        <v>8.5662666527068377E-3</v>
      </c>
    </row>
    <row r="38" spans="2:32" x14ac:dyDescent="0.2">
      <c r="E38">
        <v>1997</v>
      </c>
      <c r="F38" s="1">
        <v>612600</v>
      </c>
      <c r="G38" s="1">
        <v>3029500</v>
      </c>
      <c r="H38" s="1">
        <v>1529645500</v>
      </c>
      <c r="K38" s="2">
        <v>1999</v>
      </c>
      <c r="L38" t="s">
        <v>84</v>
      </c>
      <c r="M38" s="13">
        <f>SUM(H164+H195+H226+H257)</f>
        <v>53223644100</v>
      </c>
      <c r="N38" s="1">
        <f>SUM(F164+F195+F226+F257)</f>
        <v>2509250</v>
      </c>
      <c r="O38" s="5">
        <f>M38/H9</f>
        <v>8.4427009990969207E-2</v>
      </c>
      <c r="Q38" s="5">
        <f t="shared" si="2"/>
        <v>8.4427009990969211</v>
      </c>
      <c r="S38" s="15">
        <f t="shared" si="8"/>
        <v>21210.977025007473</v>
      </c>
      <c r="T38" s="15">
        <f>SUM(G164+G195+G226+G257)</f>
        <v>2229629400</v>
      </c>
      <c r="U38" s="15">
        <f t="shared" si="3"/>
        <v>50994014700</v>
      </c>
      <c r="V38" s="5">
        <f>U38/I9</f>
        <v>9.2005662014611495E-2</v>
      </c>
      <c r="X38" s="5">
        <f t="shared" si="4"/>
        <v>9.2005662014611502</v>
      </c>
      <c r="Z38" s="15">
        <f t="shared" si="9"/>
        <v>20322.412952077313</v>
      </c>
      <c r="AA38" s="15">
        <f t="shared" si="5"/>
        <v>888.56407293015843</v>
      </c>
      <c r="AB38" s="5">
        <f>T38/G9</f>
        <v>2.927502229840747E-2</v>
      </c>
      <c r="AD38" s="5">
        <f t="shared" si="6"/>
        <v>2.9275022298407469</v>
      </c>
      <c r="AF38" s="5">
        <f t="shared" si="7"/>
        <v>4.1891708801652688E-2</v>
      </c>
    </row>
    <row r="39" spans="2:32" x14ac:dyDescent="0.2">
      <c r="E39">
        <v>1998</v>
      </c>
      <c r="F39" s="1">
        <v>617225</v>
      </c>
      <c r="G39" s="1">
        <v>2593300</v>
      </c>
      <c r="H39" s="1">
        <v>1640044900</v>
      </c>
      <c r="J39" s="1"/>
      <c r="K39" s="2">
        <v>1999</v>
      </c>
      <c r="L39" t="s">
        <v>85</v>
      </c>
      <c r="M39" s="13">
        <f>SUM(H288+H319+H350+H381)</f>
        <v>91866552900</v>
      </c>
      <c r="N39" s="1">
        <f>SUM(F288+F319+F350+F381)</f>
        <v>2509415</v>
      </c>
      <c r="O39" s="5">
        <f>M39/H9</f>
        <v>0.14572505341708086</v>
      </c>
      <c r="Q39" s="5">
        <f t="shared" si="2"/>
        <v>14.572505341708087</v>
      </c>
      <c r="S39" s="15">
        <f t="shared" si="8"/>
        <v>36608.752597717001</v>
      </c>
      <c r="T39" s="15">
        <f>SUM(G288+G319+G350+G381)</f>
        <v>7502162700</v>
      </c>
      <c r="U39" s="15">
        <f t="shared" si="3"/>
        <v>84364390200</v>
      </c>
      <c r="V39" s="5">
        <f>U39/I9</f>
        <v>0.15221397288435112</v>
      </c>
      <c r="X39" s="5">
        <f t="shared" si="4"/>
        <v>15.221397288435112</v>
      </c>
      <c r="Z39" s="15">
        <f t="shared" si="9"/>
        <v>33619.14637475268</v>
      </c>
      <c r="AA39" s="15">
        <f t="shared" si="5"/>
        <v>2989.6062229643162</v>
      </c>
      <c r="AB39" s="5">
        <f>T39/G9</f>
        <v>9.8503356803951725E-2</v>
      </c>
      <c r="AD39" s="5">
        <f t="shared" si="6"/>
        <v>9.8503356803951725</v>
      </c>
      <c r="AF39" s="5">
        <f t="shared" si="7"/>
        <v>8.1663700913719592E-2</v>
      </c>
    </row>
    <row r="40" spans="2:32" x14ac:dyDescent="0.2">
      <c r="E40">
        <v>1999</v>
      </c>
      <c r="F40" s="1">
        <v>627325</v>
      </c>
      <c r="G40" s="1">
        <v>3551800</v>
      </c>
      <c r="H40" s="1">
        <v>1638297000</v>
      </c>
      <c r="K40" s="2">
        <v>1999</v>
      </c>
      <c r="L40" t="s">
        <v>86</v>
      </c>
      <c r="M40" s="13">
        <f>SUM(H412+H443+H474+H505)</f>
        <v>145833338500</v>
      </c>
      <c r="N40" s="1">
        <f>SUM(F412+F443+F474+F505)</f>
        <v>2509320</v>
      </c>
      <c r="O40" s="5">
        <f>M40/H9</f>
        <v>0.23133088563839793</v>
      </c>
      <c r="Q40" s="5">
        <f t="shared" si="2"/>
        <v>23.133088563839792</v>
      </c>
      <c r="S40" s="15">
        <f t="shared" si="8"/>
        <v>58116.676430267958</v>
      </c>
      <c r="T40" s="15">
        <f>SUM(G412+G443+G474+G505)</f>
        <v>16301814400</v>
      </c>
      <c r="U40" s="15">
        <f t="shared" si="3"/>
        <v>129531524100</v>
      </c>
      <c r="V40" s="5">
        <f>U40/I9</f>
        <v>0.23370651823932789</v>
      </c>
      <c r="X40" s="5">
        <f t="shared" si="4"/>
        <v>23.370651823932789</v>
      </c>
      <c r="Z40" s="15">
        <f t="shared" si="9"/>
        <v>51620.169647553921</v>
      </c>
      <c r="AA40" s="15">
        <f t="shared" si="5"/>
        <v>6496.5067827140419</v>
      </c>
      <c r="AB40" s="5">
        <f>T40/G9</f>
        <v>0.21404273735558924</v>
      </c>
      <c r="AD40" s="5">
        <f t="shared" si="6"/>
        <v>21.404273735558924</v>
      </c>
      <c r="AF40" s="5">
        <f t="shared" si="7"/>
        <v>0.11178386621108588</v>
      </c>
    </row>
    <row r="41" spans="2:32" x14ac:dyDescent="0.2">
      <c r="E41">
        <v>2000</v>
      </c>
      <c r="F41" s="1">
        <v>635675</v>
      </c>
      <c r="G41" s="1">
        <v>3789700</v>
      </c>
      <c r="H41" s="1">
        <v>1735399100</v>
      </c>
      <c r="K41" s="2">
        <v>1999</v>
      </c>
      <c r="L41" t="s">
        <v>90</v>
      </c>
      <c r="M41" s="13">
        <f>SUM(H536+H567+H598+H629)</f>
        <v>317219867600</v>
      </c>
      <c r="N41" s="1">
        <f>SUM(F536+F567+F598+F629)</f>
        <v>2509360</v>
      </c>
      <c r="O41" s="5">
        <f>M41/H9</f>
        <v>0.50319600215422167</v>
      </c>
      <c r="P41">
        <f>SUM(O37:O41)</f>
        <v>1.0000000003172538</v>
      </c>
      <c r="Q41" s="5">
        <f t="shared" si="2"/>
        <v>50.31960021542217</v>
      </c>
      <c r="R41" s="6">
        <f>SUM(Q37:Q41)</f>
        <v>100.00000003172538</v>
      </c>
      <c r="S41" s="15">
        <f t="shared" si="8"/>
        <v>126414.65058819779</v>
      </c>
      <c r="T41" s="15">
        <f>SUM(G536+G567+G598+G629)</f>
        <v>49937143300</v>
      </c>
      <c r="U41" s="15">
        <f t="shared" si="3"/>
        <v>267282724300</v>
      </c>
      <c r="V41" s="5">
        <f>U41/I9</f>
        <v>0.48224334049718171</v>
      </c>
      <c r="W41" s="6">
        <f>SUM(V37:V41)</f>
        <v>1.0000000005412732</v>
      </c>
      <c r="X41" s="5">
        <f t="shared" si="4"/>
        <v>48.224334049718173</v>
      </c>
      <c r="Y41" s="6">
        <f>SUM(X37:X41)</f>
        <v>100.00000005412733</v>
      </c>
      <c r="Z41" s="15">
        <f t="shared" si="9"/>
        <v>106514.3001801256</v>
      </c>
      <c r="AA41" s="15">
        <f t="shared" si="5"/>
        <v>19900.35040807218</v>
      </c>
      <c r="AB41" s="5">
        <f>T41/G9</f>
        <v>0.6556744289549955</v>
      </c>
      <c r="AC41" s="6">
        <f>SUM(AB37:AB41)</f>
        <v>0.99999999868700051</v>
      </c>
      <c r="AD41" s="5">
        <f t="shared" si="6"/>
        <v>65.567442895499553</v>
      </c>
      <c r="AE41" s="6">
        <f>SUM(AD37:AD41)</f>
        <v>99.999999868700058</v>
      </c>
      <c r="AF41" s="5">
        <f t="shared" si="7"/>
        <v>0.15742123492393767</v>
      </c>
    </row>
    <row r="42" spans="2:32" x14ac:dyDescent="0.2">
      <c r="E42">
        <v>2001</v>
      </c>
      <c r="F42" s="1">
        <v>639420</v>
      </c>
      <c r="G42" s="1">
        <v>6578100</v>
      </c>
      <c r="H42" s="1">
        <v>2206795000</v>
      </c>
      <c r="K42" s="2">
        <v>2000</v>
      </c>
      <c r="L42" t="s">
        <v>83</v>
      </c>
      <c r="M42" s="13">
        <f>SUM(H41+H72+H103+H134)</f>
        <v>23338062500</v>
      </c>
      <c r="N42" s="1">
        <f>SUM(F41+F72+F103+F134)</f>
        <v>2542795</v>
      </c>
      <c r="O42" s="5">
        <f>M42/H10</f>
        <v>3.3997992669373561E-2</v>
      </c>
      <c r="Q42" s="5">
        <f t="shared" si="2"/>
        <v>3.399799266937356</v>
      </c>
      <c r="S42" s="15">
        <f t="shared" si="8"/>
        <v>9178.1140437982613</v>
      </c>
      <c r="T42" s="15">
        <f>SUM(G41+G72+G103+G134)</f>
        <v>203459200</v>
      </c>
      <c r="U42" s="15">
        <f t="shared" si="3"/>
        <v>23134603300</v>
      </c>
      <c r="V42" s="5">
        <f>U42/I10</f>
        <v>3.831789922782973E-2</v>
      </c>
      <c r="X42" s="5">
        <f t="shared" si="4"/>
        <v>3.8317899227829728</v>
      </c>
      <c r="Z42" s="15">
        <f t="shared" si="9"/>
        <v>9098.1000434561174</v>
      </c>
      <c r="AA42" s="15">
        <f t="shared" si="5"/>
        <v>80.014000342143191</v>
      </c>
      <c r="AB42" s="5">
        <f>T42/G10</f>
        <v>2.4602183570031793E-3</v>
      </c>
      <c r="AD42" s="5">
        <f t="shared" si="6"/>
        <v>0.24602183570031794</v>
      </c>
      <c r="AF42" s="5">
        <f t="shared" si="7"/>
        <v>8.7179130658339779E-3</v>
      </c>
    </row>
    <row r="43" spans="2:32" x14ac:dyDescent="0.2">
      <c r="E43">
        <v>2002</v>
      </c>
      <c r="F43" s="1">
        <v>638435</v>
      </c>
      <c r="G43" s="1">
        <v>3631800</v>
      </c>
      <c r="H43" s="1">
        <v>2172156200</v>
      </c>
      <c r="K43" s="2">
        <v>2000</v>
      </c>
      <c r="L43" t="s">
        <v>84</v>
      </c>
      <c r="M43" s="13">
        <f>SUM(H165+H196+H227+H258)</f>
        <v>56266284300</v>
      </c>
      <c r="N43" s="1">
        <f>SUM(F165+F196+F227+F258)</f>
        <v>2543080</v>
      </c>
      <c r="O43" s="5">
        <f>M43/H10</f>
        <v>8.1966560898715929E-2</v>
      </c>
      <c r="Q43" s="5">
        <f t="shared" si="2"/>
        <v>8.1966560898715937</v>
      </c>
      <c r="S43" s="15">
        <f t="shared" si="8"/>
        <v>22125.251388080596</v>
      </c>
      <c r="T43" s="15">
        <f>SUM(G165+G196+G227+G258)</f>
        <v>2381547300</v>
      </c>
      <c r="U43" s="15">
        <f t="shared" si="3"/>
        <v>53884737000</v>
      </c>
      <c r="V43" s="5">
        <f>U43/I10</f>
        <v>8.9249419819708256E-2</v>
      </c>
      <c r="X43" s="5">
        <f t="shared" si="4"/>
        <v>8.9249419819708251</v>
      </c>
      <c r="Z43" s="15">
        <f t="shared" si="9"/>
        <v>21188.769916793808</v>
      </c>
      <c r="AA43" s="15">
        <f t="shared" si="5"/>
        <v>936.48147128678613</v>
      </c>
      <c r="AB43" s="5">
        <f>T43/G10</f>
        <v>2.8797549511309185E-2</v>
      </c>
      <c r="AD43" s="5">
        <f t="shared" si="6"/>
        <v>2.8797549511309186</v>
      </c>
      <c r="AF43" s="5">
        <f t="shared" si="7"/>
        <v>4.2326365240364733E-2</v>
      </c>
    </row>
    <row r="44" spans="2:32" x14ac:dyDescent="0.2">
      <c r="E44">
        <v>2003</v>
      </c>
      <c r="F44" s="1">
        <v>652585</v>
      </c>
      <c r="G44" s="1">
        <v>5428100</v>
      </c>
      <c r="H44" s="1">
        <v>2118665400</v>
      </c>
      <c r="K44" s="2">
        <v>2000</v>
      </c>
      <c r="L44" t="s">
        <v>85</v>
      </c>
      <c r="M44" s="13">
        <f>SUM(H289+H320+H351+H382)</f>
        <v>97521138600</v>
      </c>
      <c r="N44" s="1">
        <f>SUM(F289+F320+F351+F382)</f>
        <v>2542930</v>
      </c>
      <c r="O44" s="5">
        <f>M44/H10</f>
        <v>0.14206504739764764</v>
      </c>
      <c r="Q44" s="5">
        <f t="shared" si="2"/>
        <v>14.206504739764764</v>
      </c>
      <c r="S44" s="15">
        <f t="shared" si="8"/>
        <v>38349.910772219446</v>
      </c>
      <c r="T44" s="15">
        <f>SUM(G289+G320+G351+G382)</f>
        <v>7974037500</v>
      </c>
      <c r="U44" s="15">
        <f t="shared" si="3"/>
        <v>89547101100</v>
      </c>
      <c r="V44" s="5">
        <f>U44/I10</f>
        <v>0.14831707946745215</v>
      </c>
      <c r="X44" s="5">
        <f t="shared" si="4"/>
        <v>14.831707946745215</v>
      </c>
      <c r="Z44" s="15">
        <f t="shared" si="9"/>
        <v>35214.143173425931</v>
      </c>
      <c r="AA44" s="15">
        <f t="shared" si="5"/>
        <v>3135.7675987935177</v>
      </c>
      <c r="AB44" s="5">
        <f>T44/G10</f>
        <v>9.6421658184696182E-2</v>
      </c>
      <c r="AD44" s="5">
        <f t="shared" si="6"/>
        <v>9.6421658184696177</v>
      </c>
      <c r="AF44" s="5">
        <f t="shared" si="7"/>
        <v>8.1767272352170836E-2</v>
      </c>
    </row>
    <row r="45" spans="2:32" x14ac:dyDescent="0.2">
      <c r="E45">
        <v>2004</v>
      </c>
      <c r="F45" s="1">
        <v>663035</v>
      </c>
      <c r="G45" s="1">
        <v>5545400</v>
      </c>
      <c r="H45" s="1">
        <v>2191784900</v>
      </c>
      <c r="K45" s="2">
        <v>2000</v>
      </c>
      <c r="L45" t="s">
        <v>86</v>
      </c>
      <c r="M45" s="13">
        <f>SUM(H413+H444+H475+H506)</f>
        <v>155912811300</v>
      </c>
      <c r="N45" s="1">
        <f>SUM(F413+F444+F475+F506)</f>
        <v>2542980</v>
      </c>
      <c r="O45" s="5">
        <f>M45/H10</f>
        <v>0.2271277924480159</v>
      </c>
      <c r="Q45" s="5">
        <f t="shared" si="2"/>
        <v>22.712779244801588</v>
      </c>
      <c r="S45" s="15">
        <f t="shared" si="8"/>
        <v>61311.064695750654</v>
      </c>
      <c r="T45" s="15">
        <f>SUM(G413+G444+G475+G506)</f>
        <v>17269900700</v>
      </c>
      <c r="U45" s="15">
        <f t="shared" si="3"/>
        <v>138642910600</v>
      </c>
      <c r="V45" s="5">
        <f>U45/I10</f>
        <v>0.22963458712187237</v>
      </c>
      <c r="X45" s="5">
        <f t="shared" si="4"/>
        <v>22.963458712187236</v>
      </c>
      <c r="Z45" s="15">
        <f t="shared" si="9"/>
        <v>54519.858827045435</v>
      </c>
      <c r="AA45" s="15">
        <f t="shared" si="5"/>
        <v>6791.2058687052195</v>
      </c>
      <c r="AB45" s="5">
        <f>T45/G10</f>
        <v>0.20882676588604523</v>
      </c>
      <c r="AD45" s="5">
        <f t="shared" si="6"/>
        <v>20.882676588604525</v>
      </c>
      <c r="AF45" s="5">
        <f t="shared" si="7"/>
        <v>0.11076639922020314</v>
      </c>
    </row>
    <row r="46" spans="2:32" x14ac:dyDescent="0.2">
      <c r="E46">
        <v>2005</v>
      </c>
      <c r="F46" s="1">
        <v>675835</v>
      </c>
      <c r="G46" s="1">
        <v>5510000</v>
      </c>
      <c r="H46" s="1">
        <v>2193826100</v>
      </c>
      <c r="K46" s="2">
        <v>2000</v>
      </c>
      <c r="L46" t="s">
        <v>90</v>
      </c>
      <c r="M46" s="13">
        <f>SUM(H537+H568+H599+H630)</f>
        <v>353415834000</v>
      </c>
      <c r="N46" s="1">
        <f>SUM(F537+F568+F599+F630)</f>
        <v>2542955</v>
      </c>
      <c r="O46" s="5">
        <f>M46/H10</f>
        <v>0.51484260673192317</v>
      </c>
      <c r="P46">
        <f>SUM(O42:O46)</f>
        <v>1.0000000001456761</v>
      </c>
      <c r="Q46" s="5">
        <f t="shared" si="2"/>
        <v>51.484260673192317</v>
      </c>
      <c r="R46" s="6">
        <f>SUM(Q42:Q46)</f>
        <v>100.00000001456762</v>
      </c>
      <c r="S46" s="15">
        <f t="shared" si="8"/>
        <v>138978.40661749814</v>
      </c>
      <c r="T46" s="15">
        <f>SUM(G537+G568+G599+G630)</f>
        <v>54870706500</v>
      </c>
      <c r="U46" s="15">
        <f t="shared" si="3"/>
        <v>298545127500</v>
      </c>
      <c r="V46" s="5">
        <f>U46/I10</f>
        <v>0.49448101452876775</v>
      </c>
      <c r="W46">
        <f>SUM(V42:V46)</f>
        <v>1.0000000001656302</v>
      </c>
      <c r="X46" s="5">
        <f t="shared" si="4"/>
        <v>49.448101452876777</v>
      </c>
      <c r="Y46" s="6">
        <f>SUM(X42:X46)</f>
        <v>100.00000001656304</v>
      </c>
      <c r="Z46" s="15">
        <f t="shared" si="9"/>
        <v>117400.86926430078</v>
      </c>
      <c r="AA46" s="15">
        <f t="shared" si="5"/>
        <v>21577.537353197364</v>
      </c>
      <c r="AB46" s="5">
        <f>T46/G10</f>
        <v>0.66349380806094627</v>
      </c>
      <c r="AC46" s="6">
        <f>SUM(AB42:AB46)</f>
        <v>1</v>
      </c>
      <c r="AD46" s="5">
        <f t="shared" si="6"/>
        <v>66.349380806094629</v>
      </c>
      <c r="AE46" s="6">
        <f>SUM(AD42:AD46)</f>
        <v>100</v>
      </c>
      <c r="AF46" s="5">
        <f t="shared" si="7"/>
        <v>0.15525820074037772</v>
      </c>
    </row>
    <row r="47" spans="2:32" x14ac:dyDescent="0.2">
      <c r="E47">
        <v>2006</v>
      </c>
      <c r="F47" s="1">
        <v>683130</v>
      </c>
      <c r="G47" s="1">
        <v>5535600</v>
      </c>
      <c r="H47" s="1">
        <v>2486359400</v>
      </c>
      <c r="K47" s="2">
        <v>2001</v>
      </c>
      <c r="L47" t="s">
        <v>83</v>
      </c>
      <c r="M47" s="13">
        <f>SUM(H42+H73+H104+H135)</f>
        <v>25834229700</v>
      </c>
      <c r="N47" s="1">
        <f>SUM(F42+F73+F104+F135)</f>
        <v>2557700</v>
      </c>
      <c r="O47" s="5">
        <f>M47/H11</f>
        <v>3.6071566377916697E-2</v>
      </c>
      <c r="Q47" s="5">
        <f t="shared" si="2"/>
        <v>3.60715663779167</v>
      </c>
      <c r="S47" s="15">
        <f t="shared" si="8"/>
        <v>10100.570708058021</v>
      </c>
      <c r="T47" s="15">
        <f>SUM(G42+G73+G104+G135)</f>
        <v>247829800</v>
      </c>
      <c r="U47" s="15">
        <f t="shared" si="3"/>
        <v>25586399900</v>
      </c>
      <c r="V47" s="5">
        <f>U47/I11</f>
        <v>4.0166649152338932E-2</v>
      </c>
      <c r="X47" s="5">
        <f t="shared" si="4"/>
        <v>4.0166649152338936</v>
      </c>
      <c r="Z47" s="15">
        <f t="shared" si="9"/>
        <v>10003.675137819135</v>
      </c>
      <c r="AA47" s="15">
        <f t="shared" si="5"/>
        <v>96.895570238886506</v>
      </c>
      <c r="AB47" s="5">
        <f>T47/G11</f>
        <v>3.1296523039482582E-3</v>
      </c>
      <c r="AD47" s="5">
        <f t="shared" si="6"/>
        <v>0.31296523039482582</v>
      </c>
      <c r="AF47" s="5">
        <f t="shared" si="7"/>
        <v>9.5930787516377933E-3</v>
      </c>
    </row>
    <row r="48" spans="2:32" x14ac:dyDescent="0.2">
      <c r="E48">
        <v>2007</v>
      </c>
      <c r="F48" s="1">
        <v>692605</v>
      </c>
      <c r="G48" s="1">
        <v>4929400</v>
      </c>
      <c r="H48" s="1">
        <v>2690755000</v>
      </c>
      <c r="K48" s="2">
        <v>2001</v>
      </c>
      <c r="L48" t="s">
        <v>84</v>
      </c>
      <c r="M48" s="13">
        <f>SUM(H166+H197+H228+H259)</f>
        <v>61011923900</v>
      </c>
      <c r="N48" s="1">
        <f>SUM(F166+F197+F228+F259)</f>
        <v>2557575</v>
      </c>
      <c r="O48" s="5">
        <f>M48/H11</f>
        <v>8.5189134274951964E-2</v>
      </c>
      <c r="Q48" s="5">
        <f t="shared" si="2"/>
        <v>8.5189134274951961</v>
      </c>
      <c r="S48" s="15">
        <f t="shared" si="8"/>
        <v>23855.380155029667</v>
      </c>
      <c r="T48" s="15">
        <f>SUM(G166+G197+G228+G259)</f>
        <v>2581842600</v>
      </c>
      <c r="U48" s="15">
        <f t="shared" si="3"/>
        <v>58430081300</v>
      </c>
      <c r="V48" s="5">
        <f>U48/I11</f>
        <v>9.1726096078086378E-2</v>
      </c>
      <c r="X48" s="5">
        <f t="shared" si="4"/>
        <v>9.1726096078086385</v>
      </c>
      <c r="Z48" s="15">
        <f t="shared" si="9"/>
        <v>22845.891635631408</v>
      </c>
      <c r="AA48" s="15">
        <f t="shared" si="5"/>
        <v>1009.4885193982581</v>
      </c>
      <c r="AB48" s="5">
        <f>T48/G11</f>
        <v>3.2604108309500154E-2</v>
      </c>
      <c r="AD48" s="5">
        <f t="shared" si="6"/>
        <v>3.2604108309500153</v>
      </c>
      <c r="AF48" s="5">
        <f t="shared" si="7"/>
        <v>4.2317016657788101E-2</v>
      </c>
    </row>
    <row r="49" spans="2:32" x14ac:dyDescent="0.2">
      <c r="E49">
        <v>2008</v>
      </c>
      <c r="F49" s="1">
        <v>702935</v>
      </c>
      <c r="G49" s="1">
        <v>5436200</v>
      </c>
      <c r="H49" s="1">
        <v>2776183800</v>
      </c>
      <c r="K49" s="2">
        <v>2001</v>
      </c>
      <c r="L49" t="s">
        <v>85</v>
      </c>
      <c r="M49" s="13">
        <f>SUM(H290+H321+H352+H383)</f>
        <v>103800918200</v>
      </c>
      <c r="N49" s="1">
        <f>SUM(F290+F321+F352+F383)</f>
        <v>2557805</v>
      </c>
      <c r="O49" s="5">
        <f>M49/H11</f>
        <v>0.14493413407019451</v>
      </c>
      <c r="Q49" s="5">
        <f t="shared" si="2"/>
        <v>14.493413407019451</v>
      </c>
      <c r="S49" s="15">
        <f t="shared" si="8"/>
        <v>40582.02959177889</v>
      </c>
      <c r="T49" s="15">
        <f>SUM(G290+G321+G352+G383)</f>
        <v>8026755400</v>
      </c>
      <c r="U49" s="15">
        <f t="shared" si="3"/>
        <v>95774162800</v>
      </c>
      <c r="V49" s="5">
        <f>U49/I11</f>
        <v>0.15035046782984857</v>
      </c>
      <c r="X49" s="5">
        <f t="shared" si="4"/>
        <v>15.035046782984857</v>
      </c>
      <c r="Z49" s="15">
        <f t="shared" si="9"/>
        <v>37443.887552022141</v>
      </c>
      <c r="AA49" s="15">
        <f t="shared" si="5"/>
        <v>3138.1420397567445</v>
      </c>
      <c r="AB49" s="5">
        <f>T49/G11</f>
        <v>0.10136373241167577</v>
      </c>
      <c r="AD49" s="5">
        <f t="shared" si="6"/>
        <v>10.136373241167577</v>
      </c>
      <c r="AF49" s="5">
        <f t="shared" si="7"/>
        <v>7.7328366060638559E-2</v>
      </c>
    </row>
    <row r="50" spans="2:32" x14ac:dyDescent="0.2">
      <c r="E50">
        <v>2009</v>
      </c>
      <c r="F50" s="1">
        <v>711810</v>
      </c>
      <c r="G50" s="1">
        <v>3820300</v>
      </c>
      <c r="H50" s="1">
        <v>2682658700</v>
      </c>
      <c r="K50" s="2">
        <v>2001</v>
      </c>
      <c r="L50" t="s">
        <v>86</v>
      </c>
      <c r="M50" s="13">
        <f>SUM(H414+H445+H476+H507)</f>
        <v>163622712800</v>
      </c>
      <c r="N50" s="1">
        <f>SUM(F414+F445+F476+F507)</f>
        <v>2557685</v>
      </c>
      <c r="O50" s="5">
        <f>M50/H11</f>
        <v>0.2284615262091596</v>
      </c>
      <c r="Q50" s="5">
        <f t="shared" si="2"/>
        <v>22.846152620915959</v>
      </c>
      <c r="S50" s="15">
        <f t="shared" si="8"/>
        <v>63972.972746839427</v>
      </c>
      <c r="T50" s="15">
        <f>SUM(G414+G445+G476+G507)</f>
        <v>16607259400</v>
      </c>
      <c r="U50" s="15">
        <f t="shared" si="3"/>
        <v>147015453400</v>
      </c>
      <c r="V50" s="5">
        <f>U50/I11</f>
        <v>0.23079128598665549</v>
      </c>
      <c r="X50" s="5">
        <f t="shared" si="4"/>
        <v>23.079128598665548</v>
      </c>
      <c r="Z50" s="15">
        <f t="shared" si="9"/>
        <v>57479.890369611581</v>
      </c>
      <c r="AA50" s="15">
        <f t="shared" si="5"/>
        <v>6493.0823772278445</v>
      </c>
      <c r="AB50" s="5">
        <f>T50/G11</f>
        <v>0.20972033082170252</v>
      </c>
      <c r="AD50" s="5">
        <f t="shared" si="6"/>
        <v>20.972033082170253</v>
      </c>
      <c r="AF50" s="5">
        <f t="shared" si="7"/>
        <v>0.10149727452752513</v>
      </c>
    </row>
    <row r="51" spans="2:32" x14ac:dyDescent="0.2">
      <c r="E51">
        <v>2010</v>
      </c>
      <c r="F51" s="1">
        <v>719215</v>
      </c>
      <c r="G51" s="1">
        <v>4059000</v>
      </c>
      <c r="H51" s="1">
        <v>2836889100</v>
      </c>
      <c r="K51" s="2">
        <v>2001</v>
      </c>
      <c r="L51" t="s">
        <v>90</v>
      </c>
      <c r="M51" s="13">
        <f>SUM(H538+H569+H600+H631)</f>
        <v>361923946200</v>
      </c>
      <c r="N51" s="1">
        <f>SUM(F538+F569+F600+F631)</f>
        <v>2557715</v>
      </c>
      <c r="O51" s="5">
        <f>M51/H11</f>
        <v>0.50534363906777724</v>
      </c>
      <c r="P51">
        <f>SUM(O47:O51)</f>
        <v>1</v>
      </c>
      <c r="Q51" s="5">
        <f t="shared" si="2"/>
        <v>50.534363906777727</v>
      </c>
      <c r="R51" s="6">
        <f>SUM(Q47:Q51)</f>
        <v>100</v>
      </c>
      <c r="S51" s="15">
        <f t="shared" si="8"/>
        <v>141502.84382740062</v>
      </c>
      <c r="T51" s="15">
        <f>SUM(G538+G569+G600+G631)</f>
        <v>51723959300</v>
      </c>
      <c r="U51" s="15">
        <f t="shared" si="3"/>
        <v>310199986900</v>
      </c>
      <c r="V51" s="5">
        <f>U51/I11</f>
        <v>0.48696550079608625</v>
      </c>
      <c r="W51">
        <f>SUM(V47:V51)</f>
        <v>0.99999999984301557</v>
      </c>
      <c r="X51" s="5">
        <f t="shared" si="4"/>
        <v>48.696550079608627</v>
      </c>
      <c r="Y51" s="6">
        <f>SUM(X47:X51)</f>
        <v>99.999999984301567</v>
      </c>
      <c r="Z51" s="15">
        <f t="shared" si="9"/>
        <v>121280.12186658796</v>
      </c>
      <c r="AA51" s="15">
        <f t="shared" si="5"/>
        <v>20222.72196081268</v>
      </c>
      <c r="AB51" s="5">
        <f>T51/G11</f>
        <v>0.65318217741599649</v>
      </c>
      <c r="AC51" s="6">
        <f>SUM(AB47:AB51)</f>
        <v>1.0000000012628232</v>
      </c>
      <c r="AD51" s="5">
        <f t="shared" si="6"/>
        <v>65.318217741599653</v>
      </c>
      <c r="AE51" s="6">
        <f>SUM(AD47:AD51)</f>
        <v>100.00000012628232</v>
      </c>
      <c r="AF51" s="5">
        <f t="shared" si="7"/>
        <v>0.14291389073056035</v>
      </c>
    </row>
    <row r="52" spans="2:32" x14ac:dyDescent="0.2">
      <c r="E52">
        <v>2011</v>
      </c>
      <c r="F52" s="1">
        <v>729965</v>
      </c>
      <c r="G52" s="1">
        <v>4353800</v>
      </c>
      <c r="H52" s="1">
        <v>2988314900</v>
      </c>
      <c r="K52" s="2">
        <v>2002</v>
      </c>
      <c r="L52" s="3" t="s">
        <v>83</v>
      </c>
      <c r="M52" s="13">
        <f>SUM(H43+H74+H105+H136)</f>
        <v>26123688900</v>
      </c>
      <c r="N52" s="1">
        <f>SUM(F43+F74+F105+F136)</f>
        <v>2553795</v>
      </c>
      <c r="O52" s="5">
        <f>M52/H12</f>
        <v>3.5758566980586874E-2</v>
      </c>
      <c r="Q52" s="5">
        <f t="shared" si="2"/>
        <v>3.5758566980586872</v>
      </c>
      <c r="S52" s="15">
        <f t="shared" si="8"/>
        <v>10229.360187485683</v>
      </c>
      <c r="T52" s="15">
        <f>SUM(G43+G74+G105+G136)</f>
        <v>224614500</v>
      </c>
      <c r="U52" s="15">
        <f t="shared" si="3"/>
        <v>25899074400</v>
      </c>
      <c r="V52" s="5">
        <f>U52/I12</f>
        <v>3.9832477602781947E-2</v>
      </c>
      <c r="X52" s="5">
        <f t="shared" si="4"/>
        <v>3.9832477602781946</v>
      </c>
      <c r="Z52" s="15">
        <f t="shared" si="9"/>
        <v>10141.406964928665</v>
      </c>
      <c r="AA52" s="15">
        <f t="shared" si="5"/>
        <v>87.95322255701808</v>
      </c>
      <c r="AB52" s="5">
        <f>T52/G12</f>
        <v>2.7951884139388286E-3</v>
      </c>
      <c r="AD52" s="5">
        <f t="shared" si="6"/>
        <v>0.27951884139388289</v>
      </c>
      <c r="AF52" s="5">
        <f t="shared" si="7"/>
        <v>8.5981157125171546E-3</v>
      </c>
    </row>
    <row r="53" spans="2:32" x14ac:dyDescent="0.2">
      <c r="E53">
        <v>2012</v>
      </c>
      <c r="F53" s="1">
        <v>741450</v>
      </c>
      <c r="G53" s="1">
        <v>4388000</v>
      </c>
      <c r="H53" s="1">
        <v>3093637700</v>
      </c>
      <c r="K53" s="2">
        <v>2002</v>
      </c>
      <c r="L53" s="3" t="s">
        <v>84</v>
      </c>
      <c r="M53" s="13">
        <f>SUM(H167+H198+H229+H260)</f>
        <v>62111654300</v>
      </c>
      <c r="N53" s="1">
        <f>SUM(F167+F198+F229+F260)</f>
        <v>2554125</v>
      </c>
      <c r="O53" s="5">
        <f>M53/H12</f>
        <v>8.5019529939418567E-2</v>
      </c>
      <c r="Q53" s="5">
        <f t="shared" si="2"/>
        <v>8.5019529939418561</v>
      </c>
      <c r="S53" s="15">
        <f t="shared" si="8"/>
        <v>24318.173268731953</v>
      </c>
      <c r="T53" s="15">
        <f>SUM(G167+G198+G229+G260)</f>
        <v>2540734000</v>
      </c>
      <c r="U53" s="15">
        <f t="shared" si="3"/>
        <v>59570920300</v>
      </c>
      <c r="V53" s="5">
        <f>U53/I12</f>
        <v>9.1619388090056944E-2</v>
      </c>
      <c r="X53" s="5">
        <f t="shared" si="4"/>
        <v>9.1619388090056937</v>
      </c>
      <c r="Z53" s="15">
        <f t="shared" si="9"/>
        <v>23323.416160133118</v>
      </c>
      <c r="AA53" s="15">
        <f t="shared" si="5"/>
        <v>994.7571085988352</v>
      </c>
      <c r="AB53" s="5">
        <f>T53/G12</f>
        <v>3.1617861890930708E-2</v>
      </c>
      <c r="AD53" s="5">
        <f t="shared" si="6"/>
        <v>3.1617861890930707</v>
      </c>
      <c r="AF53" s="5">
        <f t="shared" si="7"/>
        <v>4.0905914173984578E-2</v>
      </c>
    </row>
    <row r="54" spans="2:32" x14ac:dyDescent="0.2">
      <c r="E54">
        <v>2013</v>
      </c>
      <c r="F54" s="1">
        <v>752350</v>
      </c>
      <c r="G54" s="1">
        <v>4401700</v>
      </c>
      <c r="H54" s="1">
        <v>3139992200</v>
      </c>
      <c r="K54" s="2">
        <v>2002</v>
      </c>
      <c r="L54" s="3" t="s">
        <v>85</v>
      </c>
      <c r="M54" s="13">
        <f>SUM(H291+H322+H353+H384)</f>
        <v>106256329000</v>
      </c>
      <c r="N54" s="1">
        <f>SUM(F291+F322+F353+F384)</f>
        <v>2553935</v>
      </c>
      <c r="O54" s="5">
        <f>M54/H12</f>
        <v>0.14544554071985505</v>
      </c>
      <c r="Q54" s="5">
        <f t="shared" si="2"/>
        <v>14.544554071985505</v>
      </c>
      <c r="S54" s="15">
        <f t="shared" si="8"/>
        <v>41604.946484542481</v>
      </c>
      <c r="T54" s="15">
        <f>SUM(G291+G322+G353+G384)</f>
        <v>8111379100</v>
      </c>
      <c r="U54" s="15">
        <f t="shared" si="3"/>
        <v>98144949900</v>
      </c>
      <c r="V54" s="5">
        <f>U54/I12</f>
        <v>0.1509458005463665</v>
      </c>
      <c r="X54" s="5">
        <f t="shared" si="4"/>
        <v>15.09458005463665</v>
      </c>
      <c r="Z54" s="15">
        <f t="shared" si="9"/>
        <v>38428.914557339951</v>
      </c>
      <c r="AA54" s="15">
        <f t="shared" si="5"/>
        <v>3176.0319272025326</v>
      </c>
      <c r="AB54" s="5">
        <f>T54/G12</f>
        <v>0.10094109187690717</v>
      </c>
      <c r="AD54" s="5">
        <f t="shared" si="6"/>
        <v>10.094109187690718</v>
      </c>
      <c r="AF54" s="5">
        <f t="shared" si="7"/>
        <v>7.6337844308549382E-2</v>
      </c>
    </row>
    <row r="55" spans="2:32" x14ac:dyDescent="0.2">
      <c r="E55">
        <v>2014</v>
      </c>
      <c r="F55" s="1">
        <v>762570</v>
      </c>
      <c r="G55" s="1">
        <v>3108600</v>
      </c>
      <c r="H55" s="1">
        <v>3298497200</v>
      </c>
      <c r="K55" s="2">
        <v>2002</v>
      </c>
      <c r="L55" s="3" t="s">
        <v>86</v>
      </c>
      <c r="M55" s="13">
        <f>SUM(H415+H446+H477+H508)</f>
        <v>168400521800</v>
      </c>
      <c r="N55" s="1">
        <f>SUM(F415+F446+F477+F508)</f>
        <v>2554080</v>
      </c>
      <c r="O55" s="5">
        <f>M55/H12</f>
        <v>0.23050960993303973</v>
      </c>
      <c r="Q55" s="5">
        <f t="shared" si="2"/>
        <v>23.050960993303974</v>
      </c>
      <c r="S55" s="15">
        <f t="shared" si="8"/>
        <v>65933.926032074174</v>
      </c>
      <c r="T55" s="15">
        <f>SUM(G415+G446+G477+G508)</f>
        <v>17049478200</v>
      </c>
      <c r="U55" s="15">
        <f t="shared" si="3"/>
        <v>151351043600</v>
      </c>
      <c r="V55" s="5">
        <f>U55/I12</f>
        <v>0.23277615876321334</v>
      </c>
      <c r="X55" s="5">
        <f t="shared" si="4"/>
        <v>23.277615876321335</v>
      </c>
      <c r="Z55" s="15">
        <f t="shared" si="9"/>
        <v>59258.536772536492</v>
      </c>
      <c r="AA55" s="15">
        <f t="shared" si="5"/>
        <v>6675.389259537681</v>
      </c>
      <c r="AB55" s="5">
        <f>T55/G12</f>
        <v>0.21217020240608969</v>
      </c>
      <c r="AD55" s="5">
        <f t="shared" si="6"/>
        <v>21.217020240608971</v>
      </c>
      <c r="AF55" s="5">
        <f t="shared" si="7"/>
        <v>0.10124361859311055</v>
      </c>
    </row>
    <row r="56" spans="2:32" x14ac:dyDescent="0.2">
      <c r="E56">
        <v>2015</v>
      </c>
      <c r="F56" s="1">
        <v>771395</v>
      </c>
      <c r="G56" s="1">
        <v>4642200</v>
      </c>
      <c r="H56" s="1">
        <v>3434068800</v>
      </c>
      <c r="K56" s="2">
        <v>2002</v>
      </c>
      <c r="L56" s="3" t="s">
        <v>90</v>
      </c>
      <c r="M56" s="13">
        <f>SUM(H539+H570+H601+H632)</f>
        <v>367665295100</v>
      </c>
      <c r="N56" s="1">
        <f>SUM(F539+F570+F601+F632)</f>
        <v>2553995</v>
      </c>
      <c r="O56" s="5">
        <f>M56/H12</f>
        <v>0.5032667527008633</v>
      </c>
      <c r="P56">
        <f>SUM(O52:O56)</f>
        <v>1.0000000002737635</v>
      </c>
      <c r="Q56" s="5">
        <f t="shared" si="2"/>
        <v>50.326675270086326</v>
      </c>
      <c r="R56" s="6">
        <f>SUM(Q52:Q56)</f>
        <v>100.00000002737634</v>
      </c>
      <c r="S56" s="15">
        <f t="shared" si="8"/>
        <v>143956.93613339102</v>
      </c>
      <c r="T56" s="15">
        <f>SUM(G539+G570+G601+G632)</f>
        <v>52431346700</v>
      </c>
      <c r="U56" s="15">
        <f t="shared" si="3"/>
        <v>315233948400</v>
      </c>
      <c r="V56" s="5">
        <f>U56/I12</f>
        <v>0.48482617545897783</v>
      </c>
      <c r="W56">
        <f>SUM(V52:V56)</f>
        <v>1.0000000004613965</v>
      </c>
      <c r="X56" s="5">
        <f t="shared" si="4"/>
        <v>48.482617545897781</v>
      </c>
      <c r="Y56" s="6">
        <f>SUM(X52:X56)</f>
        <v>100.00000004613966</v>
      </c>
      <c r="Z56" s="15">
        <f t="shared" si="9"/>
        <v>123427.78603716922</v>
      </c>
      <c r="AA56" s="15">
        <f t="shared" si="5"/>
        <v>20529.150096221802</v>
      </c>
      <c r="AB56" s="5">
        <f>T56/G12</f>
        <v>0.65247565416769548</v>
      </c>
      <c r="AC56" s="6">
        <f>SUM(AB52:AB56)</f>
        <v>0.99999999875556189</v>
      </c>
      <c r="AD56" s="5">
        <f t="shared" si="6"/>
        <v>65.247565416769547</v>
      </c>
      <c r="AE56" s="6">
        <f>SUM(AD52:AD56)</f>
        <v>99.999999875556185</v>
      </c>
      <c r="AF56" s="5">
        <f t="shared" si="7"/>
        <v>0.14260618937596323</v>
      </c>
    </row>
    <row r="57" spans="2:32" x14ac:dyDescent="0.2">
      <c r="E57">
        <v>2016</v>
      </c>
      <c r="F57" s="1">
        <v>780250</v>
      </c>
      <c r="G57" s="1">
        <v>3526900</v>
      </c>
      <c r="H57" s="1">
        <v>3541245700</v>
      </c>
      <c r="K57" s="2">
        <v>2003</v>
      </c>
      <c r="L57" s="3" t="s">
        <v>83</v>
      </c>
      <c r="M57" s="13">
        <f>SUM(H44+H75+H106+H137)</f>
        <v>26761167400</v>
      </c>
      <c r="N57" s="1">
        <f>SUM(F44+F75+F106+F137)</f>
        <v>2612560</v>
      </c>
      <c r="O57" s="5">
        <f>M57/H13</f>
        <v>3.5155867042550096E-2</v>
      </c>
      <c r="Q57" s="5">
        <f t="shared" si="2"/>
        <v>3.5155867042550097</v>
      </c>
      <c r="S57" s="15">
        <f t="shared" si="8"/>
        <v>10243.273800410325</v>
      </c>
      <c r="T57" s="15">
        <f>SUM(G44+G75+G106+G137)</f>
        <v>229624100</v>
      </c>
      <c r="U57" s="15">
        <f t="shared" si="3"/>
        <v>26531543300</v>
      </c>
      <c r="V57" s="5">
        <f>U57/I13</f>
        <v>3.916472302835225E-2</v>
      </c>
      <c r="X57" s="5">
        <f t="shared" si="4"/>
        <v>3.9164723028352251</v>
      </c>
      <c r="Z57" s="15">
        <f t="shared" si="9"/>
        <v>10155.381426646662</v>
      </c>
      <c r="AA57" s="15">
        <f t="shared" si="5"/>
        <v>87.892373763664764</v>
      </c>
      <c r="AB57" s="5">
        <f>T57/G13</f>
        <v>2.7407949802576168E-3</v>
      </c>
      <c r="AD57" s="5">
        <f t="shared" si="6"/>
        <v>0.2740794980257617</v>
      </c>
      <c r="AF57" s="5">
        <f t="shared" si="7"/>
        <v>8.5804963799897618E-3</v>
      </c>
    </row>
    <row r="58" spans="2:32" x14ac:dyDescent="0.2">
      <c r="E58">
        <v>2017</v>
      </c>
      <c r="F58" s="1">
        <v>795020</v>
      </c>
      <c r="G58" s="1">
        <v>3863200</v>
      </c>
      <c r="H58" s="1">
        <v>3568890100</v>
      </c>
      <c r="K58" s="2">
        <v>2003</v>
      </c>
      <c r="L58" s="3" t="s">
        <v>84</v>
      </c>
      <c r="M58" s="13">
        <f>SUM(H168+H199+H230+H261)</f>
        <v>64286407400</v>
      </c>
      <c r="N58" s="1">
        <f>SUM(F168+F199+F230+F261)</f>
        <v>2612490</v>
      </c>
      <c r="O58" s="5">
        <f>M58/H13</f>
        <v>8.4452384210922299E-2</v>
      </c>
      <c r="Q58" s="5">
        <f t="shared" si="2"/>
        <v>8.4452384210922293</v>
      </c>
      <c r="S58" s="15">
        <f t="shared" si="8"/>
        <v>24607.331473039132</v>
      </c>
      <c r="T58" s="15">
        <f>SUM(G168+G199+G230+G261)</f>
        <v>2623090600</v>
      </c>
      <c r="U58" s="15">
        <f t="shared" si="3"/>
        <v>61663316800</v>
      </c>
      <c r="V58" s="5">
        <f>U58/I13</f>
        <v>9.1024735959537653E-2</v>
      </c>
      <c r="X58" s="5">
        <f t="shared" si="4"/>
        <v>9.1024735959537662</v>
      </c>
      <c r="Z58" s="15">
        <f t="shared" si="9"/>
        <v>23603.2738115744</v>
      </c>
      <c r="AA58" s="15">
        <f t="shared" si="5"/>
        <v>1004.0576614647329</v>
      </c>
      <c r="AB58" s="5">
        <f>T58/G13</f>
        <v>3.1309229080226944E-2</v>
      </c>
      <c r="AD58" s="5">
        <f t="shared" si="6"/>
        <v>3.1309229080226944</v>
      </c>
      <c r="AF58" s="5">
        <f t="shared" si="7"/>
        <v>4.0803191624610831E-2</v>
      </c>
    </row>
    <row r="59" spans="2:32" x14ac:dyDescent="0.2">
      <c r="E59">
        <v>2018</v>
      </c>
      <c r="F59" s="1">
        <v>811150</v>
      </c>
      <c r="G59" s="1">
        <v>3905900</v>
      </c>
      <c r="H59" s="1">
        <v>3813443700</v>
      </c>
      <c r="K59" s="2">
        <v>2003</v>
      </c>
      <c r="L59" s="3" t="s">
        <v>85</v>
      </c>
      <c r="M59" s="13">
        <f>SUM(H292+H323+H354+H385)</f>
        <v>110331987500</v>
      </c>
      <c r="N59" s="1">
        <f>SUM(F292+F323+F354+F385)</f>
        <v>2612750</v>
      </c>
      <c r="O59" s="5">
        <f>M59/H13</f>
        <v>0.14494198347603846</v>
      </c>
      <c r="Q59" s="5">
        <f t="shared" si="2"/>
        <v>14.494198347603845</v>
      </c>
      <c r="S59" s="15">
        <f t="shared" si="8"/>
        <v>42228.298727394511</v>
      </c>
      <c r="T59" s="15">
        <f>SUM(G292+G323+G354+G385)</f>
        <v>8418755800</v>
      </c>
      <c r="U59" s="15">
        <f t="shared" si="3"/>
        <v>101913231700</v>
      </c>
      <c r="V59" s="5">
        <f>U59/I13</f>
        <v>0.15043992908074777</v>
      </c>
      <c r="X59" s="5">
        <f t="shared" si="4"/>
        <v>15.043992908074777</v>
      </c>
      <c r="Z59" s="15">
        <f t="shared" si="9"/>
        <v>39006.116811788343</v>
      </c>
      <c r="AA59" s="15">
        <f t="shared" si="5"/>
        <v>3222.181915606162</v>
      </c>
      <c r="AB59" s="5">
        <f>T59/G13</f>
        <v>0.10048633238695197</v>
      </c>
      <c r="AD59" s="5">
        <f t="shared" si="6"/>
        <v>10.048633238695198</v>
      </c>
      <c r="AF59" s="5">
        <f t="shared" si="7"/>
        <v>7.6303853404254135E-2</v>
      </c>
    </row>
    <row r="60" spans="2:32" x14ac:dyDescent="0.2">
      <c r="E60">
        <v>2019</v>
      </c>
      <c r="F60" s="1">
        <v>824830</v>
      </c>
      <c r="G60" s="1">
        <v>5855800</v>
      </c>
      <c r="H60" s="1">
        <v>3878532200</v>
      </c>
      <c r="K60" s="2">
        <v>2003</v>
      </c>
      <c r="L60" s="3" t="s">
        <v>86</v>
      </c>
      <c r="M60" s="13">
        <f>SUM(H416+H447+H478+H509)</f>
        <v>175534057900</v>
      </c>
      <c r="N60" s="1">
        <f>SUM(F416+F447+F478+F509)</f>
        <v>2612605</v>
      </c>
      <c r="O60" s="5">
        <f>M60/H13</f>
        <v>0.23059726463845109</v>
      </c>
      <c r="Q60" s="5">
        <f t="shared" si="2"/>
        <v>23.059726463845109</v>
      </c>
      <c r="S60" s="15">
        <f t="shared" si="8"/>
        <v>67187.369655956412</v>
      </c>
      <c r="T60" s="15">
        <f>SUM(G416+G447+G478+G509)</f>
        <v>17803538800</v>
      </c>
      <c r="U60" s="15">
        <f t="shared" si="3"/>
        <v>157730519100</v>
      </c>
      <c r="V60" s="5">
        <f>U60/I13</f>
        <v>0.23283500789302838</v>
      </c>
      <c r="X60" s="5">
        <f t="shared" si="4"/>
        <v>23.283500789302838</v>
      </c>
      <c r="Z60" s="15">
        <f t="shared" si="9"/>
        <v>60372.891845495207</v>
      </c>
      <c r="AA60" s="15">
        <f t="shared" si="5"/>
        <v>6814.477810461206</v>
      </c>
      <c r="AB60" s="5">
        <f>T60/G13</f>
        <v>0.2125031726803141</v>
      </c>
      <c r="AD60" s="5">
        <f t="shared" si="6"/>
        <v>21.250317268031409</v>
      </c>
      <c r="AF60" s="5">
        <f t="shared" si="7"/>
        <v>0.10142498278107658</v>
      </c>
    </row>
    <row r="61" spans="2:32" x14ac:dyDescent="0.2">
      <c r="E61">
        <v>2020</v>
      </c>
      <c r="F61" s="1">
        <v>830105</v>
      </c>
      <c r="G61" s="1">
        <v>5291500</v>
      </c>
      <c r="H61" s="1">
        <v>6480151500</v>
      </c>
      <c r="K61" s="2">
        <v>2003</v>
      </c>
      <c r="L61" s="3" t="s">
        <v>90</v>
      </c>
      <c r="M61" s="13">
        <f>SUM(H540+H571+H602+H633)</f>
        <v>384301211000</v>
      </c>
      <c r="N61" s="1">
        <f>SUM(F540+F571+F602+F633)</f>
        <v>2612665</v>
      </c>
      <c r="O61" s="5">
        <f>M61/H13</f>
        <v>0.5048525005006691</v>
      </c>
      <c r="P61">
        <f>SUM(O57:O61)</f>
        <v>0.99999999986863108</v>
      </c>
      <c r="Q61" s="5">
        <f t="shared" si="2"/>
        <v>50.485250050066909</v>
      </c>
      <c r="R61" s="6">
        <f>SUM(Q57:Q61)</f>
        <v>99.999999986863102</v>
      </c>
      <c r="S61" s="15">
        <f t="shared" si="8"/>
        <v>147091.65201049502</v>
      </c>
      <c r="T61" s="15">
        <f>SUM(G540+G571+G602+G633)</f>
        <v>54705098800</v>
      </c>
      <c r="U61" s="15">
        <f t="shared" si="3"/>
        <v>329596112200</v>
      </c>
      <c r="V61" s="5">
        <f>U61/I13</f>
        <v>0.48653560403833396</v>
      </c>
      <c r="W61">
        <f>SUM(V57:V61)</f>
        <v>1</v>
      </c>
      <c r="X61" s="5">
        <f t="shared" si="4"/>
        <v>48.653560403833396</v>
      </c>
      <c r="Y61" s="6">
        <f>SUM(X57:X61)</f>
        <v>100</v>
      </c>
      <c r="Z61" s="15">
        <f t="shared" si="9"/>
        <v>126153.22370070407</v>
      </c>
      <c r="AA61" s="15">
        <f t="shared" si="5"/>
        <v>20938.428309790961</v>
      </c>
      <c r="AB61" s="5">
        <f>T61/G13</f>
        <v>0.65296046967864863</v>
      </c>
      <c r="AC61" s="6">
        <f>SUM(AB57:AB61)</f>
        <v>0.99999999880639923</v>
      </c>
      <c r="AD61" s="5">
        <f t="shared" si="6"/>
        <v>65.296046967864868</v>
      </c>
      <c r="AE61" s="6">
        <f>SUM(AD57:AD61)</f>
        <v>99.999999880639933</v>
      </c>
      <c r="AF61" s="5">
        <f t="shared" si="7"/>
        <v>0.14234953529719688</v>
      </c>
    </row>
    <row r="62" spans="2:32" x14ac:dyDescent="0.2">
      <c r="E62">
        <v>2021</v>
      </c>
      <c r="F62" s="1">
        <v>843735</v>
      </c>
      <c r="G62" s="1">
        <v>5838100</v>
      </c>
      <c r="H62" s="1">
        <v>4849972800</v>
      </c>
      <c r="K62" s="2">
        <v>2004</v>
      </c>
      <c r="L62" s="3" t="s">
        <v>83</v>
      </c>
      <c r="M62" s="13">
        <f>SUM(H45+H76+H107+H138)</f>
        <v>27927278200</v>
      </c>
      <c r="N62" s="1">
        <f>SUM(F45+F76+F107+F138)</f>
        <v>2652245</v>
      </c>
      <c r="O62" s="5">
        <f>M62/H14</f>
        <v>3.4492631858955999E-2</v>
      </c>
      <c r="Q62" s="5">
        <f t="shared" si="2"/>
        <v>3.4492631858956</v>
      </c>
      <c r="S62" s="15">
        <f t="shared" si="8"/>
        <v>10529.675124281504</v>
      </c>
      <c r="T62" s="15">
        <f>SUM(G45+G76+G107+G138)</f>
        <v>241815000</v>
      </c>
      <c r="U62" s="15">
        <f t="shared" si="3"/>
        <v>27685463200</v>
      </c>
      <c r="V62" s="5">
        <f>U62/I14</f>
        <v>3.8372628482907456E-2</v>
      </c>
      <c r="X62" s="5">
        <f t="shared" si="4"/>
        <v>3.8372628482907456</v>
      </c>
      <c r="Z62" s="15">
        <f t="shared" si="9"/>
        <v>10438.501420494713</v>
      </c>
      <c r="AA62" s="15">
        <f t="shared" si="5"/>
        <v>91.173703786791947</v>
      </c>
      <c r="AB62" s="5">
        <f>T62/G14</f>
        <v>2.7426194035166246E-3</v>
      </c>
      <c r="AD62" s="5">
        <f t="shared" si="6"/>
        <v>0.27426194035166246</v>
      </c>
      <c r="AF62" s="5">
        <f t="shared" si="7"/>
        <v>8.658738537577931E-3</v>
      </c>
    </row>
    <row r="63" spans="2:32" x14ac:dyDescent="0.2">
      <c r="E63">
        <v>2022</v>
      </c>
      <c r="F63" s="1">
        <v>869080</v>
      </c>
      <c r="G63" s="1">
        <v>6340900</v>
      </c>
      <c r="H63" s="1">
        <v>3931415700</v>
      </c>
      <c r="K63" s="2">
        <v>2004</v>
      </c>
      <c r="L63" s="3" t="s">
        <v>84</v>
      </c>
      <c r="M63" s="13">
        <f>SUM(H169+H200+H231+H262)</f>
        <v>67464346500</v>
      </c>
      <c r="N63" s="1">
        <f>SUM(F169+F200+F231+F262)</f>
        <v>2652425</v>
      </c>
      <c r="O63" s="5">
        <f>M63/H14</f>
        <v>8.33243702005141E-2</v>
      </c>
      <c r="Q63" s="5">
        <f t="shared" si="2"/>
        <v>8.33243702005141</v>
      </c>
      <c r="S63" s="15">
        <f t="shared" si="8"/>
        <v>25434.968566500465</v>
      </c>
      <c r="T63" s="15">
        <f>SUM(G169+G200+G231+G262)</f>
        <v>2754651800</v>
      </c>
      <c r="U63" s="15">
        <f t="shared" si="3"/>
        <v>64709694700</v>
      </c>
      <c r="V63" s="5">
        <f>U63/I14</f>
        <v>8.968898428852963E-2</v>
      </c>
      <c r="X63" s="5">
        <f t="shared" si="4"/>
        <v>8.9688984288529632</v>
      </c>
      <c r="Z63" s="15">
        <f t="shared" si="9"/>
        <v>24396.427684100399</v>
      </c>
      <c r="AA63" s="15">
        <f t="shared" si="5"/>
        <v>1038.5408824000679</v>
      </c>
      <c r="AB63" s="5">
        <f>T63/G14</f>
        <v>3.1242732984355794E-2</v>
      </c>
      <c r="AD63" s="5">
        <f t="shared" si="6"/>
        <v>3.1242732984355794</v>
      </c>
      <c r="AF63" s="5">
        <f t="shared" si="7"/>
        <v>4.0831223348468962E-2</v>
      </c>
    </row>
    <row r="64" spans="2:32" x14ac:dyDescent="0.2">
      <c r="B64" t="s">
        <v>10</v>
      </c>
      <c r="C64" t="s">
        <v>30</v>
      </c>
      <c r="D64" t="s">
        <v>32</v>
      </c>
      <c r="E64">
        <v>1992</v>
      </c>
      <c r="F64" s="1">
        <v>568375</v>
      </c>
      <c r="G64" s="1">
        <v>20423500</v>
      </c>
      <c r="H64" s="1">
        <v>4342535400</v>
      </c>
      <c r="K64" s="2">
        <v>2004</v>
      </c>
      <c r="L64" s="3" t="s">
        <v>85</v>
      </c>
      <c r="M64" s="13">
        <f>SUM(H293+H324+H355+H386)</f>
        <v>116022827900</v>
      </c>
      <c r="N64" s="1">
        <f>SUM(F293+F324+F355+F386)</f>
        <v>2652490</v>
      </c>
      <c r="O64" s="5">
        <f>M64/H14</f>
        <v>0.14329834297957864</v>
      </c>
      <c r="Q64" s="5">
        <f t="shared" si="2"/>
        <v>14.329834297957863</v>
      </c>
      <c r="S64" s="15">
        <f t="shared" si="8"/>
        <v>43741.099080486638</v>
      </c>
      <c r="T64" s="15">
        <f>SUM(G293+G324+G355+G386)</f>
        <v>8706564900</v>
      </c>
      <c r="U64" s="15">
        <f t="shared" si="3"/>
        <v>107316263000</v>
      </c>
      <c r="V64" s="5">
        <f>U64/I14</f>
        <v>0.14874257513860151</v>
      </c>
      <c r="X64" s="5">
        <f t="shared" si="4"/>
        <v>14.874257513860151</v>
      </c>
      <c r="Z64" s="15">
        <f t="shared" si="9"/>
        <v>40458.687120403847</v>
      </c>
      <c r="AA64" s="15">
        <f t="shared" si="5"/>
        <v>3282.4119600827903</v>
      </c>
      <c r="AB64" s="5">
        <f>T64/G14</f>
        <v>9.8748191107734348E-2</v>
      </c>
      <c r="AD64" s="5">
        <f t="shared" si="6"/>
        <v>9.8748191107734353</v>
      </c>
      <c r="AF64" s="5">
        <f t="shared" si="7"/>
        <v>7.5041826316319254E-2</v>
      </c>
    </row>
    <row r="65" spans="5:32" x14ac:dyDescent="0.2">
      <c r="E65">
        <v>1993</v>
      </c>
      <c r="F65" s="1">
        <v>582450</v>
      </c>
      <c r="G65" s="1">
        <v>13167700</v>
      </c>
      <c r="H65" s="1">
        <v>4232079700</v>
      </c>
      <c r="K65" s="2">
        <v>2004</v>
      </c>
      <c r="L65" s="3" t="s">
        <v>86</v>
      </c>
      <c r="M65" s="13">
        <f>SUM(H417+H448+H479+H510)</f>
        <v>185052265900</v>
      </c>
      <c r="N65" s="1">
        <f>SUM(F417+F448+F479+F510)</f>
        <v>2652415</v>
      </c>
      <c r="O65" s="5">
        <f>M65/H14</f>
        <v>0.22855573810821053</v>
      </c>
      <c r="Q65" s="5">
        <f t="shared" si="2"/>
        <v>22.855573810821053</v>
      </c>
      <c r="S65" s="15">
        <f t="shared" si="8"/>
        <v>69767.463198632191</v>
      </c>
      <c r="T65" s="15">
        <f>SUM(G417+G448+G479+G510)</f>
        <v>18479801700</v>
      </c>
      <c r="U65" s="15">
        <f t="shared" si="3"/>
        <v>166572464200</v>
      </c>
      <c r="V65" s="5">
        <f>U65/I14</f>
        <v>0.23087290387935436</v>
      </c>
      <c r="X65" s="5">
        <f t="shared" si="4"/>
        <v>23.087290387935436</v>
      </c>
      <c r="Z65" s="15">
        <f t="shared" si="9"/>
        <v>62800.302441360043</v>
      </c>
      <c r="AA65" s="15">
        <f t="shared" si="5"/>
        <v>6967.1607572721459</v>
      </c>
      <c r="AB65" s="5">
        <f>T65/G14</f>
        <v>0.20959437055418192</v>
      </c>
      <c r="AD65" s="5">
        <f t="shared" si="6"/>
        <v>20.959437055418192</v>
      </c>
      <c r="AF65" s="5">
        <f t="shared" si="7"/>
        <v>9.9862606978215876E-2</v>
      </c>
    </row>
    <row r="66" spans="5:32" x14ac:dyDescent="0.2">
      <c r="E66">
        <v>1994</v>
      </c>
      <c r="F66" s="1">
        <v>590495</v>
      </c>
      <c r="G66" s="1">
        <v>12308400</v>
      </c>
      <c r="H66" s="1">
        <v>4266535900</v>
      </c>
      <c r="K66" s="2">
        <v>2004</v>
      </c>
      <c r="L66" s="3" t="s">
        <v>90</v>
      </c>
      <c r="M66" s="13">
        <f>SUM(H541+H572+H603+H634)</f>
        <v>413192524500</v>
      </c>
      <c r="N66" s="1">
        <f>SUM(F541+F572+F603+F634)</f>
        <v>2652440</v>
      </c>
      <c r="O66" s="5">
        <f>M66/H14</f>
        <v>0.51032891685274073</v>
      </c>
      <c r="P66">
        <f>SUM(O62:O66)</f>
        <v>1</v>
      </c>
      <c r="Q66" s="5">
        <f t="shared" si="2"/>
        <v>51.032891685274073</v>
      </c>
      <c r="R66" s="6">
        <f>SUM(Q62:Q66)</f>
        <v>100</v>
      </c>
      <c r="S66" s="15">
        <f t="shared" si="8"/>
        <v>155778.2737781062</v>
      </c>
      <c r="T66" s="15">
        <f>SUM(G541+G572+G603+G634)</f>
        <v>57986527300</v>
      </c>
      <c r="U66" s="15">
        <f t="shared" si="3"/>
        <v>355205997200</v>
      </c>
      <c r="V66" s="5">
        <f>U66/I14</f>
        <v>0.49232290848781118</v>
      </c>
      <c r="W66">
        <f>SUM(V62:V66)</f>
        <v>1.000000000277204</v>
      </c>
      <c r="X66" s="5">
        <f t="shared" si="4"/>
        <v>49.232290848781119</v>
      </c>
      <c r="Y66" s="6">
        <f>SUM(X62:X66)</f>
        <v>100.00000002772042</v>
      </c>
      <c r="Z66" s="15">
        <f t="shared" si="9"/>
        <v>133916.69451523881</v>
      </c>
      <c r="AA66" s="15">
        <f t="shared" si="5"/>
        <v>21861.579262867399</v>
      </c>
      <c r="AB66" s="5">
        <f>T66/G14</f>
        <v>0.6576720836818496</v>
      </c>
      <c r="AC66" s="6">
        <f>SUM(AB62:AB66)</f>
        <v>0.99999999773163828</v>
      </c>
      <c r="AD66" s="5">
        <f t="shared" si="6"/>
        <v>65.767208368184953</v>
      </c>
      <c r="AE66" s="6">
        <f>SUM(AD62:AD66)</f>
        <v>99.999999773163822</v>
      </c>
      <c r="AF66" s="5">
        <f t="shared" si="7"/>
        <v>0.14033779379278194</v>
      </c>
    </row>
    <row r="67" spans="5:32" x14ac:dyDescent="0.2">
      <c r="E67">
        <v>1995</v>
      </c>
      <c r="F67" s="1">
        <v>600405</v>
      </c>
      <c r="G67" s="1">
        <v>13164400</v>
      </c>
      <c r="H67" s="1">
        <v>4336294900</v>
      </c>
      <c r="K67" s="2">
        <v>2005</v>
      </c>
      <c r="L67" s="3" t="s">
        <v>83</v>
      </c>
      <c r="M67" s="13">
        <f>SUM(H46+H77+H108+H139)</f>
        <v>29041183900</v>
      </c>
      <c r="N67" s="1">
        <f>SUM(F46+F77+F108+F139)</f>
        <v>2703285</v>
      </c>
      <c r="O67" s="5">
        <f>M67/H15</f>
        <v>3.3600899590664021E-2</v>
      </c>
      <c r="Q67" s="5">
        <f t="shared" ref="Q67:Q130" si="10">O67*100</f>
        <v>3.3600899590664022</v>
      </c>
      <c r="S67" s="15">
        <f t="shared" si="8"/>
        <v>10742.923480136205</v>
      </c>
      <c r="T67" s="15">
        <f>SUM(G46+G77+G108+G139)</f>
        <v>218436900</v>
      </c>
      <c r="U67" s="15">
        <f t="shared" ref="U67:U130" si="11">M67-T67</f>
        <v>28822747000</v>
      </c>
      <c r="V67" s="5">
        <f>U67/I15</f>
        <v>3.7295086874080216E-2</v>
      </c>
      <c r="X67" s="5">
        <f t="shared" ref="X67:X130" si="12">V67*100</f>
        <v>3.7295086874080217</v>
      </c>
      <c r="Z67" s="15">
        <f t="shared" ref="Z67:Z130" si="13">U67/N67</f>
        <v>10662.119236410515</v>
      </c>
      <c r="AA67" s="15">
        <f t="shared" ref="AA67:AA130" si="14">T67/N67</f>
        <v>80.804243725689304</v>
      </c>
      <c r="AB67" s="5">
        <f>T67/G15</f>
        <v>2.3881182064444226E-3</v>
      </c>
      <c r="AD67" s="5">
        <f t="shared" ref="AD67:AD130" si="15">AB67*100</f>
        <v>0.23881182064444226</v>
      </c>
      <c r="AF67" s="5">
        <f t="shared" ref="AF67:AF130" si="16">AA67/S67</f>
        <v>7.5216251772710959E-3</v>
      </c>
    </row>
    <row r="68" spans="5:32" x14ac:dyDescent="0.2">
      <c r="E68">
        <v>1996</v>
      </c>
      <c r="F68" s="1">
        <v>605845</v>
      </c>
      <c r="G68" s="1">
        <v>13333200</v>
      </c>
      <c r="H68" s="1">
        <v>4280488900</v>
      </c>
      <c r="K68" s="2">
        <v>2005</v>
      </c>
      <c r="L68" s="3" t="s">
        <v>84</v>
      </c>
      <c r="M68" s="13">
        <f>SUM(H170+H201+H232+H263)</f>
        <v>70627185000</v>
      </c>
      <c r="N68" s="1">
        <f>SUM(F170+F201+F232+F263)</f>
        <v>2703400</v>
      </c>
      <c r="O68" s="5">
        <f>M68/H15</f>
        <v>8.1716260594880644E-2</v>
      </c>
      <c r="Q68" s="5">
        <f t="shared" si="10"/>
        <v>8.1716260594880641</v>
      </c>
      <c r="S68" s="15">
        <f t="shared" si="8"/>
        <v>26125.318117925573</v>
      </c>
      <c r="T68" s="15">
        <f>SUM(G170+G201+G232+G263)</f>
        <v>2588277600</v>
      </c>
      <c r="U68" s="15">
        <f t="shared" si="11"/>
        <v>68038907400</v>
      </c>
      <c r="V68" s="5">
        <f>U68/I15</f>
        <v>8.8038692575017202E-2</v>
      </c>
      <c r="X68" s="5">
        <f t="shared" si="12"/>
        <v>8.8038692575017201</v>
      </c>
      <c r="Z68" s="15">
        <f t="shared" si="13"/>
        <v>25167.902419175854</v>
      </c>
      <c r="AA68" s="15">
        <f t="shared" si="14"/>
        <v>957.41569874972254</v>
      </c>
      <c r="AB68" s="5">
        <f>T68/G15</f>
        <v>2.8297017856837716E-2</v>
      </c>
      <c r="AD68" s="5">
        <f t="shared" si="15"/>
        <v>2.8297017856837714</v>
      </c>
      <c r="AF68" s="5">
        <f t="shared" si="16"/>
        <v>3.6647044618867371E-2</v>
      </c>
    </row>
    <row r="69" spans="5:32" x14ac:dyDescent="0.2">
      <c r="E69">
        <v>1997</v>
      </c>
      <c r="F69" s="1">
        <v>612780</v>
      </c>
      <c r="G69" s="1">
        <v>15439200</v>
      </c>
      <c r="H69" s="1">
        <v>4421308800</v>
      </c>
      <c r="K69" s="2">
        <v>2005</v>
      </c>
      <c r="L69" s="3" t="s">
        <v>85</v>
      </c>
      <c r="M69" s="13">
        <f>SUM(H294+H325+H356+H387)</f>
        <v>121960151400</v>
      </c>
      <c r="N69" s="1">
        <f>SUM(F294+F325+F356+F387)</f>
        <v>2703460</v>
      </c>
      <c r="O69" s="5">
        <f>M69/H15</f>
        <v>0.14110894429664012</v>
      </c>
      <c r="Q69" s="5">
        <f t="shared" si="10"/>
        <v>14.110894429664011</v>
      </c>
      <c r="S69" s="15">
        <f t="shared" si="8"/>
        <v>45112.615463147224</v>
      </c>
      <c r="T69" s="15">
        <f>SUM(G294+G325+G356+G387)</f>
        <v>8464328000</v>
      </c>
      <c r="U69" s="15">
        <f t="shared" si="11"/>
        <v>113495823400</v>
      </c>
      <c r="V69" s="5">
        <f>U69/I15</f>
        <v>0.14685750090191843</v>
      </c>
      <c r="X69" s="5">
        <f t="shared" si="12"/>
        <v>14.685750090191844</v>
      </c>
      <c r="Z69" s="15">
        <f t="shared" si="13"/>
        <v>41981.691388073064</v>
      </c>
      <c r="AA69" s="15">
        <f t="shared" si="14"/>
        <v>3130.9240750741642</v>
      </c>
      <c r="AB69" s="5">
        <f>T69/G15</f>
        <v>9.2538466724794696E-2</v>
      </c>
      <c r="AD69" s="5">
        <f t="shared" si="15"/>
        <v>9.2538466724794688</v>
      </c>
      <c r="AF69" s="5">
        <f t="shared" si="16"/>
        <v>6.9402406465034941E-2</v>
      </c>
    </row>
    <row r="70" spans="5:32" x14ac:dyDescent="0.2">
      <c r="E70">
        <v>1998</v>
      </c>
      <c r="F70" s="1">
        <v>617215</v>
      </c>
      <c r="G70" s="1">
        <v>17382100</v>
      </c>
      <c r="H70" s="1">
        <v>4727966800</v>
      </c>
      <c r="K70" s="2">
        <v>2005</v>
      </c>
      <c r="L70" s="3" t="s">
        <v>86</v>
      </c>
      <c r="M70" s="13">
        <f>SUM(H418+H449+H480+H511)</f>
        <v>195364082700</v>
      </c>
      <c r="N70" s="1">
        <f>SUM(F418+F449+F480+F511)</f>
        <v>2703435</v>
      </c>
      <c r="O70" s="5">
        <f>M70/H15</f>
        <v>0.22603792424677568</v>
      </c>
      <c r="Q70" s="5">
        <f t="shared" si="10"/>
        <v>22.603792424677568</v>
      </c>
      <c r="S70" s="15">
        <f t="shared" ref="S70:S133" si="17">M70/N70</f>
        <v>72265.13036192843</v>
      </c>
      <c r="T70" s="15">
        <f>SUM(G418+G449+G480+G511)</f>
        <v>18516599300</v>
      </c>
      <c r="U70" s="15">
        <f t="shared" si="11"/>
        <v>176847483400</v>
      </c>
      <c r="V70" s="5">
        <f>U70/I15</f>
        <v>0.22883114704040733</v>
      </c>
      <c r="X70" s="5">
        <f t="shared" si="12"/>
        <v>22.883114704040732</v>
      </c>
      <c r="Z70" s="15">
        <f t="shared" si="13"/>
        <v>65415.844434950348</v>
      </c>
      <c r="AA70" s="15">
        <f t="shared" si="14"/>
        <v>6849.2859269780856</v>
      </c>
      <c r="AB70" s="5">
        <f>T70/G15</f>
        <v>0.20243753646827092</v>
      </c>
      <c r="AD70" s="5">
        <f t="shared" si="15"/>
        <v>20.243753646827091</v>
      </c>
      <c r="AF70" s="5">
        <f t="shared" si="16"/>
        <v>9.4779956704907672E-2</v>
      </c>
    </row>
    <row r="71" spans="5:32" x14ac:dyDescent="0.2">
      <c r="E71">
        <v>1999</v>
      </c>
      <c r="F71" s="1">
        <v>627215</v>
      </c>
      <c r="G71" s="1">
        <v>17257000</v>
      </c>
      <c r="H71" s="1">
        <v>4956142500</v>
      </c>
      <c r="K71" s="2">
        <v>2005</v>
      </c>
      <c r="L71" s="3" t="s">
        <v>90</v>
      </c>
      <c r="M71" s="13">
        <f>SUM(H542+H573+H604+H635)</f>
        <v>447305206200</v>
      </c>
      <c r="N71" s="1">
        <f>SUM(F542+F573+F604+F635)</f>
        <v>2703475</v>
      </c>
      <c r="O71" s="5">
        <f>M71/H15</f>
        <v>0.51753597138674035</v>
      </c>
      <c r="P71">
        <f>SUM(O67:O71)</f>
        <v>1.0000000001157008</v>
      </c>
      <c r="Q71" s="5">
        <f t="shared" si="10"/>
        <v>51.753597138674031</v>
      </c>
      <c r="R71" s="6">
        <f>SUM(Q67:Q71)</f>
        <v>100.00000001157008</v>
      </c>
      <c r="S71" s="15">
        <f t="shared" si="17"/>
        <v>165455.64734277182</v>
      </c>
      <c r="T71" s="15">
        <f>SUM(G542+G573+G604+G635)</f>
        <v>61680569200</v>
      </c>
      <c r="U71" s="15">
        <f t="shared" si="11"/>
        <v>385624637000</v>
      </c>
      <c r="V71" s="5">
        <f>U71/I15</f>
        <v>0.49897757273797144</v>
      </c>
      <c r="W71">
        <f>SUM(V67:V71)</f>
        <v>1.0000000001293945</v>
      </c>
      <c r="X71" s="5">
        <f t="shared" si="12"/>
        <v>49.897757273797147</v>
      </c>
      <c r="Y71" s="6">
        <f>SUM(X67:X71)</f>
        <v>100.00000001293947</v>
      </c>
      <c r="Z71" s="15">
        <f t="shared" si="13"/>
        <v>142640.35620821349</v>
      </c>
      <c r="AA71" s="15">
        <f t="shared" si="14"/>
        <v>22815.291134558302</v>
      </c>
      <c r="AB71" s="5">
        <f>T71/G15</f>
        <v>0.67433886074365224</v>
      </c>
      <c r="AC71" s="6">
        <f>SUM(AB67:AB71)</f>
        <v>1</v>
      </c>
      <c r="AD71" s="5">
        <f t="shared" si="15"/>
        <v>67.433886074365219</v>
      </c>
      <c r="AE71" s="6">
        <f>SUM(AD67:AD71)</f>
        <v>100</v>
      </c>
      <c r="AF71" s="5">
        <f t="shared" si="16"/>
        <v>0.13789369840784116</v>
      </c>
    </row>
    <row r="72" spans="5:32" x14ac:dyDescent="0.2">
      <c r="E72">
        <v>2000</v>
      </c>
      <c r="F72" s="1">
        <v>635690</v>
      </c>
      <c r="G72" s="1">
        <v>19378900</v>
      </c>
      <c r="H72" s="1">
        <v>5174760200</v>
      </c>
      <c r="K72" s="2">
        <v>2006</v>
      </c>
      <c r="L72" s="3" t="s">
        <v>83</v>
      </c>
      <c r="M72" s="13">
        <f>SUM(H47+H78+H109+H140)</f>
        <v>31160289400</v>
      </c>
      <c r="N72" s="1">
        <f>SUM(F47+F78+F109+F140)</f>
        <v>2732885</v>
      </c>
      <c r="O72" s="5">
        <f>M72/H16</f>
        <v>3.3606180989673537E-2</v>
      </c>
      <c r="Q72" s="5">
        <f t="shared" si="10"/>
        <v>3.3606180989673535</v>
      </c>
      <c r="S72" s="15">
        <f t="shared" si="17"/>
        <v>11401.976080222914</v>
      </c>
      <c r="T72" s="15">
        <f>SUM(G47+G78+G109+G140)</f>
        <v>231740800</v>
      </c>
      <c r="U72" s="15">
        <f t="shared" si="11"/>
        <v>30928548600</v>
      </c>
      <c r="V72" s="5">
        <f>U72/I16</f>
        <v>3.7327298020531856E-2</v>
      </c>
      <c r="X72" s="5">
        <f t="shared" si="12"/>
        <v>3.7327298020531856</v>
      </c>
      <c r="Z72" s="15">
        <f t="shared" si="13"/>
        <v>11317.178951913455</v>
      </c>
      <c r="AA72" s="15">
        <f t="shared" si="14"/>
        <v>84.797128309460518</v>
      </c>
      <c r="AB72" s="5">
        <f>T72/G16</f>
        <v>2.3493168418740481E-3</v>
      </c>
      <c r="AD72" s="5">
        <f t="shared" si="15"/>
        <v>0.23493168418740482</v>
      </c>
      <c r="AF72" s="5">
        <f t="shared" si="16"/>
        <v>7.4370554466031379E-3</v>
      </c>
    </row>
    <row r="73" spans="5:32" x14ac:dyDescent="0.2">
      <c r="E73">
        <v>2001</v>
      </c>
      <c r="F73" s="1">
        <v>639405</v>
      </c>
      <c r="G73" s="1">
        <v>32769000</v>
      </c>
      <c r="H73" s="1">
        <v>5820192200</v>
      </c>
      <c r="K73" s="2">
        <v>2006</v>
      </c>
      <c r="L73" s="3" t="s">
        <v>84</v>
      </c>
      <c r="M73" s="13">
        <f>SUM(H171+H202+H233+H264)</f>
        <v>75085163100</v>
      </c>
      <c r="N73" s="1">
        <f>SUM(F171+F202+F233+F264)</f>
        <v>2732810</v>
      </c>
      <c r="O73" s="5">
        <f>M73/H16</f>
        <v>8.0978887852619141E-2</v>
      </c>
      <c r="Q73" s="5">
        <f t="shared" si="10"/>
        <v>8.0978887852619135</v>
      </c>
      <c r="S73" s="15">
        <f t="shared" si="17"/>
        <v>27475.442163926509</v>
      </c>
      <c r="T73" s="15">
        <f>SUM(G171+G202+G233+G264)</f>
        <v>2659612600</v>
      </c>
      <c r="U73" s="15">
        <f t="shared" si="11"/>
        <v>72425550500</v>
      </c>
      <c r="V73" s="5">
        <f>U73/I16</f>
        <v>8.7409536825616835E-2</v>
      </c>
      <c r="X73" s="5">
        <f t="shared" si="12"/>
        <v>8.7409536825616829</v>
      </c>
      <c r="Z73" s="15">
        <f t="shared" si="13"/>
        <v>26502.226828795268</v>
      </c>
      <c r="AA73" s="15">
        <f t="shared" si="14"/>
        <v>973.21533513123859</v>
      </c>
      <c r="AB73" s="5">
        <f>T73/G16</f>
        <v>2.6962333236272704E-2</v>
      </c>
      <c r="AD73" s="5">
        <f t="shared" si="15"/>
        <v>2.6962333236272706</v>
      </c>
      <c r="AF73" s="5">
        <f t="shared" si="16"/>
        <v>3.5421280186311535E-2</v>
      </c>
    </row>
    <row r="74" spans="5:32" x14ac:dyDescent="0.2">
      <c r="E74">
        <v>2002</v>
      </c>
      <c r="F74" s="1">
        <v>638430</v>
      </c>
      <c r="G74" s="1">
        <v>26833900</v>
      </c>
      <c r="H74" s="1">
        <v>5881982700</v>
      </c>
      <c r="K74" s="2">
        <v>2006</v>
      </c>
      <c r="L74" s="3" t="s">
        <v>85</v>
      </c>
      <c r="M74" s="13">
        <f>SUM(H295+H326+H357+H388)</f>
        <v>129081906400</v>
      </c>
      <c r="N74" s="1">
        <f>SUM(F295+F326+F357+F388)</f>
        <v>2732955</v>
      </c>
      <c r="O74" s="5">
        <f>M74/H16</f>
        <v>0.139214044301222</v>
      </c>
      <c r="Q74" s="5">
        <f t="shared" si="10"/>
        <v>13.9214044301222</v>
      </c>
      <c r="S74" s="15">
        <f t="shared" si="17"/>
        <v>47231.625255446947</v>
      </c>
      <c r="T74" s="15">
        <f>SUM(G295+G326+G357+G388)</f>
        <v>8884930500</v>
      </c>
      <c r="U74" s="15">
        <f t="shared" si="11"/>
        <v>120196975900</v>
      </c>
      <c r="V74" s="5">
        <f>U74/I16</f>
        <v>0.14506430284239025</v>
      </c>
      <c r="X74" s="5">
        <f t="shared" si="12"/>
        <v>14.506430284239025</v>
      </c>
      <c r="Z74" s="15">
        <f t="shared" si="13"/>
        <v>43980.590935452652</v>
      </c>
      <c r="AA74" s="15">
        <f t="shared" si="14"/>
        <v>3251.0343199942918</v>
      </c>
      <c r="AB74" s="5">
        <f>T74/G16</f>
        <v>9.0072688376541407E-2</v>
      </c>
      <c r="AD74" s="5">
        <f t="shared" si="15"/>
        <v>9.0072688376541414</v>
      </c>
      <c r="AF74" s="5">
        <f t="shared" si="16"/>
        <v>6.8831726674901353E-2</v>
      </c>
    </row>
    <row r="75" spans="5:32" x14ac:dyDescent="0.2">
      <c r="E75">
        <v>2003</v>
      </c>
      <c r="F75" s="1">
        <v>653695</v>
      </c>
      <c r="G75" s="1">
        <v>26195900</v>
      </c>
      <c r="H75" s="1">
        <v>5976532800</v>
      </c>
      <c r="K75" s="2">
        <v>2006</v>
      </c>
      <c r="L75" s="3" t="s">
        <v>86</v>
      </c>
      <c r="M75" s="13">
        <f>SUM(H419+H450+H481+H512)</f>
        <v>207044425000</v>
      </c>
      <c r="N75" s="1">
        <f>SUM(F419+F450+F481+F512)</f>
        <v>2732965</v>
      </c>
      <c r="O75" s="5">
        <f>M75/H16</f>
        <v>0.22329614241172252</v>
      </c>
      <c r="Q75" s="5">
        <f t="shared" si="10"/>
        <v>22.329614241172251</v>
      </c>
      <c r="S75" s="15">
        <f t="shared" si="17"/>
        <v>75758.169241098949</v>
      </c>
      <c r="T75" s="15">
        <f>SUM(G419+G450+G481+G512)</f>
        <v>19639529600</v>
      </c>
      <c r="U75" s="15">
        <f t="shared" si="11"/>
        <v>187404895400</v>
      </c>
      <c r="V75" s="5">
        <f>U75/I16</f>
        <v>0.22617674277487432</v>
      </c>
      <c r="X75" s="5">
        <f t="shared" si="12"/>
        <v>22.617674277487431</v>
      </c>
      <c r="Z75" s="15">
        <f t="shared" si="13"/>
        <v>68572.007105835597</v>
      </c>
      <c r="AA75" s="15">
        <f t="shared" si="14"/>
        <v>7186.1621352633492</v>
      </c>
      <c r="AB75" s="5">
        <f>T75/G16</f>
        <v>0.199099501062238</v>
      </c>
      <c r="AD75" s="5">
        <f t="shared" si="15"/>
        <v>19.9099501062238</v>
      </c>
      <c r="AF75" s="5">
        <f t="shared" si="16"/>
        <v>9.4856597080554092E-2</v>
      </c>
    </row>
    <row r="76" spans="5:32" x14ac:dyDescent="0.2">
      <c r="E76">
        <v>2004</v>
      </c>
      <c r="F76" s="1">
        <v>663100</v>
      </c>
      <c r="G76" s="1">
        <v>26248400</v>
      </c>
      <c r="H76" s="1">
        <v>6225397100</v>
      </c>
      <c r="K76" s="2">
        <v>2006</v>
      </c>
      <c r="L76" s="3" t="s">
        <v>90</v>
      </c>
      <c r="M76" s="13">
        <f>SUM(H543+H574+H605+H636)</f>
        <v>484847212100</v>
      </c>
      <c r="N76" s="1">
        <f>SUM(F543+F574+F605+F636)</f>
        <v>2732920</v>
      </c>
      <c r="O76" s="5">
        <f>M76/H16</f>
        <v>0.52290474433691336</v>
      </c>
      <c r="P76">
        <f>SUM(O72:O76)</f>
        <v>0.99999999989215049</v>
      </c>
      <c r="Q76" s="5">
        <f t="shared" si="10"/>
        <v>52.290474433691337</v>
      </c>
      <c r="R76" s="6">
        <f>SUM(Q72:Q76)</f>
        <v>99.999999989215056</v>
      </c>
      <c r="S76" s="15">
        <f t="shared" si="17"/>
        <v>177409.95422478521</v>
      </c>
      <c r="T76" s="15">
        <f>SUM(G543+G574+G605+G636)</f>
        <v>67225968500</v>
      </c>
      <c r="U76" s="15">
        <f t="shared" si="11"/>
        <v>417621243600</v>
      </c>
      <c r="V76" s="5">
        <f>U76/I16</f>
        <v>0.50402211953658671</v>
      </c>
      <c r="W76">
        <f>SUM(V72:V76)</f>
        <v>1</v>
      </c>
      <c r="X76" s="5">
        <f t="shared" si="12"/>
        <v>50.402211953658671</v>
      </c>
      <c r="Y76" s="6">
        <f>SUM(X72:X76)</f>
        <v>100</v>
      </c>
      <c r="Z76" s="15">
        <f t="shared" si="13"/>
        <v>152811.36791417238</v>
      </c>
      <c r="AA76" s="15">
        <f t="shared" si="14"/>
        <v>24598.586310612824</v>
      </c>
      <c r="AB76" s="5">
        <f>T76/G16</f>
        <v>0.68151615946930466</v>
      </c>
      <c r="AC76" s="6">
        <f>SUM(AB72:AB76)</f>
        <v>0.99999999898623082</v>
      </c>
      <c r="AD76" s="5">
        <f t="shared" si="15"/>
        <v>68.151615946930463</v>
      </c>
      <c r="AE76" s="6">
        <f>SUM(AD72:AD76)</f>
        <v>99.999999898623088</v>
      </c>
      <c r="AF76" s="5">
        <f t="shared" si="16"/>
        <v>0.13865392400386661</v>
      </c>
    </row>
    <row r="77" spans="5:32" x14ac:dyDescent="0.2">
      <c r="E77">
        <v>2005</v>
      </c>
      <c r="F77" s="1">
        <v>675865</v>
      </c>
      <c r="G77" s="1">
        <v>21147500</v>
      </c>
      <c r="H77" s="1">
        <v>6485910300</v>
      </c>
      <c r="K77" s="2">
        <v>2007</v>
      </c>
      <c r="L77" s="3" t="s">
        <v>83</v>
      </c>
      <c r="M77" s="13">
        <f>SUM(H48+H79+H110+H141)</f>
        <v>33292412800</v>
      </c>
      <c r="N77" s="1">
        <f>SUM(F48+F79+F110+F141)</f>
        <v>2770685</v>
      </c>
      <c r="O77" s="5">
        <f>M77/H17</f>
        <v>3.3669205596989993E-2</v>
      </c>
      <c r="Q77" s="5">
        <f t="shared" si="10"/>
        <v>3.3669205596989995</v>
      </c>
      <c r="S77" s="15">
        <f t="shared" si="17"/>
        <v>12015.9501350749</v>
      </c>
      <c r="T77" s="15">
        <f>SUM(G48+G79+G110+G141)</f>
        <v>199520900</v>
      </c>
      <c r="U77" s="15">
        <f t="shared" si="11"/>
        <v>33092891900</v>
      </c>
      <c r="V77" s="5">
        <f>U77/I17</f>
        <v>3.7274162186489705E-2</v>
      </c>
      <c r="X77" s="5">
        <f t="shared" si="12"/>
        <v>3.7274162186489703</v>
      </c>
      <c r="Z77" s="15">
        <f t="shared" si="13"/>
        <v>11943.938737171493</v>
      </c>
      <c r="AA77" s="15">
        <f t="shared" si="14"/>
        <v>72.011397903406561</v>
      </c>
      <c r="AB77" s="5">
        <f>T77/G17</f>
        <v>1.9757462692571448E-3</v>
      </c>
      <c r="AD77" s="5">
        <f t="shared" si="15"/>
        <v>0.19757462692571448</v>
      </c>
      <c r="AF77" s="5">
        <f t="shared" si="16"/>
        <v>5.9929840831482182E-3</v>
      </c>
    </row>
    <row r="78" spans="5:32" x14ac:dyDescent="0.2">
      <c r="E78">
        <v>2006</v>
      </c>
      <c r="F78" s="1">
        <v>683300</v>
      </c>
      <c r="G78" s="1">
        <v>23868500</v>
      </c>
      <c r="H78" s="1">
        <v>6929422200</v>
      </c>
      <c r="K78" s="2">
        <v>2007</v>
      </c>
      <c r="L78" s="3" t="s">
        <v>84</v>
      </c>
      <c r="M78" s="13">
        <f>SUM(H172+H203+H234+H265)</f>
        <v>80095540600</v>
      </c>
      <c r="N78" s="1">
        <f>SUM(F172+F203+F234+F265)</f>
        <v>2770600</v>
      </c>
      <c r="O78" s="5">
        <f>M78/H17</f>
        <v>8.1002036111466794E-2</v>
      </c>
      <c r="Q78" s="5">
        <f t="shared" si="10"/>
        <v>8.1002036111466786</v>
      </c>
      <c r="S78" s="15">
        <f t="shared" si="17"/>
        <v>28909.095719338773</v>
      </c>
      <c r="T78" s="15">
        <f>SUM(G172+G203+G234+G265)</f>
        <v>2510031500</v>
      </c>
      <c r="U78" s="15">
        <f t="shared" si="11"/>
        <v>77585509100</v>
      </c>
      <c r="V78" s="5">
        <f>U78/I17</f>
        <v>8.7388399244575324E-2</v>
      </c>
      <c r="X78" s="5">
        <f t="shared" si="12"/>
        <v>8.7388399244575332</v>
      </c>
      <c r="Z78" s="15">
        <f t="shared" si="13"/>
        <v>28003.143398541833</v>
      </c>
      <c r="AA78" s="15">
        <f t="shared" si="14"/>
        <v>905.95232079693926</v>
      </c>
      <c r="AB78" s="5">
        <f>T78/G17</f>
        <v>2.4855468133127483E-2</v>
      </c>
      <c r="AD78" s="5">
        <f t="shared" si="15"/>
        <v>2.4855468133127485</v>
      </c>
      <c r="AF78" s="5">
        <f t="shared" si="16"/>
        <v>3.1337968146506273E-2</v>
      </c>
    </row>
    <row r="79" spans="5:32" x14ac:dyDescent="0.2">
      <c r="E79">
        <v>2007</v>
      </c>
      <c r="F79" s="1">
        <v>692605</v>
      </c>
      <c r="G79" s="1">
        <v>15051600</v>
      </c>
      <c r="H79" s="1">
        <v>7450038000</v>
      </c>
      <c r="K79" s="2">
        <v>2007</v>
      </c>
      <c r="L79" s="3" t="s">
        <v>85</v>
      </c>
      <c r="M79" s="13">
        <f>SUM(H296+H327+H358+H389)</f>
        <v>137019861200</v>
      </c>
      <c r="N79" s="1">
        <f>SUM(F296+F327+F358+F389)</f>
        <v>2770735</v>
      </c>
      <c r="O79" s="5">
        <f>M79/H17</f>
        <v>0.13857060782370909</v>
      </c>
      <c r="Q79" s="5">
        <f t="shared" si="10"/>
        <v>13.857060782370908</v>
      </c>
      <c r="S79" s="15">
        <f t="shared" si="17"/>
        <v>49452.531981586115</v>
      </c>
      <c r="T79" s="15">
        <f>SUM(G296+G327+G358+G389)</f>
        <v>8535180100</v>
      </c>
      <c r="U79" s="15">
        <f t="shared" si="11"/>
        <v>128484681100</v>
      </c>
      <c r="V79" s="5">
        <f>U79/I17</f>
        <v>0.14471865608701331</v>
      </c>
      <c r="X79" s="5">
        <f t="shared" si="12"/>
        <v>14.471865608701332</v>
      </c>
      <c r="Z79" s="15">
        <f t="shared" si="13"/>
        <v>46372.056909087303</v>
      </c>
      <c r="AA79" s="15">
        <f t="shared" si="14"/>
        <v>3080.4750724988135</v>
      </c>
      <c r="AB79" s="5">
        <f>T79/G17</f>
        <v>8.4519216984350137E-2</v>
      </c>
      <c r="AD79" s="5">
        <f t="shared" si="15"/>
        <v>8.4519216984350134</v>
      </c>
      <c r="AF79" s="5">
        <f t="shared" si="16"/>
        <v>6.2291554123979798E-2</v>
      </c>
    </row>
    <row r="80" spans="5:32" x14ac:dyDescent="0.2">
      <c r="E80">
        <v>2008</v>
      </c>
      <c r="F80" s="1">
        <v>703080</v>
      </c>
      <c r="G80" s="1">
        <v>17881500</v>
      </c>
      <c r="H80" s="1">
        <v>7711940600</v>
      </c>
      <c r="K80" s="2">
        <v>2007</v>
      </c>
      <c r="L80" s="3" t="s">
        <v>86</v>
      </c>
      <c r="M80" s="13">
        <f>SUM(H420+H451+H482+H513)</f>
        <v>219661318400</v>
      </c>
      <c r="N80" s="1">
        <f>SUM(F420+F451+F482+F513)</f>
        <v>2770690</v>
      </c>
      <c r="O80" s="5">
        <f>M80/H17</f>
        <v>0.22214737439863419</v>
      </c>
      <c r="Q80" s="5">
        <f t="shared" si="10"/>
        <v>22.21473743986342</v>
      </c>
      <c r="S80" s="15">
        <f t="shared" si="17"/>
        <v>79280.366406923902</v>
      </c>
      <c r="T80" s="15">
        <f>SUM(G420+G451+G482+G513)</f>
        <v>19451606600</v>
      </c>
      <c r="U80" s="15">
        <f t="shared" si="11"/>
        <v>200209711800</v>
      </c>
      <c r="V80" s="5">
        <f>U80/I17</f>
        <v>0.22550610842637062</v>
      </c>
      <c r="X80" s="5">
        <f t="shared" si="12"/>
        <v>22.550610842637063</v>
      </c>
      <c r="Z80" s="15">
        <f t="shared" si="13"/>
        <v>72259.874543886181</v>
      </c>
      <c r="AA80" s="15">
        <f t="shared" si="14"/>
        <v>7020.4918630377269</v>
      </c>
      <c r="AB80" s="5">
        <f>T80/G17</f>
        <v>0.19261861374426267</v>
      </c>
      <c r="AD80" s="5">
        <f t="shared" si="15"/>
        <v>19.261861374426267</v>
      </c>
      <c r="AF80" s="5">
        <f t="shared" si="16"/>
        <v>8.855271716333285E-2</v>
      </c>
    </row>
    <row r="81" spans="2:32" x14ac:dyDescent="0.2">
      <c r="E81">
        <v>2009</v>
      </c>
      <c r="F81" s="1">
        <v>711755</v>
      </c>
      <c r="G81" s="1">
        <v>10550300</v>
      </c>
      <c r="H81" s="1">
        <v>7800932900</v>
      </c>
      <c r="K81" s="2">
        <v>2007</v>
      </c>
      <c r="L81" s="3" t="s">
        <v>90</v>
      </c>
      <c r="M81" s="13">
        <f>SUM(H544+H575+H606+H637)</f>
        <v>518739845700</v>
      </c>
      <c r="N81" s="1">
        <f>SUM(F544+F575+F606+F637)</f>
        <v>2770735</v>
      </c>
      <c r="O81" s="5">
        <f>M81/H17</f>
        <v>0.52461077606919992</v>
      </c>
      <c r="P81">
        <f>SUM(O77:O81)</f>
        <v>1</v>
      </c>
      <c r="Q81" s="5">
        <f t="shared" si="10"/>
        <v>52.461077606919993</v>
      </c>
      <c r="R81" s="6">
        <f>SUM(Q77:Q81)</f>
        <v>100</v>
      </c>
      <c r="S81" s="15">
        <f t="shared" si="17"/>
        <v>187221.02463786685</v>
      </c>
      <c r="T81" s="15">
        <f>SUM(G544+G575+G606+G637)</f>
        <v>70288743800</v>
      </c>
      <c r="U81" s="15">
        <f t="shared" si="11"/>
        <v>448451101900</v>
      </c>
      <c r="V81" s="5">
        <f>U81/I17</f>
        <v>0.50511267360501122</v>
      </c>
      <c r="W81">
        <f>SUM(V77:V81)</f>
        <v>0.99999999954946017</v>
      </c>
      <c r="X81" s="5">
        <f t="shared" si="12"/>
        <v>50.511267360501122</v>
      </c>
      <c r="Y81" s="6">
        <f>SUM(X77:X81)</f>
        <v>99.99999995494602</v>
      </c>
      <c r="Z81" s="15">
        <f t="shared" si="13"/>
        <v>161852.75816705675</v>
      </c>
      <c r="AA81" s="15">
        <f t="shared" si="14"/>
        <v>25368.266470810093</v>
      </c>
      <c r="AB81" s="5">
        <f>T81/G17</f>
        <v>0.69603095882998367</v>
      </c>
      <c r="AC81" s="6">
        <f>SUM(AB77:AB81)</f>
        <v>1.0000000039609811</v>
      </c>
      <c r="AD81" s="5">
        <f t="shared" si="15"/>
        <v>69.60309588299836</v>
      </c>
      <c r="AE81" s="6">
        <f>SUM(AD77:AD81)</f>
        <v>100.0000003960981</v>
      </c>
      <c r="AF81" s="5">
        <f t="shared" si="16"/>
        <v>0.13549902592339072</v>
      </c>
    </row>
    <row r="82" spans="2:32" x14ac:dyDescent="0.2">
      <c r="E82">
        <v>2010</v>
      </c>
      <c r="F82" s="1">
        <v>719285</v>
      </c>
      <c r="G82" s="1">
        <v>10644500</v>
      </c>
      <c r="H82" s="1">
        <v>8049861900</v>
      </c>
      <c r="K82" s="2">
        <v>2008</v>
      </c>
      <c r="L82" s="3" t="s">
        <v>83</v>
      </c>
      <c r="M82" s="13">
        <f>SUM(H49+H80+H111+H142)</f>
        <v>34514831700</v>
      </c>
      <c r="N82" s="1">
        <f>SUM(F49+F80+F111+F142)</f>
        <v>2812100</v>
      </c>
      <c r="O82" s="5">
        <f>M82/H18</f>
        <v>3.414862996065423E-2</v>
      </c>
      <c r="Q82" s="5">
        <f t="shared" si="10"/>
        <v>3.4148629960654229</v>
      </c>
      <c r="S82" s="15">
        <f t="shared" si="17"/>
        <v>12273.685750862345</v>
      </c>
      <c r="T82" s="15">
        <f>SUM(G49+G80+G111+G142)</f>
        <v>213011200</v>
      </c>
      <c r="U82" s="15">
        <f t="shared" si="11"/>
        <v>34301820500</v>
      </c>
      <c r="V82" s="5">
        <f>U82/I18</f>
        <v>3.7851285843113557E-2</v>
      </c>
      <c r="X82" s="5">
        <f t="shared" si="12"/>
        <v>3.7851285843113556</v>
      </c>
      <c r="Z82" s="15">
        <f t="shared" si="13"/>
        <v>12197.937662245296</v>
      </c>
      <c r="AA82" s="15">
        <f t="shared" si="14"/>
        <v>75.748088617047756</v>
      </c>
      <c r="AB82" s="5">
        <f>T82/G18</f>
        <v>2.0384289531385691E-3</v>
      </c>
      <c r="AD82" s="5">
        <f t="shared" si="15"/>
        <v>0.20384289531385691</v>
      </c>
      <c r="AF82" s="5">
        <f t="shared" si="16"/>
        <v>6.1715844901541264E-3</v>
      </c>
    </row>
    <row r="83" spans="2:32" x14ac:dyDescent="0.2">
      <c r="E83">
        <v>2011</v>
      </c>
      <c r="F83" s="1">
        <v>729955</v>
      </c>
      <c r="G83" s="1">
        <v>11430200</v>
      </c>
      <c r="H83" s="1">
        <v>8448534000</v>
      </c>
      <c r="K83" s="2">
        <v>2008</v>
      </c>
      <c r="L83" s="3" t="s">
        <v>84</v>
      </c>
      <c r="M83" s="13">
        <f>SUM(H173+H204+H235+H266)</f>
        <v>83182145000</v>
      </c>
      <c r="N83" s="1">
        <f>SUM(F173+F204+F235+F266)</f>
        <v>2812345</v>
      </c>
      <c r="O83" s="5">
        <f>M83/H18</f>
        <v>8.2299583947804233E-2</v>
      </c>
      <c r="Q83" s="5">
        <f t="shared" si="10"/>
        <v>8.2299583947804233</v>
      </c>
      <c r="S83" s="15">
        <f t="shared" si="17"/>
        <v>29577.503826877572</v>
      </c>
      <c r="T83" s="15">
        <f>SUM(G173+G204+G235+G266)</f>
        <v>2676113400</v>
      </c>
      <c r="U83" s="15">
        <f t="shared" si="11"/>
        <v>80506031600</v>
      </c>
      <c r="V83" s="5">
        <f>U83/I18</f>
        <v>8.8836591462728126E-2</v>
      </c>
      <c r="X83" s="5">
        <f t="shared" si="12"/>
        <v>8.8836591462728123</v>
      </c>
      <c r="Z83" s="15">
        <f t="shared" si="13"/>
        <v>28625.944398713527</v>
      </c>
      <c r="AA83" s="15">
        <f t="shared" si="14"/>
        <v>951.55942816404104</v>
      </c>
      <c r="AB83" s="5">
        <f>T83/G18</f>
        <v>2.5609296771447212E-2</v>
      </c>
      <c r="AD83" s="5">
        <f t="shared" si="15"/>
        <v>2.560929677144721</v>
      </c>
      <c r="AF83" s="5">
        <f t="shared" si="16"/>
        <v>3.2171728680475839E-2</v>
      </c>
    </row>
    <row r="84" spans="2:32" x14ac:dyDescent="0.2">
      <c r="E84">
        <v>2012</v>
      </c>
      <c r="F84" s="1">
        <v>741390</v>
      </c>
      <c r="G84" s="1">
        <v>12322800</v>
      </c>
      <c r="H84" s="1">
        <v>8843905600</v>
      </c>
      <c r="K84" s="2">
        <v>2008</v>
      </c>
      <c r="L84" s="3" t="s">
        <v>85</v>
      </c>
      <c r="M84" s="13">
        <f>SUM(H297+H328+H359+H390)</f>
        <v>142067599900</v>
      </c>
      <c r="N84" s="1">
        <f>SUM(F297+F328+F359+F390)</f>
        <v>2812310</v>
      </c>
      <c r="O84" s="5">
        <f>M84/H18</f>
        <v>0.14056026523760734</v>
      </c>
      <c r="Q84" s="5">
        <f t="shared" si="10"/>
        <v>14.056026523760734</v>
      </c>
      <c r="S84" s="15">
        <f t="shared" si="17"/>
        <v>50516.337068104156</v>
      </c>
      <c r="T84" s="15">
        <f>SUM(G297+G328+G359+G390)</f>
        <v>8991187600</v>
      </c>
      <c r="U84" s="15">
        <f t="shared" si="11"/>
        <v>133076412300</v>
      </c>
      <c r="V84" s="5">
        <f>U84/I18</f>
        <v>0.14684682175814351</v>
      </c>
      <c r="X84" s="5">
        <f t="shared" si="12"/>
        <v>14.68468217581435</v>
      </c>
      <c r="Z84" s="15">
        <f t="shared" si="13"/>
        <v>47319.25438518513</v>
      </c>
      <c r="AA84" s="15">
        <f t="shared" si="14"/>
        <v>3197.0826829190237</v>
      </c>
      <c r="AB84" s="5">
        <f>T84/G18</f>
        <v>8.6041941113615072E-2</v>
      </c>
      <c r="AD84" s="5">
        <f t="shared" si="15"/>
        <v>8.6041941113615081</v>
      </c>
      <c r="AF84" s="5">
        <f t="shared" si="16"/>
        <v>6.328809388156631E-2</v>
      </c>
    </row>
    <row r="85" spans="2:32" x14ac:dyDescent="0.2">
      <c r="E85">
        <v>2013</v>
      </c>
      <c r="F85" s="1">
        <v>752480</v>
      </c>
      <c r="G85" s="1">
        <v>11425200</v>
      </c>
      <c r="H85" s="1">
        <v>9090825400</v>
      </c>
      <c r="K85" s="2">
        <v>2008</v>
      </c>
      <c r="L85" s="3" t="s">
        <v>86</v>
      </c>
      <c r="M85" s="13">
        <f>SUM(H421+H452+H483+H514)</f>
        <v>228179302800</v>
      </c>
      <c r="N85" s="1">
        <f>SUM(F421+F452+F483+F514)</f>
        <v>2812310</v>
      </c>
      <c r="O85" s="5">
        <f>M85/H18</f>
        <v>0.22575832452914071</v>
      </c>
      <c r="Q85" s="5">
        <f t="shared" si="10"/>
        <v>22.575832452914071</v>
      </c>
      <c r="S85" s="15">
        <f t="shared" si="17"/>
        <v>81135.899954130233</v>
      </c>
      <c r="T85" s="15">
        <f>SUM(G421+G452+G483+G514)</f>
        <v>20558994300</v>
      </c>
      <c r="U85" s="15">
        <f t="shared" si="11"/>
        <v>207620308500</v>
      </c>
      <c r="V85" s="5">
        <f>U85/I18</f>
        <v>0.22910433117883405</v>
      </c>
      <c r="X85" s="5">
        <f t="shared" si="12"/>
        <v>22.910433117883404</v>
      </c>
      <c r="Z85" s="15">
        <f t="shared" si="13"/>
        <v>73825.54145880077</v>
      </c>
      <c r="AA85" s="15">
        <f t="shared" si="14"/>
        <v>7310.3584953294621</v>
      </c>
      <c r="AB85" s="5">
        <f>T85/G18</f>
        <v>0.19674105975897421</v>
      </c>
      <c r="AD85" s="5">
        <f t="shared" si="15"/>
        <v>19.674105975897422</v>
      </c>
      <c r="AF85" s="5">
        <f t="shared" si="16"/>
        <v>9.0100171434128865E-2</v>
      </c>
    </row>
    <row r="86" spans="2:32" x14ac:dyDescent="0.2">
      <c r="E86">
        <v>2014</v>
      </c>
      <c r="F86" s="1">
        <v>762555</v>
      </c>
      <c r="G86" s="1">
        <v>10848100</v>
      </c>
      <c r="H86" s="1">
        <v>9434985200</v>
      </c>
      <c r="K86" s="2">
        <v>2008</v>
      </c>
      <c r="L86" s="3" t="s">
        <v>90</v>
      </c>
      <c r="M86" s="13">
        <f>SUM(H545+H576+H607+H638)</f>
        <v>522779881300</v>
      </c>
      <c r="N86" s="1">
        <f>SUM(F545+F576+F607+F638)</f>
        <v>2812275</v>
      </c>
      <c r="O86" s="5">
        <f>M86/H18</f>
        <v>0.51723319622585451</v>
      </c>
      <c r="P86">
        <f>SUM(O82:O86)</f>
        <v>0.99999999990106103</v>
      </c>
      <c r="Q86" s="5">
        <f t="shared" si="10"/>
        <v>51.72331962258545</v>
      </c>
      <c r="R86" s="6">
        <f>SUM(Q82:Q86)</f>
        <v>99.999999990106105</v>
      </c>
      <c r="S86" s="15">
        <f t="shared" si="17"/>
        <v>185892.16250188905</v>
      </c>
      <c r="T86" s="15">
        <f>SUM(G545+G576+G607+G638)</f>
        <v>72058424500</v>
      </c>
      <c r="U86" s="15">
        <f t="shared" si="11"/>
        <v>450721456800</v>
      </c>
      <c r="V86" s="5">
        <f>U86/I18</f>
        <v>0.49736096942613756</v>
      </c>
      <c r="W86">
        <f>SUM(V82:V86)</f>
        <v>0.99999999966895681</v>
      </c>
      <c r="X86" s="5">
        <f t="shared" si="12"/>
        <v>49.736096942613756</v>
      </c>
      <c r="Y86" s="6">
        <f>SUM(X82:X86)</f>
        <v>99.999999966895672</v>
      </c>
      <c r="Z86" s="15">
        <f t="shared" si="13"/>
        <v>160269.33952049498</v>
      </c>
      <c r="AA86" s="15">
        <f t="shared" si="14"/>
        <v>25622.822981394067</v>
      </c>
      <c r="AB86" s="5">
        <f>T86/G18</f>
        <v>0.68956927531674206</v>
      </c>
      <c r="AC86" s="6">
        <f>SUM(AB82:AB86)</f>
        <v>1.000000001913917</v>
      </c>
      <c r="AD86" s="5">
        <f t="shared" si="15"/>
        <v>68.956927531674211</v>
      </c>
      <c r="AE86" s="6">
        <f>SUM(AD82:AD86)</f>
        <v>100.00000019139172</v>
      </c>
      <c r="AF86" s="5">
        <f t="shared" si="16"/>
        <v>0.13783702678230819</v>
      </c>
    </row>
    <row r="87" spans="2:32" x14ac:dyDescent="0.2">
      <c r="E87">
        <v>2015</v>
      </c>
      <c r="F87" s="1">
        <v>771405</v>
      </c>
      <c r="G87" s="1">
        <v>12412700</v>
      </c>
      <c r="H87" s="1">
        <v>9787753700</v>
      </c>
      <c r="K87" s="2">
        <v>2009</v>
      </c>
      <c r="L87" s="3" t="s">
        <v>83</v>
      </c>
      <c r="M87" s="13">
        <f>SUM(H50+H81+H112+H143)</f>
        <v>34913278300</v>
      </c>
      <c r="N87" s="1">
        <f>SUM(F50+F81+F112+F143)</f>
        <v>2847225</v>
      </c>
      <c r="O87" s="5">
        <f>M87/H19</f>
        <v>3.4686631076199015E-2</v>
      </c>
      <c r="Q87" s="5">
        <f t="shared" si="10"/>
        <v>3.4686631076199017</v>
      </c>
      <c r="S87" s="15">
        <f t="shared" si="17"/>
        <v>12262.212610524282</v>
      </c>
      <c r="T87" s="15">
        <f>SUM(G50+G81+G112+G143)</f>
        <v>170788900</v>
      </c>
      <c r="U87" s="15">
        <f t="shared" si="11"/>
        <v>34742489400</v>
      </c>
      <c r="V87" s="5">
        <f>U87/I19</f>
        <v>3.8163220128408053E-2</v>
      </c>
      <c r="X87" s="5">
        <f t="shared" si="12"/>
        <v>3.8163220128408053</v>
      </c>
      <c r="Z87" s="15">
        <f t="shared" si="13"/>
        <v>12202.228274899244</v>
      </c>
      <c r="AA87" s="15">
        <f t="shared" si="14"/>
        <v>59.984335625038412</v>
      </c>
      <c r="AB87" s="5">
        <f>T87/G19</f>
        <v>1.7759364099407138E-3</v>
      </c>
      <c r="AD87" s="5">
        <f t="shared" si="15"/>
        <v>0.17759364099407138</v>
      </c>
      <c r="AF87" s="5">
        <f t="shared" si="16"/>
        <v>4.8918035863736121E-3</v>
      </c>
    </row>
    <row r="88" spans="2:32" x14ac:dyDescent="0.2">
      <c r="E88">
        <v>2016</v>
      </c>
      <c r="F88" s="1">
        <v>780365</v>
      </c>
      <c r="G88" s="1">
        <v>13748100</v>
      </c>
      <c r="H88" s="1">
        <v>10119282600</v>
      </c>
      <c r="K88" s="2">
        <v>2009</v>
      </c>
      <c r="L88" s="3" t="s">
        <v>84</v>
      </c>
      <c r="M88" s="13">
        <f>SUM(H174+H205+H236+H267)</f>
        <v>84128249200</v>
      </c>
      <c r="N88" s="1">
        <f>SUM(F174+F205+F236+F267)</f>
        <v>2847330</v>
      </c>
      <c r="O88" s="5">
        <f>M88/H19</f>
        <v>8.3582112169825515E-2</v>
      </c>
      <c r="Q88" s="5">
        <f t="shared" si="10"/>
        <v>8.3582112169825518</v>
      </c>
      <c r="S88" s="15">
        <f t="shared" si="17"/>
        <v>29546.364207871935</v>
      </c>
      <c r="T88" s="15">
        <f>SUM(G174+G205+G236+G267)</f>
        <v>2290715000</v>
      </c>
      <c r="U88" s="15">
        <f t="shared" si="11"/>
        <v>81837534200</v>
      </c>
      <c r="V88" s="5">
        <f>U88/I19</f>
        <v>8.9895223007270236E-2</v>
      </c>
      <c r="X88" s="5">
        <f t="shared" si="12"/>
        <v>8.9895223007270229</v>
      </c>
      <c r="Z88" s="15">
        <f t="shared" si="13"/>
        <v>28741.850856767567</v>
      </c>
      <c r="AA88" s="15">
        <f t="shared" si="14"/>
        <v>804.51335110436798</v>
      </c>
      <c r="AB88" s="5">
        <f>T88/G19</f>
        <v>2.381983942338959E-2</v>
      </c>
      <c r="AD88" s="5">
        <f t="shared" si="15"/>
        <v>2.3819839423389588</v>
      </c>
      <c r="AF88" s="5">
        <f t="shared" si="16"/>
        <v>2.7228844315471623E-2</v>
      </c>
    </row>
    <row r="89" spans="2:32" x14ac:dyDescent="0.2">
      <c r="E89">
        <v>2017</v>
      </c>
      <c r="F89" s="1">
        <v>795205</v>
      </c>
      <c r="G89" s="1">
        <v>14424800</v>
      </c>
      <c r="H89" s="1">
        <v>10478298200</v>
      </c>
      <c r="K89" s="2">
        <v>2009</v>
      </c>
      <c r="L89" s="3" t="s">
        <v>85</v>
      </c>
      <c r="M89" s="13">
        <f>SUM(H298+H329+H360+H391)</f>
        <v>143138310700</v>
      </c>
      <c r="N89" s="1">
        <f>SUM(F298+F329+F360+F391)</f>
        <v>2847435</v>
      </c>
      <c r="O89" s="5">
        <f>M89/H19</f>
        <v>0.14220909687880126</v>
      </c>
      <c r="Q89" s="5">
        <f t="shared" si="10"/>
        <v>14.220909687880127</v>
      </c>
      <c r="S89" s="15">
        <f t="shared" si="17"/>
        <v>50269.210956527539</v>
      </c>
      <c r="T89" s="15">
        <f>SUM(G298+G329+G360+G391)</f>
        <v>7868871100</v>
      </c>
      <c r="U89" s="15">
        <f t="shared" si="11"/>
        <v>135269439600</v>
      </c>
      <c r="V89" s="5">
        <f>U89/I19</f>
        <v>0.14858801108538863</v>
      </c>
      <c r="X89" s="5">
        <f t="shared" si="12"/>
        <v>14.858801108538863</v>
      </c>
      <c r="Z89" s="15">
        <f t="shared" si="13"/>
        <v>47505.716407925029</v>
      </c>
      <c r="AA89" s="15">
        <f t="shared" si="14"/>
        <v>2763.494548602514</v>
      </c>
      <c r="AB89" s="5">
        <f>T89/G19</f>
        <v>8.1823904783157667E-2</v>
      </c>
      <c r="AD89" s="5">
        <f t="shared" si="15"/>
        <v>8.1823904783157673</v>
      </c>
      <c r="AF89" s="5">
        <f t="shared" si="16"/>
        <v>5.4973899450945524E-2</v>
      </c>
    </row>
    <row r="90" spans="2:32" x14ac:dyDescent="0.2">
      <c r="E90">
        <v>2018</v>
      </c>
      <c r="F90" s="1">
        <v>811125</v>
      </c>
      <c r="G90" s="1">
        <v>18056800</v>
      </c>
      <c r="H90" s="1">
        <v>11226473800</v>
      </c>
      <c r="K90" s="2">
        <v>2009</v>
      </c>
      <c r="L90" s="3" t="s">
        <v>86</v>
      </c>
      <c r="M90" s="13">
        <f>SUM(H422+H453+H484+H515)</f>
        <v>229679468100</v>
      </c>
      <c r="N90" s="1">
        <f>SUM(F422+F453+F484+F515)</f>
        <v>2847360</v>
      </c>
      <c r="O90" s="5">
        <f>M90/H19</f>
        <v>0.22818845332442816</v>
      </c>
      <c r="Q90" s="5">
        <f t="shared" si="10"/>
        <v>22.818845332442816</v>
      </c>
      <c r="S90" s="15">
        <f t="shared" si="17"/>
        <v>80664.007396325018</v>
      </c>
      <c r="T90" s="15">
        <f>SUM(G422+G453+G484+G515)</f>
        <v>18826047500</v>
      </c>
      <c r="U90" s="15">
        <f t="shared" si="11"/>
        <v>210853420600</v>
      </c>
      <c r="V90" s="5">
        <f>U90/I19</f>
        <v>0.23161395870457138</v>
      </c>
      <c r="X90" s="5">
        <f t="shared" si="12"/>
        <v>23.161395870457138</v>
      </c>
      <c r="Z90" s="15">
        <f t="shared" si="13"/>
        <v>74052.252121263198</v>
      </c>
      <c r="AA90" s="15">
        <f t="shared" si="14"/>
        <v>6611.7552750618115</v>
      </c>
      <c r="AB90" s="5">
        <f>T90/G19</f>
        <v>0.19576133583929256</v>
      </c>
      <c r="AD90" s="5">
        <f t="shared" si="15"/>
        <v>19.576133583929256</v>
      </c>
      <c r="AF90" s="5">
        <f t="shared" si="16"/>
        <v>8.1966610493034317E-2</v>
      </c>
    </row>
    <row r="91" spans="2:32" x14ac:dyDescent="0.2">
      <c r="E91">
        <v>2019</v>
      </c>
      <c r="F91" s="1">
        <v>824995</v>
      </c>
      <c r="G91" s="1">
        <v>16013500</v>
      </c>
      <c r="H91" s="1">
        <v>11573717500</v>
      </c>
      <c r="K91" s="2">
        <v>2009</v>
      </c>
      <c r="L91" s="3" t="s">
        <v>90</v>
      </c>
      <c r="M91" s="13">
        <f>SUM(H546+H577+H608+H639)</f>
        <v>514674831500</v>
      </c>
      <c r="N91" s="1">
        <f>SUM(F546+F577+F608+F639)</f>
        <v>2847350</v>
      </c>
      <c r="O91" s="5">
        <f>M91/H19</f>
        <v>0.51133370665009681</v>
      </c>
      <c r="P91">
        <f>SUM(O87:O91)</f>
        <v>1.0000000000993507</v>
      </c>
      <c r="Q91" s="5">
        <f t="shared" si="10"/>
        <v>51.133370665009679</v>
      </c>
      <c r="R91" s="6">
        <f>SUM(Q87:Q91)</f>
        <v>100.00000000993508</v>
      </c>
      <c r="S91" s="15">
        <f t="shared" si="17"/>
        <v>180755.73129401021</v>
      </c>
      <c r="T91" s="15">
        <f>SUM(G546+G577+G608+G639)</f>
        <v>67011941900</v>
      </c>
      <c r="U91" s="15">
        <f t="shared" si="11"/>
        <v>447662889600</v>
      </c>
      <c r="V91" s="5">
        <f>U91/I19</f>
        <v>0.49173958729405359</v>
      </c>
      <c r="W91">
        <f>SUM(V87:V91)</f>
        <v>1.0000000002196918</v>
      </c>
      <c r="X91" s="5">
        <f t="shared" si="12"/>
        <v>49.173958729405356</v>
      </c>
      <c r="Y91" s="6">
        <f>SUM(X87:X91)</f>
        <v>100.00000002196919</v>
      </c>
      <c r="Z91" s="15">
        <f t="shared" si="13"/>
        <v>157220.8859465819</v>
      </c>
      <c r="AA91" s="15">
        <f t="shared" si="14"/>
        <v>23534.845347428309</v>
      </c>
      <c r="AB91" s="5">
        <f>T91/G19</f>
        <v>0.69681898250437646</v>
      </c>
      <c r="AC91" s="6">
        <f>SUM(AB87:AB91)</f>
        <v>0.99999999896015701</v>
      </c>
      <c r="AD91" s="5">
        <f t="shared" si="15"/>
        <v>69.681898250437641</v>
      </c>
      <c r="AE91" s="6">
        <f>SUM(AD87:AD91)</f>
        <v>99.999999896015694</v>
      </c>
      <c r="AF91" s="5">
        <f t="shared" si="16"/>
        <v>0.13020248475080134</v>
      </c>
    </row>
    <row r="92" spans="2:32" x14ac:dyDescent="0.2">
      <c r="E92">
        <v>2020</v>
      </c>
      <c r="F92" s="1">
        <v>830045</v>
      </c>
      <c r="G92" s="1">
        <v>73219600</v>
      </c>
      <c r="H92" s="1">
        <v>15757096500</v>
      </c>
      <c r="K92" s="2">
        <v>2010</v>
      </c>
      <c r="L92" s="3" t="s">
        <v>83</v>
      </c>
      <c r="M92" s="13">
        <f>SUM(H51+H82+H113+H144)</f>
        <v>35762380100</v>
      </c>
      <c r="N92" s="1">
        <f>SUM(F51+F82+F113+F144)</f>
        <v>2877115</v>
      </c>
      <c r="O92" s="5">
        <f>M92/H20</f>
        <v>3.4337051014654327E-2</v>
      </c>
      <c r="Q92" s="5">
        <f t="shared" si="10"/>
        <v>3.4337051014654327</v>
      </c>
      <c r="S92" s="15">
        <f t="shared" si="17"/>
        <v>12429.944614657392</v>
      </c>
      <c r="T92" s="15">
        <f>SUM(G51+G82+G113+G144)</f>
        <v>162894600</v>
      </c>
      <c r="U92" s="15">
        <f t="shared" si="11"/>
        <v>35599485500</v>
      </c>
      <c r="V92" s="5">
        <f>U92/I20</f>
        <v>3.785750872616038E-2</v>
      </c>
      <c r="X92" s="5">
        <f t="shared" si="12"/>
        <v>3.7857508726160378</v>
      </c>
      <c r="Z92" s="15">
        <f t="shared" si="13"/>
        <v>12373.327274022762</v>
      </c>
      <c r="AA92" s="15">
        <f t="shared" si="14"/>
        <v>56.617340634628789</v>
      </c>
      <c r="AB92" s="5">
        <f>T92/G20</f>
        <v>1.6103422840432742E-3</v>
      </c>
      <c r="AD92" s="5">
        <f t="shared" si="15"/>
        <v>0.16103422840432743</v>
      </c>
      <c r="AF92" s="5">
        <f t="shared" si="16"/>
        <v>4.5549149565691236E-3</v>
      </c>
    </row>
    <row r="93" spans="2:32" x14ac:dyDescent="0.2">
      <c r="E93">
        <v>2021</v>
      </c>
      <c r="F93" s="1">
        <v>843740</v>
      </c>
      <c r="G93" s="1">
        <v>42478100</v>
      </c>
      <c r="H93" s="1">
        <v>14587051400</v>
      </c>
      <c r="K93" s="2">
        <v>2010</v>
      </c>
      <c r="L93" s="3" t="s">
        <v>84</v>
      </c>
      <c r="M93" s="13">
        <f>SUM(H175+H206+H237+H268)</f>
        <v>85667297900</v>
      </c>
      <c r="N93" s="1">
        <f>SUM(F175+F206+F237+F268)</f>
        <v>2877025</v>
      </c>
      <c r="O93" s="5">
        <f>M93/H20</f>
        <v>8.225298120691607E-2</v>
      </c>
      <c r="Q93" s="5">
        <f t="shared" si="10"/>
        <v>8.2252981206916065</v>
      </c>
      <c r="S93" s="15">
        <f t="shared" si="17"/>
        <v>29776.34810264075</v>
      </c>
      <c r="T93" s="15">
        <f>SUM(G175+G206+G237+G268)</f>
        <v>2358380200</v>
      </c>
      <c r="U93" s="15">
        <f t="shared" si="11"/>
        <v>83308917700</v>
      </c>
      <c r="V93" s="5">
        <f>U93/I20</f>
        <v>8.8593080335240437E-2</v>
      </c>
      <c r="X93" s="5">
        <f t="shared" si="12"/>
        <v>8.8593080335240444</v>
      </c>
      <c r="Z93" s="15">
        <f t="shared" si="13"/>
        <v>28956.619320304828</v>
      </c>
      <c r="AA93" s="15">
        <f t="shared" si="14"/>
        <v>819.72878233591996</v>
      </c>
      <c r="AB93" s="5">
        <f>T93/G20</f>
        <v>2.331445829334081E-2</v>
      </c>
      <c r="AD93" s="5">
        <f t="shared" si="15"/>
        <v>2.331445829334081</v>
      </c>
      <c r="AF93" s="5">
        <f t="shared" si="16"/>
        <v>2.7529527110251018E-2</v>
      </c>
    </row>
    <row r="94" spans="2:32" x14ac:dyDescent="0.2">
      <c r="E94">
        <v>2022</v>
      </c>
      <c r="F94" s="1">
        <v>869170</v>
      </c>
      <c r="G94" s="1">
        <v>17898600</v>
      </c>
      <c r="H94" s="1">
        <v>13246421200</v>
      </c>
      <c r="K94" s="2">
        <v>2010</v>
      </c>
      <c r="L94" s="3" t="s">
        <v>85</v>
      </c>
      <c r="M94" s="13">
        <f>SUM(H299+H330+H361+H392)</f>
        <v>146962896700</v>
      </c>
      <c r="N94" s="1">
        <f>SUM(F299+F330+F361+F392)</f>
        <v>2877210</v>
      </c>
      <c r="O94" s="5">
        <f>M94/H20</f>
        <v>0.14110561062039811</v>
      </c>
      <c r="Q94" s="5">
        <f t="shared" si="10"/>
        <v>14.110561062039812</v>
      </c>
      <c r="S94" s="15">
        <f t="shared" si="17"/>
        <v>51078.265646233674</v>
      </c>
      <c r="T94" s="15">
        <f>SUM(G299+G330+G361+G392)</f>
        <v>8328513700</v>
      </c>
      <c r="U94" s="15">
        <f t="shared" si="11"/>
        <v>138634383000</v>
      </c>
      <c r="V94" s="5">
        <f>U94/I20</f>
        <v>0.14742775886939041</v>
      </c>
      <c r="X94" s="5">
        <f t="shared" si="12"/>
        <v>14.742775886939041</v>
      </c>
      <c r="Z94" s="15">
        <f t="shared" si="13"/>
        <v>48183.616420073617</v>
      </c>
      <c r="AA94" s="15">
        <f t="shared" si="14"/>
        <v>2894.6492261600647</v>
      </c>
      <c r="AB94" s="5">
        <f>T94/G20</f>
        <v>8.2333961803176425E-2</v>
      </c>
      <c r="AD94" s="5">
        <f t="shared" si="15"/>
        <v>8.2333961803176425</v>
      </c>
      <c r="AF94" s="5">
        <f t="shared" si="16"/>
        <v>5.6670859700059251E-2</v>
      </c>
    </row>
    <row r="95" spans="2:32" x14ac:dyDescent="0.2">
      <c r="B95" t="s">
        <v>11</v>
      </c>
      <c r="C95" t="s">
        <v>30</v>
      </c>
      <c r="D95" t="s">
        <v>32</v>
      </c>
      <c r="E95">
        <v>1992</v>
      </c>
      <c r="F95" s="1">
        <v>568340</v>
      </c>
      <c r="G95" s="1">
        <v>61895200</v>
      </c>
      <c r="H95" s="1">
        <v>5931454500</v>
      </c>
      <c r="K95" s="2">
        <v>2010</v>
      </c>
      <c r="L95" s="3" t="s">
        <v>86</v>
      </c>
      <c r="M95" s="13">
        <f>SUM(H423+H454+H485+H516)</f>
        <v>237066446500</v>
      </c>
      <c r="N95" s="1">
        <f>SUM(F423+F454+F485+F516)</f>
        <v>2877115</v>
      </c>
      <c r="O95" s="5">
        <f>M95/H20</f>
        <v>0.22761803449802606</v>
      </c>
      <c r="Q95" s="5">
        <f t="shared" si="10"/>
        <v>22.761803449802606</v>
      </c>
      <c r="S95" s="15">
        <f t="shared" si="17"/>
        <v>82397.278697584217</v>
      </c>
      <c r="T95" s="15">
        <f>SUM(G423+G454+G485+G516)</f>
        <v>20088199400</v>
      </c>
      <c r="U95" s="15">
        <f t="shared" si="11"/>
        <v>216978247100</v>
      </c>
      <c r="V95" s="5">
        <f>U95/I20</f>
        <v>0.23074085952661402</v>
      </c>
      <c r="X95" s="5">
        <f t="shared" si="12"/>
        <v>23.074085952661402</v>
      </c>
      <c r="Z95" s="15">
        <f t="shared" si="13"/>
        <v>75415.215276414048</v>
      </c>
      <c r="AA95" s="15">
        <f t="shared" si="14"/>
        <v>6982.0634211701654</v>
      </c>
      <c r="AB95" s="5">
        <f>T95/G20</f>
        <v>0.19858777948509485</v>
      </c>
      <c r="AD95" s="5">
        <f t="shared" si="15"/>
        <v>19.858777948509484</v>
      </c>
      <c r="AF95" s="5">
        <f t="shared" si="16"/>
        <v>8.4736577852235193E-2</v>
      </c>
    </row>
    <row r="96" spans="2:32" x14ac:dyDescent="0.2">
      <c r="E96">
        <v>1993</v>
      </c>
      <c r="F96" s="1">
        <v>582635</v>
      </c>
      <c r="G96" s="1">
        <v>57052900</v>
      </c>
      <c r="H96" s="1">
        <v>5943516000</v>
      </c>
      <c r="K96" s="2">
        <v>2010</v>
      </c>
      <c r="L96" s="3" t="s">
        <v>90</v>
      </c>
      <c r="M96" s="13">
        <f>SUM(H547+H578+H609+H640)</f>
        <v>536050923300</v>
      </c>
      <c r="N96" s="1">
        <f>SUM(F547+F578+F609+F640)</f>
        <v>2877165</v>
      </c>
      <c r="O96" s="5">
        <f>M96/H20</f>
        <v>0.51468632256399105</v>
      </c>
      <c r="P96">
        <f>SUM(O92:O96)</f>
        <v>0.99999999990398558</v>
      </c>
      <c r="Q96" s="5">
        <f t="shared" si="10"/>
        <v>51.468632256399104</v>
      </c>
      <c r="R96" s="6">
        <f>SUM(Q92:Q96)</f>
        <v>99.999999990398564</v>
      </c>
      <c r="S96" s="15">
        <f t="shared" si="17"/>
        <v>186312.193878349</v>
      </c>
      <c r="T96" s="15">
        <f>SUM(G547+G578+G609+G640)</f>
        <v>70217276500</v>
      </c>
      <c r="U96" s="15">
        <f t="shared" si="11"/>
        <v>465833646800</v>
      </c>
      <c r="V96" s="5">
        <f>U96/I20</f>
        <v>0.49538079275528046</v>
      </c>
      <c r="W96">
        <f>SUM(V92:V96)</f>
        <v>1.0000000002126859</v>
      </c>
      <c r="X96" s="5">
        <f t="shared" si="12"/>
        <v>49.538079275528048</v>
      </c>
      <c r="Y96" s="6">
        <f>SUM(X92:X96)</f>
        <v>100.00000002126858</v>
      </c>
      <c r="Z96" s="15">
        <f t="shared" si="13"/>
        <v>161907.17139962429</v>
      </c>
      <c r="AA96" s="15">
        <f t="shared" si="14"/>
        <v>24405.022478724717</v>
      </c>
      <c r="AB96" s="5">
        <f>T96/G20</f>
        <v>0.69415345516860671</v>
      </c>
      <c r="AC96" s="6">
        <f>SUM(AB92:AB96)</f>
        <v>0.99999999703426212</v>
      </c>
      <c r="AD96" s="5">
        <f t="shared" si="15"/>
        <v>69.415345516860668</v>
      </c>
      <c r="AE96" s="6">
        <f>SUM(AD92:AD96)</f>
        <v>99.999999703426198</v>
      </c>
      <c r="AF96" s="5">
        <f t="shared" si="16"/>
        <v>0.13098993667939832</v>
      </c>
    </row>
    <row r="97" spans="5:32" x14ac:dyDescent="0.2">
      <c r="E97">
        <v>1994</v>
      </c>
      <c r="F97" s="1">
        <v>590915</v>
      </c>
      <c r="G97" s="1">
        <v>60498100</v>
      </c>
      <c r="H97" s="1">
        <v>6065151100</v>
      </c>
      <c r="K97" s="2">
        <v>2011</v>
      </c>
      <c r="L97" s="3" t="s">
        <v>83</v>
      </c>
      <c r="M97" s="13">
        <f>SUM(H52+H83+H114+H145)</f>
        <v>37592543400</v>
      </c>
      <c r="N97" s="1">
        <f>SUM(F52+F83+F114+F145)</f>
        <v>2919925</v>
      </c>
      <c r="O97" s="5">
        <f>M97/H21</f>
        <v>3.4397240732762832E-2</v>
      </c>
      <c r="Q97" s="5">
        <f t="shared" si="10"/>
        <v>3.4397240732762833</v>
      </c>
      <c r="S97" s="15">
        <f t="shared" si="17"/>
        <v>12874.489379008022</v>
      </c>
      <c r="T97" s="15">
        <f>SUM(G52+G83+G114+G145)</f>
        <v>173579400</v>
      </c>
      <c r="U97" s="15">
        <f t="shared" si="11"/>
        <v>37418964000</v>
      </c>
      <c r="V97" s="5">
        <f>U97/I21</f>
        <v>3.7984678573462993E-2</v>
      </c>
      <c r="X97" s="5">
        <f t="shared" si="12"/>
        <v>3.7984678573462993</v>
      </c>
      <c r="Z97" s="15">
        <f t="shared" si="13"/>
        <v>12815.042852128052</v>
      </c>
      <c r="AA97" s="15">
        <f t="shared" si="14"/>
        <v>59.446526879971231</v>
      </c>
      <c r="AB97" s="5">
        <f>T97/G21</f>
        <v>1.6103869355229969E-3</v>
      </c>
      <c r="AD97" s="5">
        <f t="shared" si="15"/>
        <v>0.16103869355229969</v>
      </c>
      <c r="AF97" s="5">
        <f t="shared" si="16"/>
        <v>4.6173890963706384E-3</v>
      </c>
    </row>
    <row r="98" spans="5:32" x14ac:dyDescent="0.2">
      <c r="E98">
        <v>1995</v>
      </c>
      <c r="F98" s="1">
        <v>600415</v>
      </c>
      <c r="G98" s="1">
        <v>66080400</v>
      </c>
      <c r="H98" s="1">
        <v>6201625500</v>
      </c>
      <c r="K98" s="2">
        <v>2011</v>
      </c>
      <c r="L98" s="3" t="s">
        <v>84</v>
      </c>
      <c r="M98" s="13">
        <f>SUM(H176+H207+H238+H269)</f>
        <v>89551880900</v>
      </c>
      <c r="N98" s="1">
        <f>SUM(F176+F207+F238+F269)</f>
        <v>2919860</v>
      </c>
      <c r="O98" s="5">
        <f>M98/H21</f>
        <v>8.1940122343225272E-2</v>
      </c>
      <c r="Q98" s="5">
        <f t="shared" si="10"/>
        <v>8.1940122343225266</v>
      </c>
      <c r="S98" s="15">
        <f t="shared" si="17"/>
        <v>30669.922838766241</v>
      </c>
      <c r="T98" s="15">
        <f>SUM(G176+G207+G238+G269)</f>
        <v>2502828200</v>
      </c>
      <c r="U98" s="15">
        <f t="shared" si="11"/>
        <v>87049052700</v>
      </c>
      <c r="V98" s="5">
        <f>U98/I21</f>
        <v>8.8365094419341511E-2</v>
      </c>
      <c r="X98" s="5">
        <f t="shared" si="12"/>
        <v>8.836509441934151</v>
      </c>
      <c r="Z98" s="15">
        <f t="shared" si="13"/>
        <v>29812.748796175158</v>
      </c>
      <c r="AA98" s="15">
        <f t="shared" si="14"/>
        <v>857.17404259108309</v>
      </c>
      <c r="AB98" s="5">
        <f>T98/G21</f>
        <v>2.3220047051312184E-2</v>
      </c>
      <c r="AD98" s="5">
        <f t="shared" si="15"/>
        <v>2.3220047051312185</v>
      </c>
      <c r="AF98" s="5">
        <f t="shared" si="16"/>
        <v>2.7948359932214444E-2</v>
      </c>
    </row>
    <row r="99" spans="5:32" x14ac:dyDescent="0.2">
      <c r="E99">
        <v>1996</v>
      </c>
      <c r="F99" s="1">
        <v>605770</v>
      </c>
      <c r="G99" s="1">
        <v>67440100</v>
      </c>
      <c r="H99" s="1">
        <v>6247297600</v>
      </c>
      <c r="K99" s="2">
        <v>2011</v>
      </c>
      <c r="L99" s="3" t="s">
        <v>85</v>
      </c>
      <c r="M99" s="13">
        <f>SUM(H300+H331+H362+H393)</f>
        <v>153566343400</v>
      </c>
      <c r="N99" s="1">
        <f>SUM(F300+F331+F362+F393)</f>
        <v>2919965</v>
      </c>
      <c r="O99" s="5">
        <f>M99/H21</f>
        <v>0.14051346369875906</v>
      </c>
      <c r="Q99" s="5">
        <f t="shared" si="10"/>
        <v>14.051346369875905</v>
      </c>
      <c r="S99" s="15">
        <f t="shared" si="17"/>
        <v>52591.843874840968</v>
      </c>
      <c r="T99" s="15">
        <f>SUM(G300+G331+G362+G393)</f>
        <v>8906846500</v>
      </c>
      <c r="U99" s="15">
        <f t="shared" si="11"/>
        <v>144659496900</v>
      </c>
      <c r="V99" s="5">
        <f>U99/I21</f>
        <v>0.14684651590956305</v>
      </c>
      <c r="X99" s="5">
        <f t="shared" si="12"/>
        <v>14.684651590956305</v>
      </c>
      <c r="Z99" s="15">
        <f t="shared" si="13"/>
        <v>49541.51741544847</v>
      </c>
      <c r="AA99" s="15">
        <f t="shared" si="14"/>
        <v>3050.3264593924928</v>
      </c>
      <c r="AB99" s="5">
        <f>T99/G21</f>
        <v>8.26334763244298E-2</v>
      </c>
      <c r="AD99" s="5">
        <f t="shared" si="15"/>
        <v>8.2633476324429793</v>
      </c>
      <c r="AF99" s="5">
        <f t="shared" si="16"/>
        <v>5.7999990771415343E-2</v>
      </c>
    </row>
    <row r="100" spans="5:32" x14ac:dyDescent="0.2">
      <c r="E100">
        <v>1997</v>
      </c>
      <c r="F100" s="1">
        <v>612625</v>
      </c>
      <c r="G100" s="1">
        <v>68794600</v>
      </c>
      <c r="H100" s="1">
        <v>6423350700</v>
      </c>
      <c r="K100" s="2">
        <v>2011</v>
      </c>
      <c r="L100" s="3" t="s">
        <v>86</v>
      </c>
      <c r="M100" s="13">
        <f>SUM(H424+H455+H486+H517)</f>
        <v>248394042000</v>
      </c>
      <c r="N100" s="1">
        <f>SUM(F424+F455+F486+F517)</f>
        <v>2919945</v>
      </c>
      <c r="O100" s="5">
        <f>M100/H21</f>
        <v>0.22728096815226398</v>
      </c>
      <c r="Q100" s="5">
        <f t="shared" si="10"/>
        <v>22.728096815226397</v>
      </c>
      <c r="S100" s="15">
        <f t="shared" si="17"/>
        <v>85068.055048982089</v>
      </c>
      <c r="T100" s="15">
        <f>SUM(G424+G455+G486+G517)</f>
        <v>21465439700</v>
      </c>
      <c r="U100" s="15">
        <f t="shared" si="11"/>
        <v>226928602300</v>
      </c>
      <c r="V100" s="5">
        <f>U100/I21</f>
        <v>0.23035939791092869</v>
      </c>
      <c r="X100" s="5">
        <f t="shared" si="12"/>
        <v>23.035939791092868</v>
      </c>
      <c r="Z100" s="15">
        <f t="shared" si="13"/>
        <v>77716.738602953134</v>
      </c>
      <c r="AA100" s="15">
        <f t="shared" si="14"/>
        <v>7351.316446028949</v>
      </c>
      <c r="AB100" s="5">
        <f>T100/G21</f>
        <v>0.19914611790417916</v>
      </c>
      <c r="AD100" s="5">
        <f t="shared" si="15"/>
        <v>19.914611790417915</v>
      </c>
      <c r="AF100" s="5">
        <f t="shared" si="16"/>
        <v>8.6416886359939341E-2</v>
      </c>
    </row>
    <row r="101" spans="5:32" x14ac:dyDescent="0.2">
      <c r="E101">
        <v>1998</v>
      </c>
      <c r="F101" s="1">
        <v>617290</v>
      </c>
      <c r="G101" s="1">
        <v>65743600</v>
      </c>
      <c r="H101" s="1">
        <v>6808853700</v>
      </c>
      <c r="K101" s="2">
        <v>2011</v>
      </c>
      <c r="L101" s="3" t="s">
        <v>90</v>
      </c>
      <c r="M101" s="13">
        <f>SUM(H548+H579+H610+H641)</f>
        <v>563789347100</v>
      </c>
      <c r="N101" s="1">
        <f>SUM(F548+F579+F610+F641)</f>
        <v>2919985</v>
      </c>
      <c r="O101" s="5">
        <f>M101/H21</f>
        <v>0.5158682052559892</v>
      </c>
      <c r="P101">
        <f>SUM(O97:O101)</f>
        <v>1.0000000001830003</v>
      </c>
      <c r="Q101" s="5">
        <f t="shared" si="10"/>
        <v>51.586820525598917</v>
      </c>
      <c r="R101" s="6">
        <f>SUM(Q97:Q101)</f>
        <v>100.00000001830003</v>
      </c>
      <c r="S101" s="15">
        <f t="shared" si="17"/>
        <v>193079.53537432555</v>
      </c>
      <c r="T101" s="15">
        <f>SUM(G548+G579+G610+G641)</f>
        <v>74738693300</v>
      </c>
      <c r="U101" s="15">
        <f t="shared" si="11"/>
        <v>489050653800</v>
      </c>
      <c r="V101" s="5">
        <f>U101/I21</f>
        <v>0.49644431338972744</v>
      </c>
      <c r="W101">
        <f>SUM(V97:V101)</f>
        <v>1.0000000002030236</v>
      </c>
      <c r="X101" s="5">
        <f t="shared" si="12"/>
        <v>49.644431338972744</v>
      </c>
      <c r="Y101" s="6">
        <f>SUM(X97:X101)</f>
        <v>100.00000002030237</v>
      </c>
      <c r="Z101" s="15">
        <f t="shared" si="13"/>
        <v>167483.9609792516</v>
      </c>
      <c r="AA101" s="15">
        <f t="shared" si="14"/>
        <v>25595.574395073949</v>
      </c>
      <c r="AB101" s="5">
        <f>T101/G21</f>
        <v>0.69338997178455586</v>
      </c>
      <c r="AC101" s="6">
        <f>SUM(AB97:AB101)</f>
        <v>1</v>
      </c>
      <c r="AD101" s="5">
        <f t="shared" si="15"/>
        <v>69.338997178455585</v>
      </c>
      <c r="AE101" s="6">
        <f>SUM(AD97:AD101)</f>
        <v>100</v>
      </c>
      <c r="AF101" s="5">
        <f t="shared" si="16"/>
        <v>0.1325649263939418</v>
      </c>
    </row>
    <row r="102" spans="5:32" x14ac:dyDescent="0.2">
      <c r="E102">
        <v>1999</v>
      </c>
      <c r="F102" s="1">
        <v>627380</v>
      </c>
      <c r="G102" s="1">
        <v>64278000</v>
      </c>
      <c r="H102" s="1">
        <v>7121235100</v>
      </c>
      <c r="K102" s="2">
        <v>2012</v>
      </c>
      <c r="L102" s="3" t="s">
        <v>83</v>
      </c>
      <c r="M102" s="13">
        <f>SUM(H53+H84+H115+H146)</f>
        <v>39485864900</v>
      </c>
      <c r="N102" s="1">
        <f>SUM(F53+F84+F115+F146)</f>
        <v>2965770</v>
      </c>
      <c r="O102" s="5">
        <f>M102/H22</f>
        <v>3.4749529680918316E-2</v>
      </c>
      <c r="Q102" s="5">
        <f t="shared" si="10"/>
        <v>3.4749529680918316</v>
      </c>
      <c r="S102" s="15">
        <f t="shared" si="17"/>
        <v>13313.866179777933</v>
      </c>
      <c r="T102" s="15">
        <f>SUM(G53+G84+G115+G146)</f>
        <v>181122000</v>
      </c>
      <c r="U102" s="15">
        <f t="shared" si="11"/>
        <v>39304742900</v>
      </c>
      <c r="V102" s="5">
        <f>U102/I22</f>
        <v>3.8381874059076192E-2</v>
      </c>
      <c r="X102" s="5">
        <f t="shared" si="12"/>
        <v>3.8381874059076191</v>
      </c>
      <c r="Z102" s="15">
        <f t="shared" si="13"/>
        <v>13252.795361744167</v>
      </c>
      <c r="AA102" s="15">
        <f t="shared" si="14"/>
        <v>61.070818033765264</v>
      </c>
      <c r="AB102" s="5">
        <f>T102/G22</f>
        <v>1.6134890370238346E-3</v>
      </c>
      <c r="AD102" s="5">
        <f t="shared" si="15"/>
        <v>0.16134890370238347</v>
      </c>
      <c r="AF102" s="5">
        <f t="shared" si="16"/>
        <v>4.5870085525212849E-3</v>
      </c>
    </row>
    <row r="103" spans="5:32" x14ac:dyDescent="0.2">
      <c r="E103">
        <v>2000</v>
      </c>
      <c r="F103" s="1">
        <v>635770</v>
      </c>
      <c r="G103" s="1">
        <v>67633200</v>
      </c>
      <c r="H103" s="1">
        <v>7450648800</v>
      </c>
      <c r="K103" s="2">
        <v>2012</v>
      </c>
      <c r="L103" s="3" t="s">
        <v>84</v>
      </c>
      <c r="M103" s="13">
        <f>SUM(H177+H208+H239+H270)</f>
        <v>93649780400</v>
      </c>
      <c r="N103" s="1">
        <f>SUM(F177+F208+F239+F270)</f>
        <v>2965990</v>
      </c>
      <c r="O103" s="5">
        <f>M103/H22</f>
        <v>8.2416475664467012E-2</v>
      </c>
      <c r="Q103" s="5">
        <f t="shared" si="10"/>
        <v>8.2416475664467015</v>
      </c>
      <c r="S103" s="15">
        <f t="shared" si="17"/>
        <v>31574.54354195395</v>
      </c>
      <c r="T103" s="15">
        <f>SUM(G177+G208+G239+G270)</f>
        <v>2619553100</v>
      </c>
      <c r="U103" s="15">
        <f t="shared" si="11"/>
        <v>91030227300</v>
      </c>
      <c r="V103" s="5">
        <f>U103/I22</f>
        <v>8.88928526688742E-2</v>
      </c>
      <c r="X103" s="5">
        <f t="shared" si="12"/>
        <v>8.8892852668874198</v>
      </c>
      <c r="Z103" s="15">
        <f t="shared" si="13"/>
        <v>30691.346666711619</v>
      </c>
      <c r="AA103" s="15">
        <f t="shared" si="14"/>
        <v>883.19687524233052</v>
      </c>
      <c r="AB103" s="5">
        <f>T103/G22</f>
        <v>2.3335763787677925E-2</v>
      </c>
      <c r="AD103" s="5">
        <f t="shared" si="15"/>
        <v>2.3335763787677926</v>
      </c>
      <c r="AF103" s="5">
        <f t="shared" si="16"/>
        <v>2.7971801843114628E-2</v>
      </c>
    </row>
    <row r="104" spans="5:32" x14ac:dyDescent="0.2">
      <c r="E104">
        <v>2001</v>
      </c>
      <c r="F104" s="1">
        <v>639270</v>
      </c>
      <c r="G104" s="1">
        <v>68354100</v>
      </c>
      <c r="H104" s="1">
        <v>8088476100</v>
      </c>
      <c r="K104" s="2">
        <v>2012</v>
      </c>
      <c r="L104" s="3" t="s">
        <v>85</v>
      </c>
      <c r="M104" s="13">
        <f>SUM(H301+H332+H363+H394)</f>
        <v>160087244900</v>
      </c>
      <c r="N104" s="1">
        <f>SUM(F301+F332+F363+F394)</f>
        <v>2965955</v>
      </c>
      <c r="O104" s="5">
        <f>M104/H22</f>
        <v>0.14088475666615041</v>
      </c>
      <c r="Q104" s="5">
        <f t="shared" si="10"/>
        <v>14.088475666615041</v>
      </c>
      <c r="S104" s="15">
        <f t="shared" si="17"/>
        <v>53974.940584061456</v>
      </c>
      <c r="T104" s="15">
        <f>SUM(G301+G332+G363+G394)</f>
        <v>9305933300</v>
      </c>
      <c r="U104" s="15">
        <f t="shared" si="11"/>
        <v>150781311600</v>
      </c>
      <c r="V104" s="5">
        <f>U104/I22</f>
        <v>0.14724099142481667</v>
      </c>
      <c r="X104" s="5">
        <f t="shared" si="12"/>
        <v>14.724099142481666</v>
      </c>
      <c r="Z104" s="15">
        <f t="shared" si="13"/>
        <v>50837.356466972698</v>
      </c>
      <c r="AA104" s="15">
        <f t="shared" si="14"/>
        <v>3137.5841170887625</v>
      </c>
      <c r="AB104" s="5">
        <f>T104/G22</f>
        <v>8.2900041733334637E-2</v>
      </c>
      <c r="AD104" s="5">
        <f t="shared" si="15"/>
        <v>8.2900041733334628</v>
      </c>
      <c r="AF104" s="5">
        <f t="shared" si="16"/>
        <v>5.8130385751925702E-2</v>
      </c>
    </row>
    <row r="105" spans="5:32" x14ac:dyDescent="0.2">
      <c r="E105">
        <v>2002</v>
      </c>
      <c r="F105" s="1">
        <v>638430</v>
      </c>
      <c r="G105" s="1">
        <v>62960400</v>
      </c>
      <c r="H105" s="1">
        <v>8198708000</v>
      </c>
      <c r="K105" s="2">
        <v>2012</v>
      </c>
      <c r="L105" s="3" t="s">
        <v>86</v>
      </c>
      <c r="M105" s="13">
        <f>SUM(H425+H456+H487+H518)</f>
        <v>258985317800</v>
      </c>
      <c r="N105" s="1">
        <f>SUM(F425+F456+F487+F518)</f>
        <v>2965850</v>
      </c>
      <c r="O105" s="5">
        <f>M105/H22</f>
        <v>0.22791999138438937</v>
      </c>
      <c r="Q105" s="5">
        <f t="shared" si="10"/>
        <v>22.791999138438936</v>
      </c>
      <c r="S105" s="15">
        <f t="shared" si="17"/>
        <v>87322.459935600244</v>
      </c>
      <c r="T105" s="15">
        <f>SUM(G425+G456+G487+G518)</f>
        <v>22429997900</v>
      </c>
      <c r="U105" s="15">
        <f t="shared" si="11"/>
        <v>236555319900</v>
      </c>
      <c r="V105" s="5">
        <f>U105/I22</f>
        <v>0.23100104024357529</v>
      </c>
      <c r="X105" s="5">
        <f t="shared" si="12"/>
        <v>23.100104024357528</v>
      </c>
      <c r="Z105" s="15">
        <f t="shared" si="13"/>
        <v>79759.704604076396</v>
      </c>
      <c r="AA105" s="15">
        <f t="shared" si="14"/>
        <v>7562.7553315238465</v>
      </c>
      <c r="AB105" s="5">
        <f>T105/G22</f>
        <v>0.19981314093328051</v>
      </c>
      <c r="AD105" s="5">
        <f t="shared" si="15"/>
        <v>19.981314093328052</v>
      </c>
      <c r="AF105" s="5">
        <f t="shared" si="16"/>
        <v>8.6607218086862531E-2</v>
      </c>
    </row>
    <row r="106" spans="5:32" x14ac:dyDescent="0.2">
      <c r="E106">
        <v>2003</v>
      </c>
      <c r="F106" s="1">
        <v>652950</v>
      </c>
      <c r="G106" s="1">
        <v>68560100</v>
      </c>
      <c r="H106" s="1">
        <v>8451684000</v>
      </c>
      <c r="K106" s="2">
        <v>2012</v>
      </c>
      <c r="L106" s="3" t="s">
        <v>90</v>
      </c>
      <c r="M106" s="13">
        <f>SUM(H549+H580+H611+H642)</f>
        <v>584091053300</v>
      </c>
      <c r="N106" s="1">
        <f>SUM(F549+F580+F611+F642)</f>
        <v>2965950</v>
      </c>
      <c r="O106" s="5">
        <f>M106/H22</f>
        <v>0.51402924678008488</v>
      </c>
      <c r="P106">
        <f>SUM(O102:O106)</f>
        <v>1.0000000001760099</v>
      </c>
      <c r="Q106" s="5">
        <f t="shared" si="10"/>
        <v>51.402924678008489</v>
      </c>
      <c r="R106" s="6">
        <f>SUM(Q102:Q106)</f>
        <v>100.000000017601</v>
      </c>
      <c r="S106" s="15">
        <f t="shared" si="17"/>
        <v>196932.19821642307</v>
      </c>
      <c r="T106" s="15">
        <f>SUM(G549+G580+G611+G642)</f>
        <v>77718262300</v>
      </c>
      <c r="U106" s="15">
        <f t="shared" si="11"/>
        <v>506372791000</v>
      </c>
      <c r="V106" s="5">
        <f>U106/I22</f>
        <v>0.49448324189661369</v>
      </c>
      <c r="W106">
        <f>SUM(V102:V106)</f>
        <v>1.0000000002929561</v>
      </c>
      <c r="X106" s="5">
        <f t="shared" si="12"/>
        <v>49.448324189661371</v>
      </c>
      <c r="Y106" s="6">
        <f>SUM(X102:X106)</f>
        <v>100.00000002929559</v>
      </c>
      <c r="Z106" s="15">
        <f t="shared" si="13"/>
        <v>170728.70109071292</v>
      </c>
      <c r="AA106" s="15">
        <f t="shared" si="14"/>
        <v>26203.497125710142</v>
      </c>
      <c r="AB106" s="5">
        <f>T106/G22</f>
        <v>0.69233756361785315</v>
      </c>
      <c r="AC106" s="6">
        <f>SUM(AB102:AB106)</f>
        <v>0.99999999910917003</v>
      </c>
      <c r="AD106" s="5">
        <f t="shared" si="15"/>
        <v>69.233756361785311</v>
      </c>
      <c r="AE106" s="6">
        <f>SUM(AD102:AD106)</f>
        <v>99.999999910916998</v>
      </c>
      <c r="AF106" s="5">
        <f t="shared" si="16"/>
        <v>0.13305847069717477</v>
      </c>
    </row>
    <row r="107" spans="5:32" x14ac:dyDescent="0.2">
      <c r="E107">
        <v>2004</v>
      </c>
      <c r="F107" s="1">
        <v>662960</v>
      </c>
      <c r="G107" s="1">
        <v>71542000</v>
      </c>
      <c r="H107" s="1">
        <v>8815361100</v>
      </c>
      <c r="K107" s="2">
        <v>2013</v>
      </c>
      <c r="L107" s="3" t="s">
        <v>83</v>
      </c>
      <c r="M107" s="13">
        <f>SUM(H54+H85+H116+H147)</f>
        <v>40603895200</v>
      </c>
      <c r="N107" s="1">
        <f>SUM(F54+F85+F116+F147)</f>
        <v>3009610</v>
      </c>
      <c r="O107" s="5">
        <f>M107/H23</f>
        <v>3.4248822330003613E-2</v>
      </c>
      <c r="Q107" s="5">
        <f t="shared" si="10"/>
        <v>3.4248822330003614</v>
      </c>
      <c r="S107" s="15">
        <f t="shared" si="17"/>
        <v>13491.414236396078</v>
      </c>
      <c r="T107" s="15">
        <f>SUM(G54+G85+G116+G147)</f>
        <v>181404500</v>
      </c>
      <c r="U107" s="15">
        <f t="shared" si="11"/>
        <v>40422490700</v>
      </c>
      <c r="V107" s="5">
        <f>U107/I23</f>
        <v>3.7845524493854352E-2</v>
      </c>
      <c r="X107" s="5">
        <f t="shared" si="12"/>
        <v>3.7845524493854352</v>
      </c>
      <c r="Z107" s="15">
        <f t="shared" si="13"/>
        <v>13431.139150919887</v>
      </c>
      <c r="AA107" s="15">
        <f t="shared" si="14"/>
        <v>60.275085476191265</v>
      </c>
      <c r="AB107" s="5">
        <f>T107/G23</f>
        <v>1.5443379542005216E-3</v>
      </c>
      <c r="AD107" s="5">
        <f t="shared" si="15"/>
        <v>0.15443379542005214</v>
      </c>
      <c r="AF107" s="5">
        <f t="shared" si="16"/>
        <v>4.4676625015030577E-3</v>
      </c>
    </row>
    <row r="108" spans="5:32" x14ac:dyDescent="0.2">
      <c r="E108">
        <v>2005</v>
      </c>
      <c r="F108" s="1">
        <v>675810</v>
      </c>
      <c r="G108" s="1">
        <v>63864600</v>
      </c>
      <c r="H108" s="1">
        <v>9192545500</v>
      </c>
      <c r="K108" s="2">
        <v>2013</v>
      </c>
      <c r="L108" s="3" t="s">
        <v>84</v>
      </c>
      <c r="M108" s="13">
        <f>SUM(H178+H209+H240+H271)</f>
        <v>96866146700</v>
      </c>
      <c r="N108" s="1">
        <f>SUM(F178+F209+F240+F271)</f>
        <v>3009755</v>
      </c>
      <c r="O108" s="5">
        <f>M108/H23</f>
        <v>8.1705250980954311E-2</v>
      </c>
      <c r="Q108" s="5">
        <f t="shared" si="10"/>
        <v>8.1705250980954318</v>
      </c>
      <c r="S108" s="15">
        <f t="shared" si="17"/>
        <v>32184.063719472182</v>
      </c>
      <c r="T108" s="15">
        <f>SUM(G178+G209+G240+G271)</f>
        <v>2705162000</v>
      </c>
      <c r="U108" s="15">
        <f t="shared" si="11"/>
        <v>94160984700</v>
      </c>
      <c r="V108" s="5">
        <f>U108/I23</f>
        <v>8.8158146396191628E-2</v>
      </c>
      <c r="X108" s="5">
        <f t="shared" si="12"/>
        <v>8.8158146396191626</v>
      </c>
      <c r="Z108" s="15">
        <f t="shared" si="13"/>
        <v>31285.26564454582</v>
      </c>
      <c r="AA108" s="15">
        <f t="shared" si="14"/>
        <v>898.79807492636439</v>
      </c>
      <c r="AB108" s="5">
        <f>T108/G23</f>
        <v>2.3029662157559441E-2</v>
      </c>
      <c r="AD108" s="5">
        <f t="shared" si="15"/>
        <v>2.3029662157559438</v>
      </c>
      <c r="AF108" s="5">
        <f t="shared" si="16"/>
        <v>2.79268051033148E-2</v>
      </c>
    </row>
    <row r="109" spans="5:32" x14ac:dyDescent="0.2">
      <c r="E109">
        <v>2006</v>
      </c>
      <c r="F109" s="1">
        <v>683235</v>
      </c>
      <c r="G109" s="1">
        <v>68830700</v>
      </c>
      <c r="H109" s="1">
        <v>9822254600</v>
      </c>
      <c r="K109" s="2">
        <v>2013</v>
      </c>
      <c r="L109" s="3" t="s">
        <v>85</v>
      </c>
      <c r="M109" s="13">
        <f>SUM(H302+H333+H364+H395)</f>
        <v>166355388500</v>
      </c>
      <c r="N109" s="1">
        <f>SUM(F302+F333+F364+F395)</f>
        <v>3009830</v>
      </c>
      <c r="O109" s="5">
        <f>M109/H23</f>
        <v>0.14031846246059729</v>
      </c>
      <c r="Q109" s="5">
        <f t="shared" si="10"/>
        <v>14.031846246059729</v>
      </c>
      <c r="S109" s="15">
        <f t="shared" si="17"/>
        <v>55270.692530807384</v>
      </c>
      <c r="T109" s="15">
        <f>SUM(G302+G333+G364+G395)</f>
        <v>9710501500</v>
      </c>
      <c r="U109" s="15">
        <f t="shared" si="11"/>
        <v>156644887000</v>
      </c>
      <c r="V109" s="5">
        <f>U109/I23</f>
        <v>0.14665864980446508</v>
      </c>
      <c r="X109" s="5">
        <f t="shared" si="12"/>
        <v>14.665864980446507</v>
      </c>
      <c r="Z109" s="15">
        <f t="shared" si="13"/>
        <v>52044.430084091131</v>
      </c>
      <c r="AA109" s="15">
        <f t="shared" si="14"/>
        <v>3226.2624467162595</v>
      </c>
      <c r="AB109" s="5">
        <f>T109/G23</f>
        <v>8.2667717839254792E-2</v>
      </c>
      <c r="AD109" s="5">
        <f t="shared" si="15"/>
        <v>8.2667717839254795</v>
      </c>
      <c r="AF109" s="5">
        <f t="shared" si="16"/>
        <v>5.8372028628336257E-2</v>
      </c>
    </row>
    <row r="110" spans="5:32" x14ac:dyDescent="0.2">
      <c r="E110">
        <v>2007</v>
      </c>
      <c r="F110" s="1">
        <v>692580</v>
      </c>
      <c r="G110" s="1">
        <v>56832800</v>
      </c>
      <c r="H110" s="1">
        <v>10444102600</v>
      </c>
      <c r="K110" s="2">
        <v>2013</v>
      </c>
      <c r="L110" s="3" t="s">
        <v>86</v>
      </c>
      <c r="M110" s="13">
        <f>SUM(H426+H457+H488+H519)</f>
        <v>269956332900</v>
      </c>
      <c r="N110" s="1">
        <f>SUM(F426+F457+F488+F519)</f>
        <v>3009735</v>
      </c>
      <c r="O110" s="5">
        <f>M110/H23</f>
        <v>0.22770442187407208</v>
      </c>
      <c r="Q110" s="5">
        <f t="shared" si="10"/>
        <v>22.770442187407209</v>
      </c>
      <c r="S110" s="15">
        <f t="shared" si="17"/>
        <v>89694.386017373618</v>
      </c>
      <c r="T110" s="15">
        <f>SUM(G426+G457+G488+G519)</f>
        <v>23471568000</v>
      </c>
      <c r="U110" s="15">
        <f t="shared" si="11"/>
        <v>246484764900</v>
      </c>
      <c r="V110" s="5">
        <f>U110/I23</f>
        <v>0.23077116342523843</v>
      </c>
      <c r="X110" s="5">
        <f t="shared" si="12"/>
        <v>23.077116342523844</v>
      </c>
      <c r="Z110" s="15">
        <f t="shared" si="13"/>
        <v>81895.836311170249</v>
      </c>
      <c r="AA110" s="15">
        <f t="shared" si="14"/>
        <v>7798.5497062033701</v>
      </c>
      <c r="AB110" s="5">
        <f>T110/G23</f>
        <v>0.1998188209608826</v>
      </c>
      <c r="AD110" s="5">
        <f t="shared" si="15"/>
        <v>19.98188209608826</v>
      </c>
      <c r="AF110" s="5">
        <f t="shared" si="16"/>
        <v>8.694579507677111E-2</v>
      </c>
    </row>
    <row r="111" spans="5:32" x14ac:dyDescent="0.2">
      <c r="E111">
        <v>2008</v>
      </c>
      <c r="F111" s="1">
        <v>703125</v>
      </c>
      <c r="G111" s="1">
        <v>59931100</v>
      </c>
      <c r="H111" s="1">
        <v>10840411600</v>
      </c>
      <c r="K111" s="2">
        <v>2013</v>
      </c>
      <c r="L111" s="3" t="s">
        <v>90</v>
      </c>
      <c r="M111" s="13">
        <f>SUM(H550+H581+H612+H643)</f>
        <v>611774189800</v>
      </c>
      <c r="N111" s="1">
        <f>SUM(F550+F581+F612+F643)</f>
        <v>3009770</v>
      </c>
      <c r="O111" s="5">
        <f>M111/H23</f>
        <v>0.51602304235437269</v>
      </c>
      <c r="P111">
        <f>SUM(O107:O111)</f>
        <v>1</v>
      </c>
      <c r="Q111" s="5">
        <f t="shared" si="10"/>
        <v>51.602304235437266</v>
      </c>
      <c r="R111" s="6">
        <f>SUM(Q107:Q111)</f>
        <v>100</v>
      </c>
      <c r="S111" s="15">
        <f t="shared" si="17"/>
        <v>203262.77084295478</v>
      </c>
      <c r="T111" s="15">
        <f>SUM(G550+G581+G612+G643)</f>
        <v>81395614300</v>
      </c>
      <c r="U111" s="15">
        <f t="shared" si="11"/>
        <v>530378575500</v>
      </c>
      <c r="V111" s="5">
        <f>U111/I23</f>
        <v>0.49656651588025053</v>
      </c>
      <c r="W111">
        <f>SUM(V107:V111)</f>
        <v>1</v>
      </c>
      <c r="X111" s="5">
        <f t="shared" si="12"/>
        <v>49.656651588025049</v>
      </c>
      <c r="Y111" s="6">
        <f>SUM(X107:X111)</f>
        <v>100</v>
      </c>
      <c r="Z111" s="15">
        <f t="shared" si="13"/>
        <v>176218.97204769799</v>
      </c>
      <c r="AA111" s="15">
        <f t="shared" si="14"/>
        <v>27043.798795256782</v>
      </c>
      <c r="AB111" s="5">
        <f>T111/G23</f>
        <v>0.69293946108810267</v>
      </c>
      <c r="AC111" s="6">
        <f>SUM(AB107:AB111)</f>
        <v>1</v>
      </c>
      <c r="AD111" s="5">
        <f t="shared" si="15"/>
        <v>69.29394610881026</v>
      </c>
      <c r="AE111" s="6">
        <f>SUM(AD107:AD111)</f>
        <v>100</v>
      </c>
      <c r="AF111" s="5">
        <f t="shared" si="16"/>
        <v>0.13304846078356083</v>
      </c>
    </row>
    <row r="112" spans="5:32" x14ac:dyDescent="0.2">
      <c r="E112">
        <v>2009</v>
      </c>
      <c r="F112" s="1">
        <v>711910</v>
      </c>
      <c r="G112" s="1">
        <v>46210000</v>
      </c>
      <c r="H112" s="1">
        <v>11037324700</v>
      </c>
      <c r="K112" s="2">
        <v>2014</v>
      </c>
      <c r="L112" s="3" t="s">
        <v>83</v>
      </c>
      <c r="M112" s="13">
        <f>SUM(H55+H86+H117+H148)</f>
        <v>42135569300</v>
      </c>
      <c r="N112" s="1">
        <f>SUM(F55+F86+F117+F148)</f>
        <v>3050395</v>
      </c>
      <c r="O112" s="5">
        <f>M112/H24</f>
        <v>3.3910454600521077E-2</v>
      </c>
      <c r="Q112" s="5">
        <f t="shared" si="10"/>
        <v>3.3910454600521076</v>
      </c>
      <c r="S112" s="15">
        <f t="shared" si="17"/>
        <v>13813.151837712821</v>
      </c>
      <c r="T112" s="15">
        <f>SUM(G55+G86+G117+G148)</f>
        <v>189045900</v>
      </c>
      <c r="U112" s="15">
        <f t="shared" si="11"/>
        <v>41946523400</v>
      </c>
      <c r="V112" s="5">
        <f>U112/I24</f>
        <v>3.7468447142783384E-2</v>
      </c>
      <c r="X112" s="5">
        <f t="shared" si="12"/>
        <v>3.7468447142783385</v>
      </c>
      <c r="Z112" s="15">
        <f t="shared" si="13"/>
        <v>13751.177601589303</v>
      </c>
      <c r="AA112" s="15">
        <f t="shared" si="14"/>
        <v>61.97423612351843</v>
      </c>
      <c r="AB112" s="5">
        <f>T112/G24</f>
        <v>1.5364835882722789E-3</v>
      </c>
      <c r="AD112" s="5">
        <f t="shared" si="15"/>
        <v>0.15364835882722788</v>
      </c>
      <c r="AF112" s="5">
        <f t="shared" si="16"/>
        <v>4.4866107932235765E-3</v>
      </c>
    </row>
    <row r="113" spans="2:32" x14ac:dyDescent="0.2">
      <c r="E113">
        <v>2010</v>
      </c>
      <c r="F113" s="1">
        <v>719240</v>
      </c>
      <c r="G113" s="1">
        <v>42765800</v>
      </c>
      <c r="H113" s="1">
        <v>11262427700</v>
      </c>
      <c r="K113" s="2">
        <v>2014</v>
      </c>
      <c r="L113" s="3" t="s">
        <v>84</v>
      </c>
      <c r="M113" s="13">
        <f>SUM(H179+H210+H241+H272)</f>
        <v>100972103500</v>
      </c>
      <c r="N113" s="1">
        <f>SUM(F179+F210+F241+F272)</f>
        <v>3050315</v>
      </c>
      <c r="O113" s="5">
        <f>M113/H24</f>
        <v>8.126174603877645E-2</v>
      </c>
      <c r="Q113" s="5">
        <f t="shared" si="10"/>
        <v>8.1261746038776455</v>
      </c>
      <c r="S113" s="15">
        <f t="shared" si="17"/>
        <v>33102.188954255544</v>
      </c>
      <c r="T113" s="15">
        <f>SUM(G179+G210+G241+G272)</f>
        <v>2927574700</v>
      </c>
      <c r="U113" s="15">
        <f t="shared" si="11"/>
        <v>98044528800</v>
      </c>
      <c r="V113" s="5">
        <f>U113/I24</f>
        <v>8.7577609470774476E-2</v>
      </c>
      <c r="X113" s="5">
        <f t="shared" si="12"/>
        <v>8.7577609470774469</v>
      </c>
      <c r="Z113" s="15">
        <f t="shared" si="13"/>
        <v>32142.427519780744</v>
      </c>
      <c r="AA113" s="15">
        <f t="shared" si="14"/>
        <v>959.76143447480013</v>
      </c>
      <c r="AB113" s="5">
        <f>T113/G24</f>
        <v>2.3794065250773173E-2</v>
      </c>
      <c r="AD113" s="5">
        <f t="shared" si="15"/>
        <v>2.3794065250773171</v>
      </c>
      <c r="AF113" s="5">
        <f t="shared" si="16"/>
        <v>2.8993896319095699E-2</v>
      </c>
    </row>
    <row r="114" spans="2:32" x14ac:dyDescent="0.2">
      <c r="E114">
        <v>2011</v>
      </c>
      <c r="F114" s="1">
        <v>730020</v>
      </c>
      <c r="G114" s="1">
        <v>46865400</v>
      </c>
      <c r="H114" s="1">
        <v>11874793200</v>
      </c>
      <c r="K114" s="2">
        <v>2014</v>
      </c>
      <c r="L114" s="3" t="s">
        <v>85</v>
      </c>
      <c r="M114" s="13">
        <f>SUM(H303+H334+H365+H396)</f>
        <v>173741198900</v>
      </c>
      <c r="N114" s="1">
        <f>SUM(F303+F334+F365+F396)</f>
        <v>3050455</v>
      </c>
      <c r="O114" s="5">
        <f>M114/H24</f>
        <v>0.13982587954587225</v>
      </c>
      <c r="Q114" s="5">
        <f t="shared" si="10"/>
        <v>13.982587954587226</v>
      </c>
      <c r="S114" s="15">
        <f t="shared" si="17"/>
        <v>56955.830818681148</v>
      </c>
      <c r="T114" s="15">
        <f>SUM(G303+G334+G365+G396)</f>
        <v>10336445900</v>
      </c>
      <c r="U114" s="15">
        <f t="shared" si="11"/>
        <v>163404753000</v>
      </c>
      <c r="V114" s="5">
        <f>U114/I24</f>
        <v>0.14596018583652332</v>
      </c>
      <c r="X114" s="5">
        <f t="shared" si="12"/>
        <v>14.596018583652331</v>
      </c>
      <c r="Z114" s="15">
        <f t="shared" si="13"/>
        <v>53567.337659463919</v>
      </c>
      <c r="AA114" s="15">
        <f t="shared" si="14"/>
        <v>3388.4931592172316</v>
      </c>
      <c r="AB114" s="5">
        <f>T114/G24</f>
        <v>8.4010176821683435E-2</v>
      </c>
      <c r="AD114" s="5">
        <f t="shared" si="15"/>
        <v>8.4010176821683444</v>
      </c>
      <c r="AF114" s="5">
        <f t="shared" si="16"/>
        <v>5.9493349680114355E-2</v>
      </c>
    </row>
    <row r="115" spans="2:32" x14ac:dyDescent="0.2">
      <c r="E115">
        <v>2012</v>
      </c>
      <c r="F115" s="1">
        <v>741435</v>
      </c>
      <c r="G115" s="1">
        <v>50973200</v>
      </c>
      <c r="H115" s="1">
        <v>12560183300</v>
      </c>
      <c r="K115" s="2">
        <v>2014</v>
      </c>
      <c r="L115" s="3" t="s">
        <v>86</v>
      </c>
      <c r="M115" s="13">
        <f>SUM(H427+H458+H489+H520)</f>
        <v>282147644300</v>
      </c>
      <c r="N115" s="1">
        <f>SUM(F427+F458+F489+F520)</f>
        <v>3050465</v>
      </c>
      <c r="O115" s="5">
        <f>M115/H24</f>
        <v>0.22707073955873</v>
      </c>
      <c r="Q115" s="5">
        <f t="shared" si="10"/>
        <v>22.707073955873</v>
      </c>
      <c r="S115" s="15">
        <f t="shared" si="17"/>
        <v>92493.322919620448</v>
      </c>
      <c r="T115" s="15">
        <f>SUM(G427+G458+G489+G520)</f>
        <v>24317563100</v>
      </c>
      <c r="U115" s="15">
        <f t="shared" si="11"/>
        <v>257830081200</v>
      </c>
      <c r="V115" s="5">
        <f>U115/I24</f>
        <v>0.23030496895153288</v>
      </c>
      <c r="X115" s="5">
        <f t="shared" si="12"/>
        <v>23.030496895153288</v>
      </c>
      <c r="Z115" s="15">
        <f t="shared" si="13"/>
        <v>84521.566777524087</v>
      </c>
      <c r="AA115" s="15">
        <f t="shared" si="14"/>
        <v>7971.7561420963693</v>
      </c>
      <c r="AB115" s="5">
        <f>T115/G24</f>
        <v>0.19764267095941018</v>
      </c>
      <c r="AD115" s="5">
        <f t="shared" si="15"/>
        <v>19.764267095941019</v>
      </c>
      <c r="AF115" s="5">
        <f t="shared" si="16"/>
        <v>8.6187368887417654E-2</v>
      </c>
    </row>
    <row r="116" spans="2:32" x14ac:dyDescent="0.2">
      <c r="E116">
        <v>2013</v>
      </c>
      <c r="F116" s="1">
        <v>752275</v>
      </c>
      <c r="G116" s="1">
        <v>50481700</v>
      </c>
      <c r="H116" s="1">
        <v>12926286500</v>
      </c>
      <c r="K116" s="2">
        <v>2014</v>
      </c>
      <c r="L116" s="3" t="s">
        <v>90</v>
      </c>
      <c r="M116" s="13">
        <f>SUM(H551+H582+H613+H644)</f>
        <v>643557433600</v>
      </c>
      <c r="N116" s="1">
        <f>SUM(F551+F582+F613+F644)</f>
        <v>3050440</v>
      </c>
      <c r="O116" s="5">
        <f>M116/H24</f>
        <v>0.51793118017562079</v>
      </c>
      <c r="P116">
        <f>SUM(O112:O116)</f>
        <v>0.9999999999195206</v>
      </c>
      <c r="Q116" s="5">
        <f t="shared" si="10"/>
        <v>51.79311801756208</v>
      </c>
      <c r="R116" s="6">
        <f>SUM(Q112:Q116)</f>
        <v>99.999999991952052</v>
      </c>
      <c r="S116" s="15">
        <f t="shared" si="17"/>
        <v>210972.00194070363</v>
      </c>
      <c r="T116" s="15">
        <f>SUM(G551+G582+G613+G644)</f>
        <v>85267391400</v>
      </c>
      <c r="U116" s="15">
        <f t="shared" si="11"/>
        <v>558290042200</v>
      </c>
      <c r="V116" s="5">
        <f>U116/I24</f>
        <v>0.49868878850906162</v>
      </c>
      <c r="W116">
        <f>SUM(V112:V116)</f>
        <v>0.99999999991067567</v>
      </c>
      <c r="X116" s="5">
        <f t="shared" si="12"/>
        <v>49.868878850906164</v>
      </c>
      <c r="Y116" s="6">
        <f>SUM(X112:X116)</f>
        <v>99.999999991067568</v>
      </c>
      <c r="Z116" s="15">
        <f t="shared" si="13"/>
        <v>183019.51266046867</v>
      </c>
      <c r="AA116" s="15">
        <f t="shared" si="14"/>
        <v>27952.489280234982</v>
      </c>
      <c r="AB116" s="5">
        <f>T116/G24</f>
        <v>0.69301660337986093</v>
      </c>
      <c r="AC116" s="6">
        <f>SUM(AB112:AB116)</f>
        <v>1</v>
      </c>
      <c r="AD116" s="5">
        <f t="shared" si="15"/>
        <v>69.301660337986092</v>
      </c>
      <c r="AE116" s="6">
        <f>SUM(AD112:AD116)</f>
        <v>100</v>
      </c>
      <c r="AF116" s="5">
        <f t="shared" si="16"/>
        <v>0.13249383341440438</v>
      </c>
    </row>
    <row r="117" spans="2:32" x14ac:dyDescent="0.2">
      <c r="E117">
        <v>2014</v>
      </c>
      <c r="F117" s="1">
        <v>762440</v>
      </c>
      <c r="G117" s="1">
        <v>51481700</v>
      </c>
      <c r="H117" s="1">
        <v>13395531800</v>
      </c>
      <c r="K117" s="2">
        <v>2015</v>
      </c>
      <c r="L117" s="3" t="s">
        <v>83</v>
      </c>
      <c r="M117" s="13">
        <f>SUM(H56+H87+H118+H149)</f>
        <v>43814694500</v>
      </c>
      <c r="N117" s="1">
        <f>SUM(F56+F87+F118+F149)</f>
        <v>3085580</v>
      </c>
      <c r="O117" s="5">
        <f>M117/H25</f>
        <v>3.37648993420624E-2</v>
      </c>
      <c r="Q117" s="5">
        <f t="shared" si="10"/>
        <v>3.3764899342062402</v>
      </c>
      <c r="S117" s="15">
        <f t="shared" si="17"/>
        <v>14199.824506251662</v>
      </c>
      <c r="T117" s="15">
        <f>SUM(G56+G87+G118+G149)</f>
        <v>209446300</v>
      </c>
      <c r="U117" s="15">
        <f t="shared" si="11"/>
        <v>43605248200</v>
      </c>
      <c r="V117" s="5">
        <f>U117/I25</f>
        <v>3.7405699698746228E-2</v>
      </c>
      <c r="X117" s="5">
        <f t="shared" si="12"/>
        <v>3.7405699698746226</v>
      </c>
      <c r="Z117" s="15">
        <f t="shared" si="13"/>
        <v>14131.945436514367</v>
      </c>
      <c r="AA117" s="15">
        <f t="shared" si="14"/>
        <v>67.879069737294117</v>
      </c>
      <c r="AB117" s="5">
        <f>T117/G25</f>
        <v>1.5878903855589389E-3</v>
      </c>
      <c r="AD117" s="5">
        <f t="shared" si="15"/>
        <v>0.15878903855589391</v>
      </c>
      <c r="AF117" s="5">
        <f t="shared" si="16"/>
        <v>4.7802752567406345E-3</v>
      </c>
    </row>
    <row r="118" spans="2:32" x14ac:dyDescent="0.2">
      <c r="E118">
        <v>2015</v>
      </c>
      <c r="F118" s="1">
        <v>771410</v>
      </c>
      <c r="G118" s="1">
        <v>54335100</v>
      </c>
      <c r="H118" s="1">
        <v>13910690300</v>
      </c>
      <c r="K118" s="2">
        <v>2015</v>
      </c>
      <c r="L118" s="3" t="s">
        <v>84</v>
      </c>
      <c r="M118" s="13">
        <f>SUM(H180+H211+H242+H273)</f>
        <v>105184153200</v>
      </c>
      <c r="N118" s="1">
        <f>SUM(F180+F211+F242+F273)</f>
        <v>3085815</v>
      </c>
      <c r="O118" s="5">
        <f>M118/H25</f>
        <v>8.1058019135065995E-2</v>
      </c>
      <c r="Q118" s="5">
        <f t="shared" si="10"/>
        <v>8.1058019135065997</v>
      </c>
      <c r="S118" s="15">
        <f t="shared" si="17"/>
        <v>34086.344515144294</v>
      </c>
      <c r="T118" s="15">
        <f>SUM(G180+G211+G242+G273)</f>
        <v>3167625900</v>
      </c>
      <c r="U118" s="15">
        <f t="shared" si="11"/>
        <v>102016527300</v>
      </c>
      <c r="V118" s="5">
        <f>U118/I25</f>
        <v>8.7512392246691675E-2</v>
      </c>
      <c r="X118" s="5">
        <f t="shared" si="12"/>
        <v>8.7512392246691668</v>
      </c>
      <c r="Z118" s="15">
        <f t="shared" si="13"/>
        <v>33059.83258879745</v>
      </c>
      <c r="AA118" s="15">
        <f t="shared" si="14"/>
        <v>1026.5119263468484</v>
      </c>
      <c r="AB118" s="5">
        <f>T118/G25</f>
        <v>2.4014951382084482E-2</v>
      </c>
      <c r="AD118" s="5">
        <f t="shared" si="15"/>
        <v>2.401495138208448</v>
      </c>
      <c r="AF118" s="5">
        <f t="shared" si="16"/>
        <v>3.0115048737208452E-2</v>
      </c>
    </row>
    <row r="119" spans="2:32" x14ac:dyDescent="0.2">
      <c r="E119">
        <v>2016</v>
      </c>
      <c r="F119" s="1">
        <v>780295</v>
      </c>
      <c r="G119" s="1">
        <v>60164600</v>
      </c>
      <c r="H119" s="1">
        <v>14445003600</v>
      </c>
      <c r="K119" s="2">
        <v>2015</v>
      </c>
      <c r="L119" s="3" t="s">
        <v>85</v>
      </c>
      <c r="M119" s="13">
        <f>SUM(H304+H335+H366+H397)</f>
        <v>179872669000</v>
      </c>
      <c r="N119" s="1">
        <f>SUM(F304+F335+F366+F397)</f>
        <v>3085775</v>
      </c>
      <c r="O119" s="5">
        <f>M119/H25</f>
        <v>0.13861519822243901</v>
      </c>
      <c r="Q119" s="5">
        <f t="shared" si="10"/>
        <v>13.861519822243901</v>
      </c>
      <c r="S119" s="15">
        <f t="shared" si="17"/>
        <v>58290.9217295493</v>
      </c>
      <c r="T119" s="15">
        <f>SUM(G304+G335+G366+G397)</f>
        <v>11036277600</v>
      </c>
      <c r="U119" s="15">
        <f t="shared" si="11"/>
        <v>168836391400</v>
      </c>
      <c r="V119" s="5">
        <f>U119/I25</f>
        <v>0.14483218455636218</v>
      </c>
      <c r="X119" s="5">
        <f t="shared" si="12"/>
        <v>14.483218455636218</v>
      </c>
      <c r="Z119" s="15">
        <f t="shared" si="13"/>
        <v>54714.420656075054</v>
      </c>
      <c r="AA119" s="15">
        <f t="shared" si="14"/>
        <v>3576.5010734742486</v>
      </c>
      <c r="AB119" s="5">
        <f>T119/G25</f>
        <v>8.3670129734444973E-2</v>
      </c>
      <c r="AD119" s="5">
        <f t="shared" si="15"/>
        <v>8.3670129734444973</v>
      </c>
      <c r="AF119" s="5">
        <f t="shared" si="16"/>
        <v>6.1356056266669394E-2</v>
      </c>
    </row>
    <row r="120" spans="2:32" x14ac:dyDescent="0.2">
      <c r="E120">
        <v>2017</v>
      </c>
      <c r="F120" s="1">
        <v>794960</v>
      </c>
      <c r="G120" s="1">
        <v>70415300</v>
      </c>
      <c r="H120" s="1">
        <v>15093856300</v>
      </c>
      <c r="K120" s="2">
        <v>2015</v>
      </c>
      <c r="L120" s="3" t="s">
        <v>86</v>
      </c>
      <c r="M120" s="13">
        <f>SUM(H428+H459+H490+H521)</f>
        <v>290803015300</v>
      </c>
      <c r="N120" s="1">
        <f>SUM(F428+F459+F490+F521)</f>
        <v>3085780</v>
      </c>
      <c r="O120" s="5">
        <f>M120/H25</f>
        <v>0.22410140369625839</v>
      </c>
      <c r="Q120" s="5">
        <f t="shared" si="10"/>
        <v>22.410140369625839</v>
      </c>
      <c r="S120" s="15">
        <f t="shared" si="17"/>
        <v>94239.710964488724</v>
      </c>
      <c r="T120" s="15">
        <f>SUM(G428+G459+G490+G521)</f>
        <v>25524918700</v>
      </c>
      <c r="U120" s="15">
        <f t="shared" si="11"/>
        <v>265278096600</v>
      </c>
      <c r="V120" s="5">
        <f>U120/I25</f>
        <v>0.22756235149865728</v>
      </c>
      <c r="X120" s="5">
        <f t="shared" si="12"/>
        <v>22.756235149865727</v>
      </c>
      <c r="Z120" s="15">
        <f t="shared" si="13"/>
        <v>85967.922729423357</v>
      </c>
      <c r="AA120" s="15">
        <f t="shared" si="14"/>
        <v>8271.7882350653636</v>
      </c>
      <c r="AB120" s="5">
        <f>T120/G25</f>
        <v>0.19351391261580447</v>
      </c>
      <c r="AD120" s="5">
        <f t="shared" si="15"/>
        <v>19.351391261580446</v>
      </c>
      <c r="AF120" s="5">
        <f t="shared" si="16"/>
        <v>8.7773913463957118E-2</v>
      </c>
    </row>
    <row r="121" spans="2:32" x14ac:dyDescent="0.2">
      <c r="E121">
        <v>2018</v>
      </c>
      <c r="F121" s="1">
        <v>811260</v>
      </c>
      <c r="G121" s="1">
        <v>74430400</v>
      </c>
      <c r="H121" s="1">
        <v>15916006200</v>
      </c>
      <c r="K121" s="2">
        <v>2015</v>
      </c>
      <c r="L121" s="3" t="s">
        <v>90</v>
      </c>
      <c r="M121" s="13">
        <f>SUM(H552+H583+H614+H645)</f>
        <v>677965779600</v>
      </c>
      <c r="N121" s="1">
        <f>SUM(F552+F583+F614+F645)</f>
        <v>3085755</v>
      </c>
      <c r="O121" s="5">
        <f>M121/H25</f>
        <v>0.5224604796812371</v>
      </c>
      <c r="P121">
        <f>SUM(O117:O121)</f>
        <v>1.0000000000770628</v>
      </c>
      <c r="Q121" s="5">
        <f t="shared" si="10"/>
        <v>52.246047968123712</v>
      </c>
      <c r="R121" s="6">
        <f>SUM(Q117:Q121)</f>
        <v>100.00000000770629</v>
      </c>
      <c r="S121" s="15">
        <f t="shared" si="17"/>
        <v>219708.23334969886</v>
      </c>
      <c r="T121" s="15">
        <f>SUM(G552+G583+G614+G645)</f>
        <v>91963972200</v>
      </c>
      <c r="U121" s="15">
        <f t="shared" si="11"/>
        <v>586001807400</v>
      </c>
      <c r="V121" s="5">
        <f>U121/I25</f>
        <v>0.5026873721711077</v>
      </c>
      <c r="W121">
        <f>SUM(V117:V121)</f>
        <v>1.000000000171565</v>
      </c>
      <c r="X121" s="5">
        <f t="shared" si="12"/>
        <v>50.268737217110768</v>
      </c>
      <c r="Y121" s="6">
        <f>SUM(X117:X121)</f>
        <v>100.00000001715651</v>
      </c>
      <c r="Z121" s="15">
        <f t="shared" si="13"/>
        <v>189905.48744148514</v>
      </c>
      <c r="AA121" s="15">
        <f t="shared" si="14"/>
        <v>29802.74590821371</v>
      </c>
      <c r="AB121" s="5">
        <f>T121/G25</f>
        <v>0.69721311512396988</v>
      </c>
      <c r="AC121" s="6">
        <f>SUM(AB117:AB121)</f>
        <v>0.99999999924186278</v>
      </c>
      <c r="AD121" s="5">
        <f t="shared" si="15"/>
        <v>69.721311512396994</v>
      </c>
      <c r="AE121" s="6">
        <f>SUM(AD117:AD121)</f>
        <v>99.999999924186284</v>
      </c>
      <c r="AF121" s="5">
        <f t="shared" si="16"/>
        <v>0.13564692343949686</v>
      </c>
    </row>
    <row r="122" spans="2:32" x14ac:dyDescent="0.2">
      <c r="E122">
        <v>2019</v>
      </c>
      <c r="F122" s="1">
        <v>824815</v>
      </c>
      <c r="G122" s="1">
        <v>69229600</v>
      </c>
      <c r="H122" s="1">
        <v>16487276200</v>
      </c>
      <c r="K122" s="2">
        <v>2016</v>
      </c>
      <c r="L122" s="3" t="s">
        <v>83</v>
      </c>
      <c r="M122" s="13">
        <f>SUM(H57+H88+H119+H150)</f>
        <v>45239479600</v>
      </c>
      <c r="N122" s="1">
        <f>SUM(F57+F88+F119+F150)</f>
        <v>3121080</v>
      </c>
      <c r="O122" s="5">
        <f>M122/H26</f>
        <v>3.4957340188478396E-2</v>
      </c>
      <c r="Q122" s="5">
        <f t="shared" si="10"/>
        <v>3.4957340188478394</v>
      </c>
      <c r="S122" s="15">
        <f t="shared" si="17"/>
        <v>14494.815768900509</v>
      </c>
      <c r="T122" s="15">
        <f>SUM(G57+G88+G119+G150)</f>
        <v>212908300</v>
      </c>
      <c r="U122" s="15">
        <f t="shared" si="11"/>
        <v>45026571300</v>
      </c>
      <c r="V122" s="5">
        <f>U122/I26</f>
        <v>3.8563938908434396E-2</v>
      </c>
      <c r="X122" s="5">
        <f t="shared" si="12"/>
        <v>3.8563938908434396</v>
      </c>
      <c r="Z122" s="15">
        <f t="shared" si="13"/>
        <v>14426.599542466069</v>
      </c>
      <c r="AA122" s="15">
        <f t="shared" si="14"/>
        <v>68.216226434439363</v>
      </c>
      <c r="AB122" s="5">
        <f>T122/G26</f>
        <v>1.6823826716466266E-3</v>
      </c>
      <c r="AD122" s="5">
        <f t="shared" si="15"/>
        <v>0.16823826716466267</v>
      </c>
      <c r="AF122" s="5">
        <f t="shared" si="16"/>
        <v>4.7062499808242708E-3</v>
      </c>
    </row>
    <row r="123" spans="2:32" x14ac:dyDescent="0.2">
      <c r="E123">
        <v>2020</v>
      </c>
      <c r="F123" s="1">
        <v>830065</v>
      </c>
      <c r="G123" s="1">
        <v>122175900</v>
      </c>
      <c r="H123" s="1">
        <v>19498066800</v>
      </c>
      <c r="K123" s="2">
        <v>2016</v>
      </c>
      <c r="L123" s="3" t="s">
        <v>84</v>
      </c>
      <c r="M123" s="13">
        <f>SUM(H181+H212+H243+H274)</f>
        <v>107563824100</v>
      </c>
      <c r="N123" s="1">
        <f>SUM(F181+F212+F243+F274)</f>
        <v>3121410</v>
      </c>
      <c r="O123" s="5">
        <f>M123/H26</f>
        <v>8.3116455456250446E-2</v>
      </c>
      <c r="Q123" s="5">
        <f t="shared" si="10"/>
        <v>8.3116455456250442</v>
      </c>
      <c r="S123" s="15">
        <f t="shared" si="17"/>
        <v>34460.011373065376</v>
      </c>
      <c r="T123" s="15">
        <f>SUM(G181+G212+G243+G274)</f>
        <v>3210416100</v>
      </c>
      <c r="U123" s="15">
        <f t="shared" si="11"/>
        <v>104353408000</v>
      </c>
      <c r="V123" s="5">
        <f>U123/I26</f>
        <v>8.9375636092436136E-2</v>
      </c>
      <c r="X123" s="5">
        <f t="shared" si="12"/>
        <v>8.9375636092436128</v>
      </c>
      <c r="Z123" s="15">
        <f t="shared" si="13"/>
        <v>33431.496663366874</v>
      </c>
      <c r="AA123" s="15">
        <f t="shared" si="14"/>
        <v>1028.5147096985017</v>
      </c>
      <c r="AB123" s="5">
        <f>T123/G26</f>
        <v>2.5368425821893009E-2</v>
      </c>
      <c r="AD123" s="5">
        <f t="shared" si="15"/>
        <v>2.5368425821893008</v>
      </c>
      <c r="AF123" s="5">
        <f t="shared" si="16"/>
        <v>2.9846615503511097E-2</v>
      </c>
    </row>
    <row r="124" spans="2:32" x14ac:dyDescent="0.2">
      <c r="E124">
        <v>2021</v>
      </c>
      <c r="F124" s="1">
        <v>843805</v>
      </c>
      <c r="G124" s="1">
        <v>93734600</v>
      </c>
      <c r="H124" s="1">
        <v>18960367000</v>
      </c>
      <c r="K124" s="2">
        <v>2016</v>
      </c>
      <c r="L124" s="3" t="s">
        <v>85</v>
      </c>
      <c r="M124" s="13">
        <f>SUM(H305+H336+H367+H398)</f>
        <v>183769328100</v>
      </c>
      <c r="N124" s="1">
        <f>SUM(F305+F336+F367+F398)</f>
        <v>3121245</v>
      </c>
      <c r="O124" s="5">
        <f>M124/H26</f>
        <v>0.14200178639101327</v>
      </c>
      <c r="Q124" s="5">
        <f t="shared" si="10"/>
        <v>14.200178639101328</v>
      </c>
      <c r="S124" s="15">
        <f t="shared" si="17"/>
        <v>58876.93151290591</v>
      </c>
      <c r="T124" s="15">
        <f>SUM(G305+G336+G367+G398)</f>
        <v>10928570800</v>
      </c>
      <c r="U124" s="15">
        <f t="shared" si="11"/>
        <v>172840757300</v>
      </c>
      <c r="V124" s="5">
        <f>U124/I26</f>
        <v>0.14803304388857022</v>
      </c>
      <c r="X124" s="5">
        <f t="shared" si="12"/>
        <v>14.803304388857022</v>
      </c>
      <c r="Z124" s="15">
        <f t="shared" si="13"/>
        <v>55375.581634892485</v>
      </c>
      <c r="AA124" s="15">
        <f t="shared" si="14"/>
        <v>3501.3498780134209</v>
      </c>
      <c r="AB124" s="5">
        <f>T124/G26</f>
        <v>8.6356605824119165E-2</v>
      </c>
      <c r="AD124" s="5">
        <f t="shared" si="15"/>
        <v>8.6356605824119157</v>
      </c>
      <c r="AF124" s="5">
        <f t="shared" si="16"/>
        <v>5.9468959880253268E-2</v>
      </c>
    </row>
    <row r="125" spans="2:32" x14ac:dyDescent="0.2">
      <c r="E125">
        <v>2022</v>
      </c>
      <c r="F125" s="1">
        <v>869135</v>
      </c>
      <c r="G125" s="1">
        <v>52535600</v>
      </c>
      <c r="H125" s="1">
        <v>19298074200</v>
      </c>
      <c r="K125" s="2">
        <v>2016</v>
      </c>
      <c r="L125" s="3" t="s">
        <v>86</v>
      </c>
      <c r="M125" s="13">
        <f>SUM(H429+H460+H491+H522)</f>
        <v>296355221300</v>
      </c>
      <c r="N125" s="1">
        <f>SUM(F429+F460+F491+F522)</f>
        <v>3121345</v>
      </c>
      <c r="O125" s="5">
        <f>M125/H26</f>
        <v>0.2289988828168549</v>
      </c>
      <c r="Q125" s="5">
        <f t="shared" si="10"/>
        <v>22.899888281685492</v>
      </c>
      <c r="S125" s="15">
        <f t="shared" si="17"/>
        <v>94944.71815835801</v>
      </c>
      <c r="T125" s="15">
        <f>SUM(G429+G460+G491+G522)</f>
        <v>25380241900</v>
      </c>
      <c r="U125" s="15">
        <f t="shared" si="11"/>
        <v>270974979400</v>
      </c>
      <c r="V125" s="5">
        <f>U125/I26</f>
        <v>0.23208212949796309</v>
      </c>
      <c r="X125" s="5">
        <f t="shared" si="12"/>
        <v>23.208212949796309</v>
      </c>
      <c r="Z125" s="15">
        <f t="shared" si="13"/>
        <v>86813.530513288337</v>
      </c>
      <c r="AA125" s="15">
        <f t="shared" si="14"/>
        <v>8131.1876450696736</v>
      </c>
      <c r="AB125" s="5">
        <f>T125/G26</f>
        <v>0.20055244053312929</v>
      </c>
      <c r="AD125" s="5">
        <f t="shared" si="15"/>
        <v>20.055244053312929</v>
      </c>
      <c r="AF125" s="5">
        <f t="shared" si="16"/>
        <v>8.5641284768550166E-2</v>
      </c>
    </row>
    <row r="126" spans="2:32" x14ac:dyDescent="0.2">
      <c r="B126" t="s">
        <v>12</v>
      </c>
      <c r="C126" t="s">
        <v>30</v>
      </c>
      <c r="D126" t="s">
        <v>32</v>
      </c>
      <c r="E126">
        <v>1992</v>
      </c>
      <c r="F126" s="1">
        <v>568185</v>
      </c>
      <c r="G126" s="1">
        <v>107871000</v>
      </c>
      <c r="H126" s="1">
        <v>7001068900</v>
      </c>
      <c r="K126" s="2">
        <v>2016</v>
      </c>
      <c r="L126" s="3" t="s">
        <v>90</v>
      </c>
      <c r="M126" s="13">
        <f>SUM(H553+H584+H615+H646)</f>
        <v>661206064300</v>
      </c>
      <c r="N126" s="1">
        <f>SUM(F553+F584+F615+F646)</f>
        <v>3121300</v>
      </c>
      <c r="O126" s="5">
        <f>M126/H26</f>
        <v>0.51092553514740302</v>
      </c>
      <c r="P126">
        <f>SUM(O122:O126)</f>
        <v>1</v>
      </c>
      <c r="Q126" s="5">
        <f t="shared" si="10"/>
        <v>51.092553514740302</v>
      </c>
      <c r="R126" s="6">
        <f>SUM(Q122:Q126)</f>
        <v>100</v>
      </c>
      <c r="S126" s="15">
        <f t="shared" si="17"/>
        <v>211836.75529426843</v>
      </c>
      <c r="T126" s="15">
        <f>SUM(G553+G584+G615+G646)</f>
        <v>86819511000</v>
      </c>
      <c r="U126" s="15">
        <f t="shared" si="11"/>
        <v>574386553300</v>
      </c>
      <c r="V126" s="5">
        <f>U126/I26</f>
        <v>0.49194525169824327</v>
      </c>
      <c r="W126">
        <f>SUM(V122:V126)</f>
        <v>1.000000000085647</v>
      </c>
      <c r="X126" s="5">
        <f t="shared" si="12"/>
        <v>49.194525169824324</v>
      </c>
      <c r="Y126" s="6">
        <f>SUM(X122:X126)</f>
        <v>100.00000000856471</v>
      </c>
      <c r="Z126" s="15">
        <f t="shared" si="13"/>
        <v>184021.57860506841</v>
      </c>
      <c r="AA126" s="15">
        <f t="shared" si="14"/>
        <v>27815.176689200012</v>
      </c>
      <c r="AB126" s="5">
        <f>T126/G26</f>
        <v>0.68604014435902072</v>
      </c>
      <c r="AC126" s="6">
        <f>SUM(AB122:AB126)</f>
        <v>0.99999999920980875</v>
      </c>
      <c r="AD126" s="5">
        <f t="shared" si="15"/>
        <v>68.604014435902073</v>
      </c>
      <c r="AE126" s="6">
        <f>SUM(AD122:AD126)</f>
        <v>99.999999920980883</v>
      </c>
      <c r="AF126" s="5">
        <f t="shared" si="16"/>
        <v>0.13130477121669071</v>
      </c>
    </row>
    <row r="127" spans="2:32" x14ac:dyDescent="0.2">
      <c r="E127">
        <v>1993</v>
      </c>
      <c r="F127" s="1">
        <v>582540</v>
      </c>
      <c r="G127" s="1">
        <v>85375700</v>
      </c>
      <c r="H127" s="1">
        <v>7063582400</v>
      </c>
      <c r="K127" s="2">
        <v>2017</v>
      </c>
      <c r="L127" s="3" t="s">
        <v>83</v>
      </c>
      <c r="M127" s="13">
        <f>SUM(H58+H89+H120+H151)</f>
        <v>47006500600</v>
      </c>
      <c r="N127" s="1">
        <f>SUM(F58+F89+F120+F151)</f>
        <v>3180405</v>
      </c>
      <c r="O127" s="5">
        <f>M127/H27</f>
        <v>3.4085906471175813E-2</v>
      </c>
      <c r="Q127" s="5">
        <f t="shared" si="10"/>
        <v>3.4085906471175811</v>
      </c>
      <c r="S127" s="15">
        <f t="shared" si="17"/>
        <v>14780.036064589258</v>
      </c>
      <c r="T127" s="15">
        <f>SUM(G58+G89+G120+G151)</f>
        <v>235814500</v>
      </c>
      <c r="U127" s="15">
        <f t="shared" si="11"/>
        <v>46770686100</v>
      </c>
      <c r="V127" s="5">
        <f>U127/I27</f>
        <v>3.7661544803436246E-2</v>
      </c>
      <c r="X127" s="5">
        <f t="shared" si="12"/>
        <v>3.7661544803436247</v>
      </c>
      <c r="Z127" s="15">
        <f t="shared" si="13"/>
        <v>14705.890004574889</v>
      </c>
      <c r="AA127" s="15">
        <f t="shared" si="14"/>
        <v>74.14606001436924</v>
      </c>
      <c r="AB127" s="5">
        <f>T127/G27</f>
        <v>1.7188745701980795E-3</v>
      </c>
      <c r="AD127" s="5">
        <f t="shared" si="15"/>
        <v>0.17188745701980795</v>
      </c>
      <c r="AF127" s="5">
        <f t="shared" si="16"/>
        <v>5.0166359331160256E-3</v>
      </c>
    </row>
    <row r="128" spans="2:32" x14ac:dyDescent="0.2">
      <c r="E128">
        <v>1994</v>
      </c>
      <c r="F128" s="1">
        <v>590825</v>
      </c>
      <c r="G128" s="1">
        <v>87523200</v>
      </c>
      <c r="H128" s="1">
        <v>7257299200</v>
      </c>
      <c r="K128" s="2">
        <v>2017</v>
      </c>
      <c r="L128" s="3" t="s">
        <v>84</v>
      </c>
      <c r="M128" s="13">
        <f>SUM(H182+H213+H244+H275)</f>
        <v>112400246500</v>
      </c>
      <c r="N128" s="1">
        <f>SUM(F182+F213+F244+F275)</f>
        <v>3180545</v>
      </c>
      <c r="O128" s="5">
        <f>M128/H27</f>
        <v>8.1504988472511544E-2</v>
      </c>
      <c r="Q128" s="5">
        <f t="shared" si="10"/>
        <v>8.1504988472511553</v>
      </c>
      <c r="S128" s="15">
        <f t="shared" si="17"/>
        <v>35339.932778816212</v>
      </c>
      <c r="T128" s="15">
        <f>SUM(G182+G213+G244+G275)</f>
        <v>3437679700</v>
      </c>
      <c r="U128" s="15">
        <f t="shared" si="11"/>
        <v>108962566800</v>
      </c>
      <c r="V128" s="5">
        <f>U128/I27</f>
        <v>8.7740825154061924E-2</v>
      </c>
      <c r="X128" s="5">
        <f t="shared" si="12"/>
        <v>8.7740825154061923</v>
      </c>
      <c r="Z128" s="15">
        <f t="shared" si="13"/>
        <v>34259.086665964482</v>
      </c>
      <c r="AA128" s="15">
        <f t="shared" si="14"/>
        <v>1080.8461128517283</v>
      </c>
      <c r="AB128" s="5">
        <f>T128/G27</f>
        <v>2.5057577955622589E-2</v>
      </c>
      <c r="AD128" s="5">
        <f t="shared" si="15"/>
        <v>2.5057577955622587</v>
      </c>
      <c r="AF128" s="5">
        <f t="shared" si="16"/>
        <v>3.058427189481297E-2</v>
      </c>
    </row>
    <row r="129" spans="5:32" x14ac:dyDescent="0.2">
      <c r="E129">
        <v>1995</v>
      </c>
      <c r="F129" s="1">
        <v>600370</v>
      </c>
      <c r="G129" s="1">
        <v>92367000</v>
      </c>
      <c r="H129" s="1">
        <v>7463245500</v>
      </c>
      <c r="K129" s="2">
        <v>2017</v>
      </c>
      <c r="L129" s="3" t="s">
        <v>85</v>
      </c>
      <c r="M129" s="13">
        <f>SUM(H306+H337+H368+H399)</f>
        <v>192844780800</v>
      </c>
      <c r="N129" s="1">
        <f>SUM(F306+F337+F368+F399)</f>
        <v>3180615</v>
      </c>
      <c r="O129" s="5">
        <f>M129/H27</f>
        <v>0.13983787514280954</v>
      </c>
      <c r="Q129" s="5">
        <f t="shared" si="10"/>
        <v>13.983787514280955</v>
      </c>
      <c r="S129" s="15">
        <f t="shared" si="17"/>
        <v>60631.286968086359</v>
      </c>
      <c r="T129" s="15">
        <f>SUM(G306+G337+G368+G399)</f>
        <v>11587536300</v>
      </c>
      <c r="U129" s="15">
        <f t="shared" si="11"/>
        <v>181257244500</v>
      </c>
      <c r="V129" s="5">
        <f>U129/I27</f>
        <v>0.14595526394649463</v>
      </c>
      <c r="X129" s="5">
        <f t="shared" si="12"/>
        <v>14.595526394649463</v>
      </c>
      <c r="Z129" s="15">
        <f t="shared" si="13"/>
        <v>56988.112204715129</v>
      </c>
      <c r="AA129" s="15">
        <f t="shared" si="14"/>
        <v>3643.1747633712348</v>
      </c>
      <c r="AB129" s="5">
        <f>T129/G27</f>
        <v>8.4462666533725209E-2</v>
      </c>
      <c r="AD129" s="5">
        <f t="shared" si="15"/>
        <v>8.4462666533725201</v>
      </c>
      <c r="AF129" s="5">
        <f t="shared" si="16"/>
        <v>6.0087373129467658E-2</v>
      </c>
    </row>
    <row r="130" spans="5:32" x14ac:dyDescent="0.2">
      <c r="E130">
        <v>1996</v>
      </c>
      <c r="F130" s="1">
        <v>605735</v>
      </c>
      <c r="G130" s="1">
        <v>91282200</v>
      </c>
      <c r="H130" s="1">
        <v>7569315100</v>
      </c>
      <c r="K130" s="2">
        <v>2017</v>
      </c>
      <c r="L130" s="3" t="s">
        <v>86</v>
      </c>
      <c r="M130" s="13">
        <f>SUM(H430+H461+H492+H523)</f>
        <v>311536633100</v>
      </c>
      <c r="N130" s="1">
        <f>SUM(F430+F461+F492+F523)</f>
        <v>3180565</v>
      </c>
      <c r="O130" s="5">
        <f>M130/H27</f>
        <v>0.22590510679690151</v>
      </c>
      <c r="Q130" s="5">
        <f t="shared" si="10"/>
        <v>22.590510679690151</v>
      </c>
      <c r="S130" s="15">
        <f t="shared" si="17"/>
        <v>97950.091603221445</v>
      </c>
      <c r="T130" s="15">
        <f>SUM(G430+G461+G492+G523)</f>
        <v>26841112700</v>
      </c>
      <c r="U130" s="15">
        <f t="shared" si="11"/>
        <v>284695520400</v>
      </c>
      <c r="V130" s="5">
        <f>U130/I27</f>
        <v>0.2292477188373381</v>
      </c>
      <c r="X130" s="5">
        <f t="shared" si="12"/>
        <v>22.924771883733811</v>
      </c>
      <c r="Z130" s="15">
        <f t="shared" si="13"/>
        <v>89510.989525445955</v>
      </c>
      <c r="AA130" s="15">
        <f t="shared" si="14"/>
        <v>8439.1020777754893</v>
      </c>
      <c r="AB130" s="5">
        <f>T130/G27</f>
        <v>0.19564745194146549</v>
      </c>
      <c r="AD130" s="5">
        <f t="shared" si="15"/>
        <v>19.56474519414655</v>
      </c>
      <c r="AF130" s="5">
        <f t="shared" si="16"/>
        <v>8.6157163711094872E-2</v>
      </c>
    </row>
    <row r="131" spans="5:32" x14ac:dyDescent="0.2">
      <c r="E131">
        <v>1997</v>
      </c>
      <c r="F131" s="1">
        <v>612730</v>
      </c>
      <c r="G131" s="1">
        <v>93660700</v>
      </c>
      <c r="H131" s="1">
        <v>7761865700</v>
      </c>
      <c r="K131" s="2">
        <v>2017</v>
      </c>
      <c r="L131" s="3" t="s">
        <v>90</v>
      </c>
      <c r="M131" s="13">
        <f>SUM(H554+H585+H616+H647)</f>
        <v>715271558000</v>
      </c>
      <c r="N131" s="1">
        <f>SUM(F554+F585+F616+F647)</f>
        <v>3180545</v>
      </c>
      <c r="O131" s="5">
        <f>M131/H27</f>
        <v>0.51866612311660154</v>
      </c>
      <c r="P131">
        <f>SUM(O127:O131)</f>
        <v>1</v>
      </c>
      <c r="Q131" s="5">
        <f t="shared" ref="Q131:Q156" si="18">O131*100</f>
        <v>51.866612311660155</v>
      </c>
      <c r="R131" s="6">
        <f>SUM(Q127:Q131)</f>
        <v>100</v>
      </c>
      <c r="S131" s="15">
        <f t="shared" si="17"/>
        <v>224889.6204895702</v>
      </c>
      <c r="T131" s="15">
        <f>SUM(G554+G585+G616+G647)</f>
        <v>95089077200</v>
      </c>
      <c r="U131" s="15">
        <f t="shared" ref="U131:U156" si="19">M131-T131</f>
        <v>620182480800</v>
      </c>
      <c r="V131" s="5">
        <f>U131/I27</f>
        <v>0.49939464725866911</v>
      </c>
      <c r="W131">
        <f>SUM(V127:V131)</f>
        <v>1</v>
      </c>
      <c r="X131" s="5">
        <f t="shared" ref="X131:X156" si="20">V131*100</f>
        <v>49.939464725866912</v>
      </c>
      <c r="Y131" s="6">
        <f>SUM(X127:X131)</f>
        <v>100</v>
      </c>
      <c r="Z131" s="15">
        <f t="shared" ref="Z131:Z156" si="21">U131/N131</f>
        <v>194992.51882932012</v>
      </c>
      <c r="AA131" s="15">
        <f t="shared" ref="AA131:AA156" si="22">T131/N131</f>
        <v>29897.101660250053</v>
      </c>
      <c r="AB131" s="5">
        <f>T131/G27</f>
        <v>0.69311342899898865</v>
      </c>
      <c r="AC131" s="6">
        <f>SUM(AB127:AB131)</f>
        <v>1</v>
      </c>
      <c r="AD131" s="5">
        <f t="shared" ref="AD131:AD156" si="23">AB131*100</f>
        <v>69.311342899898861</v>
      </c>
      <c r="AE131" s="6">
        <f>SUM(AD127:AD131)</f>
        <v>100</v>
      </c>
      <c r="AF131" s="5">
        <f t="shared" ref="AF131:AF154" si="24">AA131/S131</f>
        <v>0.13294122510041145</v>
      </c>
    </row>
    <row r="132" spans="5:32" x14ac:dyDescent="0.2">
      <c r="E132">
        <v>1998</v>
      </c>
      <c r="F132" s="1">
        <v>617235</v>
      </c>
      <c r="G132" s="1">
        <v>102329800</v>
      </c>
      <c r="H132" s="1">
        <v>8155313900</v>
      </c>
      <c r="K132" s="2">
        <v>2018</v>
      </c>
      <c r="L132" s="3" t="s">
        <v>83</v>
      </c>
      <c r="M132" s="13">
        <f>SUM(H59+H90+H121+H152)</f>
        <v>49709604000</v>
      </c>
      <c r="N132" s="1">
        <f>SUM(F59+F90+F121+F152)</f>
        <v>3244605</v>
      </c>
      <c r="O132" s="5">
        <f>M132/H28</f>
        <v>3.4454287012461941E-2</v>
      </c>
      <c r="Q132" s="5">
        <f t="shared" si="18"/>
        <v>3.4454287012461942</v>
      </c>
      <c r="S132" s="15">
        <f t="shared" si="17"/>
        <v>15320.695123135174</v>
      </c>
      <c r="T132" s="15">
        <f>SUM(G59+G90+G121+G152)</f>
        <v>254160700</v>
      </c>
      <c r="U132" s="15">
        <f t="shared" si="19"/>
        <v>49455443300</v>
      </c>
      <c r="V132" s="5">
        <f>U132/I28</f>
        <v>3.8122160105098689E-2</v>
      </c>
      <c r="X132" s="5">
        <f t="shared" si="20"/>
        <v>3.8122160105098688</v>
      </c>
      <c r="Z132" s="15">
        <f t="shared" si="21"/>
        <v>15242.361797506939</v>
      </c>
      <c r="AA132" s="15">
        <f t="shared" si="22"/>
        <v>78.333325628235173</v>
      </c>
      <c r="AB132" s="5">
        <f>T132/G28</f>
        <v>1.7470348113001147E-3</v>
      </c>
      <c r="AD132" s="5">
        <f t="shared" si="23"/>
        <v>0.17470348113001147</v>
      </c>
      <c r="AF132" s="5">
        <f t="shared" si="24"/>
        <v>5.1129093685799622E-3</v>
      </c>
    </row>
    <row r="133" spans="5:32" x14ac:dyDescent="0.2">
      <c r="E133">
        <v>1999</v>
      </c>
      <c r="F133" s="1">
        <v>627345</v>
      </c>
      <c r="G133" s="1">
        <v>105656100</v>
      </c>
      <c r="H133" s="1">
        <v>8551073300</v>
      </c>
      <c r="K133" s="2">
        <v>2018</v>
      </c>
      <c r="L133" s="3" t="s">
        <v>84</v>
      </c>
      <c r="M133" s="13">
        <f>SUM(H183+H214+H245+H276)</f>
        <v>118269297600</v>
      </c>
      <c r="N133" s="1">
        <f>SUM(F183+F214+F245+F276)</f>
        <v>3244755</v>
      </c>
      <c r="O133" s="5">
        <f>M133/H28</f>
        <v>8.1973783663065916E-2</v>
      </c>
      <c r="Q133" s="5">
        <f t="shared" si="18"/>
        <v>8.1973783663065909</v>
      </c>
      <c r="S133" s="15">
        <f t="shared" si="17"/>
        <v>36449.376794241784</v>
      </c>
      <c r="T133" s="15">
        <f>SUM(G183+G214+G245+G276)</f>
        <v>3821618300</v>
      </c>
      <c r="U133" s="15">
        <f t="shared" si="19"/>
        <v>114447679300</v>
      </c>
      <c r="V133" s="5">
        <f>U133/I28</f>
        <v>8.8220678307651304E-2</v>
      </c>
      <c r="X133" s="5">
        <f t="shared" si="20"/>
        <v>8.8220678307651301</v>
      </c>
      <c r="Z133" s="15">
        <f t="shared" si="21"/>
        <v>35271.593479322786</v>
      </c>
      <c r="AA133" s="15">
        <f t="shared" si="22"/>
        <v>1177.7833149190001</v>
      </c>
      <c r="AB133" s="5">
        <f>T133/G28</f>
        <v>2.6268814201414952E-2</v>
      </c>
      <c r="AD133" s="5">
        <f t="shared" si="23"/>
        <v>2.6268814201414954</v>
      </c>
      <c r="AF133" s="5">
        <f t="shared" si="24"/>
        <v>3.2312851919736103E-2</v>
      </c>
    </row>
    <row r="134" spans="5:32" x14ac:dyDescent="0.2">
      <c r="E134">
        <v>2000</v>
      </c>
      <c r="F134" s="1">
        <v>635660</v>
      </c>
      <c r="G134" s="1">
        <v>112657400</v>
      </c>
      <c r="H134" s="1">
        <v>8977254400</v>
      </c>
      <c r="K134" s="2">
        <v>2018</v>
      </c>
      <c r="L134" s="3" t="s">
        <v>85</v>
      </c>
      <c r="M134" s="13">
        <f>SUM(H307+H338+H369+H400)</f>
        <v>202343194800</v>
      </c>
      <c r="N134" s="1">
        <f>SUM(F307+F338+F369+F400)</f>
        <v>3244755</v>
      </c>
      <c r="O134" s="5">
        <f>M134/H28</f>
        <v>0.14024634975281028</v>
      </c>
      <c r="Q134" s="5">
        <f t="shared" si="18"/>
        <v>14.024634975281028</v>
      </c>
      <c r="S134" s="15">
        <f t="shared" ref="S134:S156" si="25">M134/N134</f>
        <v>62360.084135782206</v>
      </c>
      <c r="T134" s="15">
        <f>SUM(G307+G338+G369+G400)</f>
        <v>12478467900</v>
      </c>
      <c r="U134" s="15">
        <f t="shared" si="19"/>
        <v>189864726900</v>
      </c>
      <c r="V134" s="5">
        <f>U134/I28</f>
        <v>0.14635504272575467</v>
      </c>
      <c r="X134" s="5">
        <f t="shared" si="20"/>
        <v>14.635504272575467</v>
      </c>
      <c r="Z134" s="15">
        <f t="shared" si="21"/>
        <v>58514.349126513407</v>
      </c>
      <c r="AA134" s="15">
        <f t="shared" si="22"/>
        <v>3845.7350092688048</v>
      </c>
      <c r="AB134" s="5">
        <f>T134/G28</f>
        <v>8.5773755789117043E-2</v>
      </c>
      <c r="AD134" s="5">
        <f t="shared" si="23"/>
        <v>8.5773755789117043</v>
      </c>
      <c r="AF134" s="5">
        <f t="shared" si="24"/>
        <v>6.1669817521335296E-2</v>
      </c>
    </row>
    <row r="135" spans="5:32" x14ac:dyDescent="0.2">
      <c r="E135">
        <v>2001</v>
      </c>
      <c r="F135" s="1">
        <v>639605</v>
      </c>
      <c r="G135" s="1">
        <v>140128600</v>
      </c>
      <c r="H135" s="1">
        <v>9718766400</v>
      </c>
      <c r="K135" s="2">
        <v>2018</v>
      </c>
      <c r="L135" s="3" t="s">
        <v>86</v>
      </c>
      <c r="M135" s="13">
        <f>SUM(H431+H462+H493+H524)</f>
        <v>326555716500</v>
      </c>
      <c r="N135" s="1">
        <f>SUM(F431+F462+F493+F524)</f>
        <v>3244710</v>
      </c>
      <c r="O135" s="5">
        <f>M135/H28</f>
        <v>0.22633944904994927</v>
      </c>
      <c r="Q135" s="5">
        <f t="shared" si="18"/>
        <v>22.633944904994927</v>
      </c>
      <c r="S135" s="15">
        <f t="shared" si="25"/>
        <v>100642.49701822351</v>
      </c>
      <c r="T135" s="15">
        <f>SUM(G431+G462+G493+G524)</f>
        <v>28499938200</v>
      </c>
      <c r="U135" s="15">
        <f t="shared" si="19"/>
        <v>298055778300</v>
      </c>
      <c r="V135" s="5">
        <f>U135/I28</f>
        <v>0.22975287132048414</v>
      </c>
      <c r="X135" s="5">
        <f t="shared" si="20"/>
        <v>22.975287132048415</v>
      </c>
      <c r="Z135" s="15">
        <f t="shared" si="21"/>
        <v>91858.988414989319</v>
      </c>
      <c r="AA135" s="15">
        <f t="shared" si="22"/>
        <v>8783.5086032341878</v>
      </c>
      <c r="AB135" s="5">
        <f>T135/G28</f>
        <v>0.19590119225868488</v>
      </c>
      <c r="AD135" s="5">
        <f t="shared" si="23"/>
        <v>19.590119225868488</v>
      </c>
      <c r="AF135" s="5">
        <f t="shared" si="24"/>
        <v>8.7274350929943068E-2</v>
      </c>
    </row>
    <row r="136" spans="5:32" x14ac:dyDescent="0.2">
      <c r="E136">
        <v>2002</v>
      </c>
      <c r="F136" s="1">
        <v>638500</v>
      </c>
      <c r="G136" s="1">
        <v>131188400</v>
      </c>
      <c r="H136" s="1">
        <v>9870842000</v>
      </c>
      <c r="K136" s="2">
        <v>2018</v>
      </c>
      <c r="L136" s="3" t="s">
        <v>90</v>
      </c>
      <c r="M136" s="13">
        <f>SUM(H555+H586+H617+H648)</f>
        <v>745891964100</v>
      </c>
      <c r="N136" s="1">
        <f>SUM(F555+F586+F617+F648)</f>
        <v>3244750</v>
      </c>
      <c r="O136" s="5">
        <f>M136/H28</f>
        <v>0.51698613031377916</v>
      </c>
      <c r="P136">
        <f>SUM(O132:O136)</f>
        <v>0.99999999979206655</v>
      </c>
      <c r="Q136" s="5">
        <f t="shared" si="18"/>
        <v>51.698613031377917</v>
      </c>
      <c r="R136" s="6">
        <f>SUM(Q132:Q136)</f>
        <v>99.999999979206649</v>
      </c>
      <c r="S136" s="15">
        <f t="shared" si="25"/>
        <v>229876.55877956699</v>
      </c>
      <c r="T136" s="15">
        <f>SUM(G555+G586+G617+G648)</f>
        <v>100427002700</v>
      </c>
      <c r="U136" s="15">
        <f t="shared" si="19"/>
        <v>645464961400</v>
      </c>
      <c r="V136" s="5">
        <f>U136/I28</f>
        <v>0.49754924754101121</v>
      </c>
      <c r="W136">
        <f>SUM(V132:V136)</f>
        <v>1</v>
      </c>
      <c r="X136" s="5">
        <f t="shared" si="20"/>
        <v>49.754924754101118</v>
      </c>
      <c r="Y136" s="6">
        <f>SUM(X132:X136)</f>
        <v>100</v>
      </c>
      <c r="Z136" s="15">
        <f t="shared" si="21"/>
        <v>198925.94541952384</v>
      </c>
      <c r="AA136" s="15">
        <f t="shared" si="22"/>
        <v>30950.613360043146</v>
      </c>
      <c r="AB136" s="5">
        <f>T136/G28</f>
        <v>0.6903092008773607</v>
      </c>
      <c r="AC136" s="6">
        <f>SUM(AB132:AB136)</f>
        <v>0.99999999793787775</v>
      </c>
      <c r="AD136" s="5">
        <f t="shared" si="23"/>
        <v>69.030920087736064</v>
      </c>
      <c r="AE136" s="6">
        <f>SUM(AD132:AD136)</f>
        <v>99.999999793787765</v>
      </c>
      <c r="AF136" s="5">
        <f t="shared" si="24"/>
        <v>0.13464014566932106</v>
      </c>
    </row>
    <row r="137" spans="5:32" x14ac:dyDescent="0.2">
      <c r="E137">
        <v>2003</v>
      </c>
      <c r="F137" s="1">
        <v>653330</v>
      </c>
      <c r="G137" s="1">
        <v>129440000</v>
      </c>
      <c r="H137" s="1">
        <v>10214285200</v>
      </c>
      <c r="K137" s="2">
        <v>2019</v>
      </c>
      <c r="L137" s="3" t="s">
        <v>83</v>
      </c>
      <c r="M137" s="13">
        <f>SUM(H60+H91+H122+H153)</f>
        <v>51380088200</v>
      </c>
      <c r="N137" s="1">
        <f>SUM(F60+F91+F122+F153)</f>
        <v>3299630</v>
      </c>
      <c r="O137" s="5">
        <f>M137/H29</f>
        <v>3.4315761966383682E-2</v>
      </c>
      <c r="Q137" s="5">
        <f t="shared" si="18"/>
        <v>3.431576196638368</v>
      </c>
      <c r="S137" s="15">
        <f t="shared" si="25"/>
        <v>15571.469589014527</v>
      </c>
      <c r="T137" s="15">
        <f>SUM(G60+G91+G122+G153)</f>
        <v>252401500</v>
      </c>
      <c r="U137" s="15">
        <f t="shared" si="19"/>
        <v>51127686700</v>
      </c>
      <c r="V137" s="5">
        <f>U137/I29</f>
        <v>3.7963934176224401E-2</v>
      </c>
      <c r="X137" s="5">
        <f t="shared" si="20"/>
        <v>3.7963934176224399</v>
      </c>
      <c r="Z137" s="15">
        <f t="shared" si="21"/>
        <v>15494.97570939772</v>
      </c>
      <c r="AA137" s="15">
        <f t="shared" si="22"/>
        <v>76.493879616805515</v>
      </c>
      <c r="AB137" s="5">
        <f>T137/G29</f>
        <v>1.676751313689645E-3</v>
      </c>
      <c r="AD137" s="5">
        <f t="shared" si="23"/>
        <v>0.1676751313689645</v>
      </c>
      <c r="AF137" s="5">
        <f t="shared" si="24"/>
        <v>4.9124380444329398E-3</v>
      </c>
    </row>
    <row r="138" spans="5:32" x14ac:dyDescent="0.2">
      <c r="E138">
        <v>2004</v>
      </c>
      <c r="F138" s="1">
        <v>663150</v>
      </c>
      <c r="G138" s="1">
        <v>138479200</v>
      </c>
      <c r="H138" s="1">
        <v>10694735100</v>
      </c>
      <c r="K138" s="2">
        <v>2019</v>
      </c>
      <c r="L138" s="3" t="s">
        <v>84</v>
      </c>
      <c r="M138" s="13">
        <f>SUM(H184+H215+H246+H277)</f>
        <v>122363358000</v>
      </c>
      <c r="N138" s="1">
        <f>SUM(F184+F215+F246+F277)</f>
        <v>3299710</v>
      </c>
      <c r="O138" s="5">
        <f>M138/H29</f>
        <v>8.1724107794260079E-2</v>
      </c>
      <c r="Q138" s="5">
        <f t="shared" si="18"/>
        <v>8.1724107794260075</v>
      </c>
      <c r="S138" s="15">
        <f t="shared" si="25"/>
        <v>37083.064269284274</v>
      </c>
      <c r="T138" s="15">
        <f>SUM(G184+G215+G246+G277)</f>
        <v>3918096500</v>
      </c>
      <c r="U138" s="15">
        <f t="shared" si="19"/>
        <v>118445261500</v>
      </c>
      <c r="V138" s="5">
        <f>U138/I29</f>
        <v>8.7949375403125488E-2</v>
      </c>
      <c r="X138" s="5">
        <f t="shared" si="20"/>
        <v>8.7949375403125494</v>
      </c>
      <c r="Z138" s="15">
        <f t="shared" si="21"/>
        <v>35895.6579517594</v>
      </c>
      <c r="AA138" s="15">
        <f t="shared" si="22"/>
        <v>1187.4063175248734</v>
      </c>
      <c r="AB138" s="5">
        <f>T138/G29</f>
        <v>2.6028662482345786E-2</v>
      </c>
      <c r="AD138" s="5">
        <f t="shared" si="23"/>
        <v>2.6028662482345788</v>
      </c>
      <c r="AF138" s="5">
        <f t="shared" si="24"/>
        <v>3.2020177968636654E-2</v>
      </c>
    </row>
    <row r="139" spans="5:32" x14ac:dyDescent="0.2">
      <c r="E139">
        <v>2005</v>
      </c>
      <c r="F139" s="1">
        <v>675775</v>
      </c>
      <c r="G139" s="1">
        <v>127914800</v>
      </c>
      <c r="H139" s="1">
        <v>11168902000</v>
      </c>
      <c r="K139" s="2">
        <v>2019</v>
      </c>
      <c r="L139" s="3" t="s">
        <v>85</v>
      </c>
      <c r="M139" s="13">
        <f>SUM(H308+H339+H370+H401)</f>
        <v>209289643200</v>
      </c>
      <c r="N139" s="1">
        <f>SUM(F308+F339+F370+F401)</f>
        <v>3299795</v>
      </c>
      <c r="O139" s="5">
        <f>M139/H29</f>
        <v>0.13978048364036422</v>
      </c>
      <c r="Q139" s="5">
        <f t="shared" si="18"/>
        <v>13.978048364036422</v>
      </c>
      <c r="S139" s="15">
        <f t="shared" si="25"/>
        <v>63425.044040614644</v>
      </c>
      <c r="T139" s="15">
        <f>SUM(G308+G339+G370+G401)</f>
        <v>12803766500</v>
      </c>
      <c r="U139" s="15">
        <f t="shared" si="19"/>
        <v>196485876700</v>
      </c>
      <c r="V139" s="5">
        <f>U139/I29</f>
        <v>0.14589701531707563</v>
      </c>
      <c r="X139" s="5">
        <f t="shared" si="20"/>
        <v>14.589701531707563</v>
      </c>
      <c r="Z139" s="15">
        <f t="shared" si="21"/>
        <v>59544.873757309164</v>
      </c>
      <c r="AA139" s="15">
        <f t="shared" si="22"/>
        <v>3880.1702833054783</v>
      </c>
      <c r="AB139" s="5">
        <f>T139/G29</f>
        <v>8.5057863360758421E-2</v>
      </c>
      <c r="AD139" s="5">
        <f t="shared" si="23"/>
        <v>8.5057863360758414</v>
      </c>
      <c r="AF139" s="5">
        <f t="shared" si="24"/>
        <v>6.1177258005856265E-2</v>
      </c>
    </row>
    <row r="140" spans="5:32" x14ac:dyDescent="0.2">
      <c r="E140">
        <v>2006</v>
      </c>
      <c r="F140" s="1">
        <v>683220</v>
      </c>
      <c r="G140" s="1">
        <v>133506000</v>
      </c>
      <c r="H140" s="1">
        <v>11922253200</v>
      </c>
      <c r="K140" s="2">
        <v>2019</v>
      </c>
      <c r="L140" s="3" t="s">
        <v>86</v>
      </c>
      <c r="M140" s="13">
        <f>SUM(H432+H463+H494+H525)</f>
        <v>338615665100</v>
      </c>
      <c r="N140" s="1">
        <f>SUM(F432+F463+F494+F525)</f>
        <v>3299740</v>
      </c>
      <c r="O140" s="5">
        <f>M140/H29</f>
        <v>0.22615481928386985</v>
      </c>
      <c r="Q140" s="5">
        <f t="shared" si="18"/>
        <v>22.615481928386984</v>
      </c>
      <c r="S140" s="15">
        <f t="shared" si="25"/>
        <v>102618.89273094243</v>
      </c>
      <c r="T140" s="15">
        <f>SUM(G432+G463+G494+G525)</f>
        <v>29401147000</v>
      </c>
      <c r="U140" s="15">
        <f t="shared" si="19"/>
        <v>309214518100</v>
      </c>
      <c r="V140" s="5">
        <f>U140/I29</f>
        <v>0.22960161840221394</v>
      </c>
      <c r="X140" s="5">
        <f t="shared" si="20"/>
        <v>22.960161840221392</v>
      </c>
      <c r="Z140" s="15">
        <f t="shared" si="21"/>
        <v>93708.752235024571</v>
      </c>
      <c r="AA140" s="15">
        <f t="shared" si="22"/>
        <v>8910.1404959178599</v>
      </c>
      <c r="AB140" s="5">
        <f>T140/G29</f>
        <v>0.19531742820954853</v>
      </c>
      <c r="AD140" s="5">
        <f t="shared" si="23"/>
        <v>19.531742820954854</v>
      </c>
      <c r="AF140" s="5">
        <f t="shared" si="24"/>
        <v>8.6827486233743062E-2</v>
      </c>
    </row>
    <row r="141" spans="5:32" x14ac:dyDescent="0.2">
      <c r="E141">
        <v>2007</v>
      </c>
      <c r="F141" s="1">
        <v>692895</v>
      </c>
      <c r="G141" s="1">
        <v>122707100</v>
      </c>
      <c r="H141" s="1">
        <v>12707517200</v>
      </c>
      <c r="K141" s="2">
        <v>2019</v>
      </c>
      <c r="L141" s="3" t="s">
        <v>90</v>
      </c>
      <c r="M141" s="13">
        <f>SUM(H556+H587+H618+H649)</f>
        <v>775624954600</v>
      </c>
      <c r="N141" s="1">
        <f>SUM(F556+F587+F618+F649)</f>
        <v>3299730</v>
      </c>
      <c r="O141" s="5">
        <f>M141/H29</f>
        <v>0.51802482731512223</v>
      </c>
      <c r="P141">
        <f>SUM(O137:O141)</f>
        <v>1</v>
      </c>
      <c r="Q141" s="5">
        <f t="shared" si="18"/>
        <v>51.802482731512221</v>
      </c>
      <c r="R141" s="6">
        <f>SUM(Q137:Q141)</f>
        <v>100</v>
      </c>
      <c r="S141" s="15">
        <f t="shared" si="25"/>
        <v>235057.09697460095</v>
      </c>
      <c r="T141" s="15">
        <f>SUM(G556+G587+G618+G649)</f>
        <v>104154662900</v>
      </c>
      <c r="U141" s="15">
        <f t="shared" si="19"/>
        <v>671470291700</v>
      </c>
      <c r="V141" s="5">
        <f>U141/I29</f>
        <v>0.49858805670136053</v>
      </c>
      <c r="W141">
        <f>SUM(V137:V141)</f>
        <v>1</v>
      </c>
      <c r="X141" s="5">
        <f t="shared" si="20"/>
        <v>49.85880567013605</v>
      </c>
      <c r="Y141" s="6">
        <f>SUM(X137:X141)</f>
        <v>100</v>
      </c>
      <c r="Z141" s="15">
        <f t="shared" si="21"/>
        <v>203492.49535568061</v>
      </c>
      <c r="AA141" s="15">
        <f t="shared" si="22"/>
        <v>31564.601618920336</v>
      </c>
      <c r="AB141" s="5">
        <f>T141/G29</f>
        <v>0.69191929463365764</v>
      </c>
      <c r="AC141" s="6">
        <f>SUM(AB137:AB141)</f>
        <v>1</v>
      </c>
      <c r="AD141" s="5">
        <f t="shared" si="23"/>
        <v>69.191929463365767</v>
      </c>
      <c r="AE141" s="6">
        <f>SUM(AD137:AD141)</f>
        <v>100</v>
      </c>
      <c r="AF141" s="5">
        <f t="shared" si="24"/>
        <v>0.13428482707046724</v>
      </c>
    </row>
    <row r="142" spans="5:32" x14ac:dyDescent="0.2">
      <c r="E142">
        <v>2008</v>
      </c>
      <c r="F142" s="1">
        <v>702960</v>
      </c>
      <c r="G142" s="1">
        <v>129762400</v>
      </c>
      <c r="H142" s="1">
        <v>13186295700</v>
      </c>
      <c r="K142" s="2">
        <v>2020</v>
      </c>
      <c r="L142" s="3" t="s">
        <v>83</v>
      </c>
      <c r="M142" s="13">
        <f>SUM(H61+H92+H123+H154)</f>
        <v>64746416200</v>
      </c>
      <c r="N142" s="1">
        <f>SUM(F61+F92+F123+F154)</f>
        <v>3320400</v>
      </c>
      <c r="O142" s="5">
        <f>M142/H30</f>
        <v>4.0392891807580523E-2</v>
      </c>
      <c r="Q142" s="5">
        <f t="shared" si="18"/>
        <v>4.0392891807580522</v>
      </c>
      <c r="S142" s="15">
        <f t="shared" si="25"/>
        <v>19499.583242982771</v>
      </c>
      <c r="T142" s="15">
        <f>SUM(G61+G92+G123+G154)</f>
        <v>578190600</v>
      </c>
      <c r="U142" s="15">
        <f t="shared" si="19"/>
        <v>64168225600</v>
      </c>
      <c r="V142" s="5">
        <f>U142/I30</f>
        <v>4.4373497247360512E-2</v>
      </c>
      <c r="X142" s="5">
        <f t="shared" si="20"/>
        <v>4.4373497247360509</v>
      </c>
      <c r="Z142" s="15">
        <f t="shared" si="21"/>
        <v>19325.450427659318</v>
      </c>
      <c r="AA142" s="15">
        <f t="shared" si="22"/>
        <v>174.13281532345499</v>
      </c>
      <c r="AB142" s="5">
        <f>T142/G30</f>
        <v>3.6869087011686453E-3</v>
      </c>
      <c r="AD142" s="5">
        <f t="shared" si="23"/>
        <v>0.36869087011686452</v>
      </c>
      <c r="AF142" s="5">
        <f t="shared" si="24"/>
        <v>8.9300788203316803E-3</v>
      </c>
    </row>
    <row r="143" spans="5:32" x14ac:dyDescent="0.2">
      <c r="E143">
        <v>2009</v>
      </c>
      <c r="F143" s="1">
        <v>711750</v>
      </c>
      <c r="G143" s="1">
        <v>110208300</v>
      </c>
      <c r="H143" s="1">
        <v>13392362000</v>
      </c>
      <c r="K143" s="2">
        <v>2020</v>
      </c>
      <c r="L143" s="3" t="s">
        <v>84</v>
      </c>
      <c r="M143" s="13">
        <f>SUM(H185+H216+H247+H278)</f>
        <v>138632287000</v>
      </c>
      <c r="N143" s="1">
        <f>SUM(F185+F216+F247+F278)</f>
        <v>3320405</v>
      </c>
      <c r="O143" s="5">
        <f>M143/H30</f>
        <v>8.6487550948471673E-2</v>
      </c>
      <c r="Q143" s="5">
        <f t="shared" si="18"/>
        <v>8.6487550948471679</v>
      </c>
      <c r="S143" s="15">
        <f t="shared" si="25"/>
        <v>41751.619757228407</v>
      </c>
      <c r="T143" s="15">
        <f>SUM(G185+G216+G247+G278)</f>
        <v>4897802000</v>
      </c>
      <c r="U143" s="15">
        <f t="shared" si="19"/>
        <v>133734485000</v>
      </c>
      <c r="V143" s="5">
        <f>U143/I30</f>
        <v>9.2479833227999936E-2</v>
      </c>
      <c r="X143" s="5">
        <f t="shared" si="20"/>
        <v>9.2479833227999944</v>
      </c>
      <c r="Z143" s="15">
        <f t="shared" si="21"/>
        <v>40276.558130709956</v>
      </c>
      <c r="AA143" s="15">
        <f t="shared" si="22"/>
        <v>1475.0616265184517</v>
      </c>
      <c r="AB143" s="5">
        <f>T143/G30</f>
        <v>3.123148112473844E-2</v>
      </c>
      <c r="AD143" s="5">
        <f t="shared" si="23"/>
        <v>3.1231481124738441</v>
      </c>
      <c r="AF143" s="5">
        <f t="shared" si="24"/>
        <v>3.5329446739921416E-2</v>
      </c>
    </row>
    <row r="144" spans="5:32" x14ac:dyDescent="0.2">
      <c r="E144">
        <v>2010</v>
      </c>
      <c r="F144" s="1">
        <v>719375</v>
      </c>
      <c r="G144" s="1">
        <v>105425300</v>
      </c>
      <c r="H144" s="1">
        <v>13613201400</v>
      </c>
      <c r="K144" s="2">
        <v>2020</v>
      </c>
      <c r="L144" s="3" t="s">
        <v>85</v>
      </c>
      <c r="M144" s="13">
        <f>SUM(H309+H340+H371+H402)</f>
        <v>227864541900</v>
      </c>
      <c r="N144" s="1">
        <f>SUM(F309+F340+F371+F402)</f>
        <v>3320565</v>
      </c>
      <c r="O144" s="5">
        <f>M144/H30</f>
        <v>0.14215625092390208</v>
      </c>
      <c r="Q144" s="5">
        <f t="shared" si="18"/>
        <v>14.215625092390209</v>
      </c>
      <c r="S144" s="15">
        <f t="shared" si="25"/>
        <v>68622.219983647359</v>
      </c>
      <c r="T144" s="15">
        <f>SUM(G309+G340+G371+G402)</f>
        <v>13774754500</v>
      </c>
      <c r="U144" s="15">
        <f t="shared" si="19"/>
        <v>214089787400</v>
      </c>
      <c r="V144" s="5">
        <f>U144/I30</f>
        <v>0.14804698903629801</v>
      </c>
      <c r="X144" s="5">
        <f t="shared" si="20"/>
        <v>14.8046989036298</v>
      </c>
      <c r="Z144" s="15">
        <f t="shared" si="21"/>
        <v>64473.903507385039</v>
      </c>
      <c r="AA144" s="15">
        <f t="shared" si="22"/>
        <v>4148.3164762623228</v>
      </c>
      <c r="AB144" s="5">
        <f>T144/G30</f>
        <v>8.7836540792105497E-2</v>
      </c>
      <c r="AD144" s="5">
        <f t="shared" si="23"/>
        <v>8.7836540792105495</v>
      </c>
      <c r="AF144" s="5">
        <f t="shared" si="24"/>
        <v>6.0451505026372865E-2</v>
      </c>
    </row>
    <row r="145" spans="2:32" x14ac:dyDescent="0.2">
      <c r="E145">
        <v>2011</v>
      </c>
      <c r="F145" s="1">
        <v>729985</v>
      </c>
      <c r="G145" s="1">
        <v>110930000</v>
      </c>
      <c r="H145" s="1">
        <v>14280901300</v>
      </c>
      <c r="K145" s="2">
        <v>2020</v>
      </c>
      <c r="L145" s="3" t="s">
        <v>86</v>
      </c>
      <c r="M145" s="13">
        <f>SUM(H433+H464+H495+H526)</f>
        <v>358578879100</v>
      </c>
      <c r="N145" s="1">
        <f>SUM(F433+F464+F495+F526)</f>
        <v>3320425</v>
      </c>
      <c r="O145" s="5">
        <f>M145/H30</f>
        <v>0.22370408615712378</v>
      </c>
      <c r="Q145" s="5">
        <f t="shared" si="18"/>
        <v>22.370408615712378</v>
      </c>
      <c r="S145" s="15">
        <f t="shared" si="25"/>
        <v>107991.86221643313</v>
      </c>
      <c r="T145" s="15">
        <f>SUM(G433+G464+G495+G526)</f>
        <v>30187576500</v>
      </c>
      <c r="U145" s="15">
        <f t="shared" si="19"/>
        <v>328391302600</v>
      </c>
      <c r="V145" s="5">
        <f>U145/I30</f>
        <v>0.22708856954863707</v>
      </c>
      <c r="X145" s="5">
        <f t="shared" si="20"/>
        <v>22.708856954863705</v>
      </c>
      <c r="Z145" s="15">
        <f t="shared" si="21"/>
        <v>98900.382511274918</v>
      </c>
      <c r="AA145" s="15">
        <f t="shared" si="22"/>
        <v>9091.4797051582245</v>
      </c>
      <c r="AB145" s="5">
        <f>T145/G30</f>
        <v>0.19249506731006025</v>
      </c>
      <c r="AD145" s="5">
        <f t="shared" si="23"/>
        <v>19.249506731006026</v>
      </c>
      <c r="AF145" s="5">
        <f t="shared" si="24"/>
        <v>8.4186711096225303E-2</v>
      </c>
    </row>
    <row r="146" spans="2:32" x14ac:dyDescent="0.2">
      <c r="E146">
        <v>2012</v>
      </c>
      <c r="F146" s="1">
        <v>741495</v>
      </c>
      <c r="G146" s="1">
        <v>113438000</v>
      </c>
      <c r="H146" s="1">
        <v>14988138300</v>
      </c>
      <c r="K146" s="2">
        <v>2020</v>
      </c>
      <c r="L146" s="3" t="s">
        <v>90</v>
      </c>
      <c r="M146" s="13">
        <f>SUM(H557+H588+H619+H650)</f>
        <v>813093966100</v>
      </c>
      <c r="N146" s="1">
        <f>SUM(F557+F588+F619+F650)</f>
        <v>3320490</v>
      </c>
      <c r="O146" s="5">
        <f>M146/H30</f>
        <v>0.50725922035008086</v>
      </c>
      <c r="P146">
        <f>SUM(O142:O146)</f>
        <v>1.000000000187159</v>
      </c>
      <c r="Q146" s="5">
        <f>O146*100</f>
        <v>50.725922035008089</v>
      </c>
      <c r="R146" s="6">
        <f>SUM(Q142:Q146)</f>
        <v>100.00000001871589</v>
      </c>
      <c r="S146" s="15">
        <f t="shared" si="25"/>
        <v>244871.68041463761</v>
      </c>
      <c r="T146" s="15">
        <f>SUM(G557+G588+G619+G650)</f>
        <v>107384274200</v>
      </c>
      <c r="U146" s="15">
        <f t="shared" si="19"/>
        <v>705709691900</v>
      </c>
      <c r="V146" s="5">
        <f>U146/I30</f>
        <v>0.48801111107800815</v>
      </c>
      <c r="W146">
        <f>SUM(V142:V146)</f>
        <v>1.0000000001383036</v>
      </c>
      <c r="X146" s="5">
        <f t="shared" si="20"/>
        <v>48.801111107800814</v>
      </c>
      <c r="Y146" s="6">
        <f>SUM(X142:X146)</f>
        <v>100.00000001383037</v>
      </c>
      <c r="Z146" s="15">
        <f t="shared" si="21"/>
        <v>212531.79256675972</v>
      </c>
      <c r="AA146" s="15">
        <f t="shared" si="22"/>
        <v>32339.887847877875</v>
      </c>
      <c r="AB146" s="5">
        <f>T146/G30</f>
        <v>0.68475000270959041</v>
      </c>
      <c r="AC146" s="6">
        <f>+SUM(AB142:AB146)</f>
        <v>1.0000000006376633</v>
      </c>
      <c r="AD146" s="5">
        <f t="shared" si="23"/>
        <v>68.475000270959043</v>
      </c>
      <c r="AE146" s="6">
        <f>SUM(AD142:AD146)</f>
        <v>100.00000006376632</v>
      </c>
      <c r="AF146" s="5">
        <f t="shared" si="24"/>
        <v>0.13206871367533077</v>
      </c>
    </row>
    <row r="147" spans="2:32" x14ac:dyDescent="0.2">
      <c r="E147">
        <v>2013</v>
      </c>
      <c r="F147" s="1">
        <v>752505</v>
      </c>
      <c r="G147" s="1">
        <v>115095900</v>
      </c>
      <c r="H147" s="1">
        <v>15446791100</v>
      </c>
      <c r="K147" s="2">
        <v>2021</v>
      </c>
      <c r="L147" s="3" t="s">
        <v>83</v>
      </c>
      <c r="M147" s="13">
        <f>SUM(H62+H93+H124+H155)</f>
        <v>61053889900</v>
      </c>
      <c r="N147" s="1">
        <f>SUM(F62+F93+F124+F155)</f>
        <v>3374925</v>
      </c>
      <c r="O147" s="5">
        <f>M147/H31</f>
        <v>3.5281537121519435E-2</v>
      </c>
      <c r="Q147" s="5">
        <f t="shared" si="18"/>
        <v>3.5281537121519433</v>
      </c>
      <c r="S147" s="15">
        <f t="shared" si="25"/>
        <v>18090.443461706556</v>
      </c>
      <c r="T147" s="15">
        <f>SUM(G62+G93+G124+G155)</f>
        <v>452398600</v>
      </c>
      <c r="U147" s="15">
        <f t="shared" si="19"/>
        <v>60601491300</v>
      </c>
      <c r="V147" s="5">
        <f>U147/I31</f>
        <v>3.8958921189767952E-2</v>
      </c>
      <c r="X147" s="5">
        <f t="shared" si="20"/>
        <v>3.895892118976795</v>
      </c>
      <c r="Z147" s="15">
        <f t="shared" si="21"/>
        <v>17956.396453254518</v>
      </c>
      <c r="AA147" s="15">
        <f t="shared" si="22"/>
        <v>134.04700845203968</v>
      </c>
      <c r="AB147" s="5">
        <f>T147/G31</f>
        <v>2.5858114472676903E-3</v>
      </c>
      <c r="AD147" s="5">
        <f t="shared" si="23"/>
        <v>0.25858114472676902</v>
      </c>
      <c r="AF147" s="5">
        <f t="shared" si="24"/>
        <v>7.4098243492917888E-3</v>
      </c>
    </row>
    <row r="148" spans="2:32" x14ac:dyDescent="0.2">
      <c r="E148">
        <v>2014</v>
      </c>
      <c r="F148" s="1">
        <v>762830</v>
      </c>
      <c r="G148" s="1">
        <v>123607500</v>
      </c>
      <c r="H148" s="1">
        <v>16006555100</v>
      </c>
      <c r="K148" s="2">
        <v>2021</v>
      </c>
      <c r="L148" s="3" t="s">
        <v>84</v>
      </c>
      <c r="M148" s="13">
        <f>SUM(H186+H217+H248+H279)</f>
        <v>140271208700</v>
      </c>
      <c r="N148" s="1">
        <f>SUM(F186+F217+F248+F279)</f>
        <v>3375140</v>
      </c>
      <c r="O148" s="5">
        <f>M148/H31</f>
        <v>8.1059271816019865E-2</v>
      </c>
      <c r="Q148" s="5">
        <f t="shared" si="18"/>
        <v>8.1059271816019862</v>
      </c>
      <c r="S148" s="15">
        <f t="shared" si="25"/>
        <v>41560.115639647542</v>
      </c>
      <c r="T148" s="15">
        <f>SUM(G186+G217+G248+G279)</f>
        <v>4881895300</v>
      </c>
      <c r="U148" s="15">
        <f t="shared" si="19"/>
        <v>135389313400</v>
      </c>
      <c r="V148" s="5">
        <f>U148/I31</f>
        <v>8.7037818336450648E-2</v>
      </c>
      <c r="X148" s="5">
        <f t="shared" si="20"/>
        <v>8.7037818336450652</v>
      </c>
      <c r="Z148" s="15">
        <f t="shared" si="21"/>
        <v>40113.688143306645</v>
      </c>
      <c r="AA148" s="15">
        <f t="shared" si="22"/>
        <v>1446.4274963408925</v>
      </c>
      <c r="AB148" s="5">
        <f>T148/G31</f>
        <v>2.7903845748201553E-2</v>
      </c>
      <c r="AD148" s="5">
        <f t="shared" si="23"/>
        <v>2.7903845748201554</v>
      </c>
      <c r="AF148" s="5">
        <f t="shared" si="24"/>
        <v>3.4803259665645125E-2</v>
      </c>
    </row>
    <row r="149" spans="2:32" x14ac:dyDescent="0.2">
      <c r="E149">
        <v>2015</v>
      </c>
      <c r="F149" s="1">
        <v>771370</v>
      </c>
      <c r="G149" s="1">
        <v>138056300</v>
      </c>
      <c r="H149" s="1">
        <v>16682181700</v>
      </c>
      <c r="K149" s="2">
        <v>2021</v>
      </c>
      <c r="L149" s="3" t="s">
        <v>85</v>
      </c>
      <c r="M149" s="13">
        <f>SUM(H310+H341+H372+H403)</f>
        <v>236311365500</v>
      </c>
      <c r="N149" s="1">
        <f>SUM(F310+F341+F372+F403)</f>
        <v>3375040</v>
      </c>
      <c r="O149" s="5">
        <f>M149/H31</f>
        <v>0.13655850966713257</v>
      </c>
      <c r="Q149" s="5">
        <f t="shared" si="18"/>
        <v>13.655850966713256</v>
      </c>
      <c r="S149" s="15">
        <f t="shared" si="25"/>
        <v>70017.352535081067</v>
      </c>
      <c r="T149" s="15">
        <f>SUM(G310+G341+G372+G403)</f>
        <v>14570828800</v>
      </c>
      <c r="U149" s="15">
        <f t="shared" si="19"/>
        <v>221740536700</v>
      </c>
      <c r="V149" s="5">
        <f>U149/I31</f>
        <v>0.1425504869361548</v>
      </c>
      <c r="X149" s="5">
        <f t="shared" si="20"/>
        <v>14.25504869361548</v>
      </c>
      <c r="Z149" s="15">
        <f t="shared" si="21"/>
        <v>65700.121094861097</v>
      </c>
      <c r="AA149" s="15">
        <f t="shared" si="22"/>
        <v>4317.2314402199681</v>
      </c>
      <c r="AB149" s="5">
        <f>T149/G31</f>
        <v>8.3283670434032606E-2</v>
      </c>
      <c r="AD149" s="5">
        <f t="shared" si="23"/>
        <v>8.3283670434032597</v>
      </c>
      <c r="AF149" s="5">
        <f t="shared" si="24"/>
        <v>6.1659449892180494E-2</v>
      </c>
    </row>
    <row r="150" spans="2:32" x14ac:dyDescent="0.2">
      <c r="E150">
        <v>2016</v>
      </c>
      <c r="F150" s="1">
        <v>780170</v>
      </c>
      <c r="G150" s="1">
        <v>135468700</v>
      </c>
      <c r="H150" s="1">
        <v>17133947700</v>
      </c>
      <c r="K150" s="2">
        <v>2021</v>
      </c>
      <c r="L150" s="3" t="s">
        <v>86</v>
      </c>
      <c r="M150" s="13">
        <f>SUM(H434+H465+H496+H527)</f>
        <v>378783510100</v>
      </c>
      <c r="N150" s="1">
        <f>SUM(F434+F465+F496+F527)</f>
        <v>3375095</v>
      </c>
      <c r="O150" s="5">
        <f>M150/H31</f>
        <v>0.21888964805521069</v>
      </c>
      <c r="Q150" s="5">
        <f t="shared" si="18"/>
        <v>21.88896480552107</v>
      </c>
      <c r="S150" s="15">
        <f t="shared" si="25"/>
        <v>112228.99210244452</v>
      </c>
      <c r="T150" s="15">
        <f>SUM(G434+G465+G496+G527)</f>
        <v>32533243200</v>
      </c>
      <c r="U150" s="15">
        <f t="shared" si="19"/>
        <v>346250266900</v>
      </c>
      <c r="V150" s="5">
        <f>U150/I31</f>
        <v>0.22259414035398861</v>
      </c>
      <c r="X150" s="5">
        <f t="shared" si="20"/>
        <v>22.259414035398862</v>
      </c>
      <c r="Z150" s="15">
        <f t="shared" si="21"/>
        <v>102589.78396163664</v>
      </c>
      <c r="AA150" s="15">
        <f t="shared" si="22"/>
        <v>9639.2081408078884</v>
      </c>
      <c r="AB150" s="5">
        <f>T150/G31</f>
        <v>0.18595290233723921</v>
      </c>
      <c r="AD150" s="5">
        <f t="shared" si="23"/>
        <v>18.595290233723922</v>
      </c>
      <c r="AF150" s="5">
        <f t="shared" si="24"/>
        <v>8.588875263184273E-2</v>
      </c>
    </row>
    <row r="151" spans="2:32" x14ac:dyDescent="0.2">
      <c r="E151">
        <v>2017</v>
      </c>
      <c r="F151" s="1">
        <v>795220</v>
      </c>
      <c r="G151" s="1">
        <v>147111200</v>
      </c>
      <c r="H151" s="1">
        <v>17865456000</v>
      </c>
      <c r="K151" s="2">
        <v>2021</v>
      </c>
      <c r="L151" s="3" t="s">
        <v>90</v>
      </c>
      <c r="M151" s="13">
        <f>SUM(H558+H589+H620+H651)</f>
        <v>914057065000</v>
      </c>
      <c r="N151" s="1">
        <f>SUM(F558+F589+F620+F651)</f>
        <v>3375075</v>
      </c>
      <c r="O151" s="5">
        <f>M151/H31</f>
        <v>0.52821103328232988</v>
      </c>
      <c r="P151">
        <f>SUM(O147:O151)</f>
        <v>0.99999999994221245</v>
      </c>
      <c r="Q151" s="5">
        <f t="shared" si="18"/>
        <v>52.821103328232986</v>
      </c>
      <c r="R151" s="6">
        <f>SUM(Q147:Q151)</f>
        <v>99.999999994221241</v>
      </c>
      <c r="S151" s="15">
        <f t="shared" si="25"/>
        <v>270825.70461397152</v>
      </c>
      <c r="T151" s="15">
        <f>SUM(G558+G589+G620+G651)</f>
        <v>122515844400</v>
      </c>
      <c r="U151" s="15">
        <f t="shared" si="19"/>
        <v>791541220600</v>
      </c>
      <c r="V151" s="5">
        <f>U151/I31</f>
        <v>0.508858633183638</v>
      </c>
      <c r="W151">
        <f>SUM(V147:V151)</f>
        <v>1</v>
      </c>
      <c r="X151" s="5">
        <f t="shared" si="20"/>
        <v>50.885863318363803</v>
      </c>
      <c r="Y151" s="6">
        <f>SUM(X147:X151)</f>
        <v>100</v>
      </c>
      <c r="Z151" s="15">
        <f t="shared" si="21"/>
        <v>234525.52035139961</v>
      </c>
      <c r="AA151" s="15">
        <f t="shared" si="22"/>
        <v>36300.184262571944</v>
      </c>
      <c r="AB151" s="5">
        <f>T151/G31</f>
        <v>0.70027376946168085</v>
      </c>
      <c r="AC151" s="6">
        <f>SUM(AB147:AB151)</f>
        <v>0.99999999942842188</v>
      </c>
      <c r="AD151" s="5">
        <f t="shared" si="23"/>
        <v>70.02737694616809</v>
      </c>
      <c r="AE151" s="6">
        <f>SUM(AD147:AD151)</f>
        <v>99.999999942842194</v>
      </c>
      <c r="AF151" s="5">
        <f t="shared" si="24"/>
        <v>0.13403522503269533</v>
      </c>
    </row>
    <row r="152" spans="2:32" x14ac:dyDescent="0.2">
      <c r="E152">
        <v>2018</v>
      </c>
      <c r="F152" s="1">
        <v>811070</v>
      </c>
      <c r="G152" s="1">
        <v>157767600</v>
      </c>
      <c r="H152" s="1">
        <v>18753680300</v>
      </c>
      <c r="K152" s="2">
        <v>2022</v>
      </c>
      <c r="L152" s="3" t="s">
        <v>83</v>
      </c>
      <c r="M152" s="13">
        <f>SUM(H63+H94+H125+H156)</f>
        <v>59343446100</v>
      </c>
      <c r="N152" s="1">
        <f>SUM(F63+F94+F125+F156)</f>
        <v>3476610</v>
      </c>
      <c r="O152" s="5">
        <f>M152/H32</f>
        <v>3.3013538827770118E-2</v>
      </c>
      <c r="Q152" s="5">
        <f t="shared" si="18"/>
        <v>3.3013538827770117</v>
      </c>
      <c r="S152" s="15">
        <f t="shared" si="25"/>
        <v>17069.342290334549</v>
      </c>
      <c r="T152" s="15">
        <f>SUM(G63+G94+G125+G156)</f>
        <v>216010500</v>
      </c>
      <c r="U152" s="15">
        <f t="shared" si="19"/>
        <v>59127435600</v>
      </c>
      <c r="V152" s="5">
        <f>U152/I32</f>
        <v>3.6623179738177684E-2</v>
      </c>
      <c r="X152" s="5">
        <f t="shared" si="20"/>
        <v>3.6623179738177685</v>
      </c>
      <c r="Z152" s="15">
        <f t="shared" si="21"/>
        <v>17007.209781942754</v>
      </c>
      <c r="AA152" s="15">
        <f t="shared" si="22"/>
        <v>62.132508391795454</v>
      </c>
      <c r="AB152" s="5">
        <f>T152/G32</f>
        <v>1.1799496452451449E-3</v>
      </c>
      <c r="AD152" s="5">
        <f t="shared" si="23"/>
        <v>0.11799496452451448</v>
      </c>
      <c r="AF152" s="5">
        <f t="shared" si="24"/>
        <v>3.6400060022803429E-3</v>
      </c>
    </row>
    <row r="153" spans="2:32" x14ac:dyDescent="0.2">
      <c r="E153">
        <v>2019</v>
      </c>
      <c r="F153" s="1">
        <v>824990</v>
      </c>
      <c r="G153" s="1">
        <v>161302600</v>
      </c>
      <c r="H153" s="1">
        <v>19440562300</v>
      </c>
      <c r="K153" s="2">
        <v>2022</v>
      </c>
      <c r="L153" s="3" t="s">
        <v>84</v>
      </c>
      <c r="M153" s="13">
        <f>SUM(H187+H218+H249+H280)</f>
        <v>143947604400</v>
      </c>
      <c r="N153" s="1">
        <f>SUM(F187+F218+F249+F280)</f>
        <v>3476645</v>
      </c>
      <c r="O153" s="5">
        <f>M153/H32</f>
        <v>8.007994377367128E-2</v>
      </c>
      <c r="Q153" s="5">
        <f t="shared" si="18"/>
        <v>8.0079943773671278</v>
      </c>
      <c r="S153" s="15">
        <f t="shared" si="25"/>
        <v>41404.171090232107</v>
      </c>
      <c r="T153" s="15">
        <f>SUM(G187+G218+G249+G280)</f>
        <v>4395952800</v>
      </c>
      <c r="U153" s="15">
        <f t="shared" si="19"/>
        <v>139551651600</v>
      </c>
      <c r="V153" s="5">
        <f>U153/I32</f>
        <v>8.6437457796771949E-2</v>
      </c>
      <c r="X153" s="5">
        <f t="shared" si="20"/>
        <v>8.6437457796771948</v>
      </c>
      <c r="Z153" s="15">
        <f t="shared" si="21"/>
        <v>40139.747256334769</v>
      </c>
      <c r="AA153" s="15">
        <f t="shared" si="22"/>
        <v>1264.423833897335</v>
      </c>
      <c r="AB153" s="5">
        <f>T153/G32</f>
        <v>2.4012735246084802E-2</v>
      </c>
      <c r="AD153" s="5">
        <f t="shared" si="23"/>
        <v>2.4012735246084804</v>
      </c>
      <c r="AF153" s="5">
        <f t="shared" si="24"/>
        <v>3.0538561710166261E-2</v>
      </c>
    </row>
    <row r="154" spans="2:32" x14ac:dyDescent="0.2">
      <c r="E154">
        <v>2020</v>
      </c>
      <c r="F154" s="1">
        <v>830185</v>
      </c>
      <c r="G154" s="1">
        <v>377503600</v>
      </c>
      <c r="H154" s="1">
        <v>23011101400</v>
      </c>
      <c r="K154" s="2">
        <v>2022</v>
      </c>
      <c r="L154" s="3" t="s">
        <v>85</v>
      </c>
      <c r="M154" s="13">
        <f>SUM(H311+H342+H373+H404)</f>
        <v>246436486200</v>
      </c>
      <c r="N154" s="1">
        <f>SUM(F311+F342+F373+F404)</f>
        <v>3476690</v>
      </c>
      <c r="O154" s="5">
        <f>M154/H32</f>
        <v>0.13709585540471225</v>
      </c>
      <c r="Q154" s="5">
        <f t="shared" si="18"/>
        <v>13.709585540471226</v>
      </c>
      <c r="S154" s="15">
        <f t="shared" si="25"/>
        <v>70882.502092507522</v>
      </c>
      <c r="T154" s="15">
        <f>SUM(G311+G342+G373+G404)</f>
        <v>14903386600</v>
      </c>
      <c r="U154" s="15">
        <f t="shared" si="19"/>
        <v>231533099600</v>
      </c>
      <c r="V154" s="5">
        <f>U154/I32</f>
        <v>0.14341021618715688</v>
      </c>
      <c r="X154" s="5">
        <f t="shared" si="20"/>
        <v>14.341021618715688</v>
      </c>
      <c r="Z154" s="15">
        <f t="shared" si="21"/>
        <v>66595.842482361099</v>
      </c>
      <c r="AA154" s="15">
        <f t="shared" si="22"/>
        <v>4286.659610146432</v>
      </c>
      <c r="AB154" s="5">
        <f>T154/G32</f>
        <v>8.1409217290924485E-2</v>
      </c>
      <c r="AD154" s="5">
        <f t="shared" si="23"/>
        <v>8.1409217290924492</v>
      </c>
      <c r="AF154" s="5">
        <f t="shared" si="24"/>
        <v>6.0475568491529644E-2</v>
      </c>
    </row>
    <row r="155" spans="2:32" x14ac:dyDescent="0.2">
      <c r="E155">
        <v>2021</v>
      </c>
      <c r="F155" s="1">
        <v>843645</v>
      </c>
      <c r="G155" s="1">
        <v>310347800</v>
      </c>
      <c r="H155" s="1">
        <v>22656498700</v>
      </c>
      <c r="K155" s="2">
        <v>2022</v>
      </c>
      <c r="L155" s="3" t="s">
        <v>86</v>
      </c>
      <c r="M155" s="13">
        <f>SUM(H435+H466+H497+H528)</f>
        <v>400696198900</v>
      </c>
      <c r="N155" s="1">
        <f>SUM(F435+F466+F497+F528)</f>
        <v>3476720</v>
      </c>
      <c r="O155" s="5">
        <f>M155/H32</f>
        <v>0.22291256052494476</v>
      </c>
      <c r="Q155" s="5">
        <f t="shared" si="18"/>
        <v>22.291256052494475</v>
      </c>
      <c r="S155" s="15">
        <f t="shared" si="25"/>
        <v>115251.21347131779</v>
      </c>
      <c r="T155" s="15">
        <f>SUM(G435+G466+G497+G528)</f>
        <v>34475005100</v>
      </c>
      <c r="U155" s="15">
        <f t="shared" si="19"/>
        <v>366221193800</v>
      </c>
      <c r="V155" s="5">
        <f>U155/I32</f>
        <v>0.22683521563832887</v>
      </c>
      <c r="X155" s="5">
        <f t="shared" si="20"/>
        <v>22.683521563832887</v>
      </c>
      <c r="Z155" s="15">
        <f t="shared" si="21"/>
        <v>105335.25673623415</v>
      </c>
      <c r="AA155" s="15">
        <f t="shared" si="22"/>
        <v>9915.9567350836423</v>
      </c>
      <c r="AB155" s="5">
        <f>T155/G32</f>
        <v>0.18831848469203838</v>
      </c>
      <c r="AD155" s="5">
        <f t="shared" si="23"/>
        <v>18.831848469203837</v>
      </c>
      <c r="AF155" s="5">
        <f>AA155/S155</f>
        <v>8.6037764257912958E-2</v>
      </c>
    </row>
    <row r="156" spans="2:32" x14ac:dyDescent="0.2">
      <c r="E156">
        <v>2022</v>
      </c>
      <c r="F156" s="1">
        <v>869225</v>
      </c>
      <c r="G156" s="1">
        <v>139235400</v>
      </c>
      <c r="H156" s="1">
        <v>22867535000</v>
      </c>
      <c r="K156" s="2">
        <v>2022</v>
      </c>
      <c r="L156" s="3" t="s">
        <v>90</v>
      </c>
      <c r="M156" s="13">
        <f>SUM(H559+H590+H621+H652)</f>
        <v>947125034200</v>
      </c>
      <c r="N156" s="1">
        <f>SUM(F559+F590+F621+F652)</f>
        <v>3476690</v>
      </c>
      <c r="O156" s="5">
        <f>M156/H32</f>
        <v>0.52689810158016426</v>
      </c>
      <c r="P156">
        <f>SUM(O152:O156)</f>
        <v>1.0000000001112626</v>
      </c>
      <c r="Q156" s="5">
        <f t="shared" si="18"/>
        <v>52.689810158016428</v>
      </c>
      <c r="R156" s="6">
        <f>SUM(Q152:Q156)</f>
        <v>100.00000001112628</v>
      </c>
      <c r="S156" s="15">
        <f t="shared" si="25"/>
        <v>272421.47968326195</v>
      </c>
      <c r="T156" s="15">
        <f>SUM(G559+G590+G621+G652)</f>
        <v>129077202800</v>
      </c>
      <c r="U156" s="15">
        <f t="shared" si="19"/>
        <v>818047831400</v>
      </c>
      <c r="V156" s="5">
        <f>U156/I32</f>
        <v>0.50669393082538283</v>
      </c>
      <c r="W156">
        <f>SUM(V152:V156)</f>
        <v>1.0000000001858182</v>
      </c>
      <c r="X156" s="5">
        <f t="shared" si="20"/>
        <v>50.669393082538285</v>
      </c>
      <c r="Y156" s="6">
        <f>SUM(X152:X156)</f>
        <v>100.00000001858183</v>
      </c>
      <c r="Z156" s="15">
        <f t="shared" si="21"/>
        <v>235295.01663938977</v>
      </c>
      <c r="AA156" s="15">
        <f t="shared" si="22"/>
        <v>37126.463043872187</v>
      </c>
      <c r="AB156" s="5">
        <f>T156/G32</f>
        <v>0.70507961257946072</v>
      </c>
      <c r="AC156" s="6">
        <f>SUM(AB152:AB156)</f>
        <v>0.99999999945375351</v>
      </c>
      <c r="AD156" s="5">
        <f t="shared" si="23"/>
        <v>70.507961257946079</v>
      </c>
      <c r="AE156" s="6">
        <f>SUM(AD152:AD156)</f>
        <v>99.999999945375365</v>
      </c>
      <c r="AF156" s="5">
        <f>AA156/S156</f>
        <v>0.13628317079489566</v>
      </c>
    </row>
    <row r="157" spans="2:32" x14ac:dyDescent="0.2">
      <c r="B157" t="s">
        <v>13</v>
      </c>
      <c r="C157" t="s">
        <v>30</v>
      </c>
      <c r="D157" t="s">
        <v>32</v>
      </c>
      <c r="E157">
        <v>1992</v>
      </c>
      <c r="F157" s="1">
        <v>568510</v>
      </c>
      <c r="G157" s="1">
        <v>233137100</v>
      </c>
      <c r="H157" s="1">
        <v>8315919100</v>
      </c>
    </row>
    <row r="158" spans="2:32" x14ac:dyDescent="0.2">
      <c r="E158">
        <v>1993</v>
      </c>
      <c r="F158" s="1">
        <v>582710</v>
      </c>
      <c r="G158" s="1">
        <v>202884000</v>
      </c>
      <c r="H158" s="1">
        <v>8348247200</v>
      </c>
    </row>
    <row r="159" spans="2:32" x14ac:dyDescent="0.2">
      <c r="E159">
        <v>1994</v>
      </c>
      <c r="F159" s="1">
        <v>590800</v>
      </c>
      <c r="G159" s="1">
        <v>208604100</v>
      </c>
      <c r="H159" s="1">
        <v>8568648400</v>
      </c>
    </row>
    <row r="160" spans="2:32" x14ac:dyDescent="0.2">
      <c r="E160">
        <v>1995</v>
      </c>
      <c r="F160" s="1">
        <v>600300</v>
      </c>
      <c r="G160" s="1">
        <v>203990200</v>
      </c>
      <c r="H160" s="1">
        <v>8777812600</v>
      </c>
    </row>
    <row r="161" spans="5:8" x14ac:dyDescent="0.2">
      <c r="E161">
        <v>1996</v>
      </c>
      <c r="F161" s="1">
        <v>605925</v>
      </c>
      <c r="G161" s="1">
        <v>199458200</v>
      </c>
      <c r="H161" s="1">
        <v>8868632600</v>
      </c>
    </row>
    <row r="162" spans="5:8" x14ac:dyDescent="0.2">
      <c r="E162">
        <v>1997</v>
      </c>
      <c r="F162" s="1">
        <v>612705</v>
      </c>
      <c r="G162" s="1">
        <v>219872000</v>
      </c>
      <c r="H162" s="1">
        <v>9099037900</v>
      </c>
    </row>
    <row r="163" spans="5:8" x14ac:dyDescent="0.2">
      <c r="E163">
        <v>1998</v>
      </c>
      <c r="F163" s="1">
        <v>617115</v>
      </c>
      <c r="G163" s="1">
        <v>249068300</v>
      </c>
      <c r="H163" s="1">
        <v>9613212300</v>
      </c>
    </row>
    <row r="164" spans="5:8" x14ac:dyDescent="0.2">
      <c r="E164">
        <v>1999</v>
      </c>
      <c r="F164" s="1">
        <v>627355</v>
      </c>
      <c r="G164" s="1">
        <v>260210400</v>
      </c>
      <c r="H164" s="1">
        <v>10134674500</v>
      </c>
    </row>
    <row r="165" spans="5:8" x14ac:dyDescent="0.2">
      <c r="E165">
        <v>2000</v>
      </c>
      <c r="F165" s="1">
        <v>635710</v>
      </c>
      <c r="G165" s="1">
        <v>278937100</v>
      </c>
      <c r="H165" s="1">
        <v>10685435100</v>
      </c>
    </row>
    <row r="166" spans="5:8" x14ac:dyDescent="0.2">
      <c r="E166">
        <v>2001</v>
      </c>
      <c r="F166" s="1">
        <v>639290</v>
      </c>
      <c r="G166" s="1">
        <v>325744900</v>
      </c>
      <c r="H166" s="1">
        <v>11653954500</v>
      </c>
    </row>
    <row r="167" spans="5:8" x14ac:dyDescent="0.2">
      <c r="E167">
        <v>2002</v>
      </c>
      <c r="F167" s="1">
        <v>638600</v>
      </c>
      <c r="G167" s="1">
        <v>313578100</v>
      </c>
      <c r="H167" s="1">
        <v>11866778200</v>
      </c>
    </row>
    <row r="168" spans="5:8" x14ac:dyDescent="0.2">
      <c r="E168">
        <v>2003</v>
      </c>
      <c r="F168" s="1">
        <v>653140</v>
      </c>
      <c r="G168" s="1">
        <v>321576700</v>
      </c>
      <c r="H168" s="1">
        <v>12236519700</v>
      </c>
    </row>
    <row r="169" spans="5:8" x14ac:dyDescent="0.2">
      <c r="E169">
        <v>2004</v>
      </c>
      <c r="F169" s="1">
        <v>663150</v>
      </c>
      <c r="G169" s="1">
        <v>337239600</v>
      </c>
      <c r="H169" s="1">
        <v>12837457300</v>
      </c>
    </row>
    <row r="170" spans="5:8" x14ac:dyDescent="0.2">
      <c r="E170">
        <v>2005</v>
      </c>
      <c r="F170" s="1">
        <v>675965</v>
      </c>
      <c r="G170" s="1">
        <v>311078900</v>
      </c>
      <c r="H170" s="1">
        <v>13433923400</v>
      </c>
    </row>
    <row r="171" spans="5:8" x14ac:dyDescent="0.2">
      <c r="E171">
        <v>2006</v>
      </c>
      <c r="F171" s="1">
        <v>683220</v>
      </c>
      <c r="G171" s="1">
        <v>311708200</v>
      </c>
      <c r="H171" s="1">
        <v>14316414800</v>
      </c>
    </row>
    <row r="172" spans="5:8" x14ac:dyDescent="0.2">
      <c r="E172">
        <v>2007</v>
      </c>
      <c r="F172" s="1">
        <v>692555</v>
      </c>
      <c r="G172" s="1">
        <v>295077300</v>
      </c>
      <c r="H172" s="1">
        <v>15342301100</v>
      </c>
    </row>
    <row r="173" spans="5:8" x14ac:dyDescent="0.2">
      <c r="E173">
        <v>2008</v>
      </c>
      <c r="F173" s="1">
        <v>703095</v>
      </c>
      <c r="G173" s="1">
        <v>318278200</v>
      </c>
      <c r="H173" s="1">
        <v>15945027100</v>
      </c>
    </row>
    <row r="174" spans="5:8" x14ac:dyDescent="0.2">
      <c r="E174">
        <v>2009</v>
      </c>
      <c r="F174" s="1">
        <v>711880</v>
      </c>
      <c r="G174" s="1">
        <v>257161600</v>
      </c>
      <c r="H174" s="1">
        <v>16147953700</v>
      </c>
    </row>
    <row r="175" spans="5:8" x14ac:dyDescent="0.2">
      <c r="E175">
        <v>2010</v>
      </c>
      <c r="F175" s="1">
        <v>719245</v>
      </c>
      <c r="G175" s="1">
        <v>263810700</v>
      </c>
      <c r="H175" s="1">
        <v>16415256400</v>
      </c>
    </row>
    <row r="176" spans="5:8" x14ac:dyDescent="0.2">
      <c r="E176">
        <v>2011</v>
      </c>
      <c r="F176" s="1">
        <v>729950</v>
      </c>
      <c r="G176" s="1">
        <v>282257900</v>
      </c>
      <c r="H176" s="1">
        <v>17204219200</v>
      </c>
    </row>
    <row r="177" spans="2:8" x14ac:dyDescent="0.2">
      <c r="E177">
        <v>2012</v>
      </c>
      <c r="F177" s="1">
        <v>741540</v>
      </c>
      <c r="G177" s="1">
        <v>292447700</v>
      </c>
      <c r="H177" s="1">
        <v>18017657700</v>
      </c>
    </row>
    <row r="178" spans="2:8" x14ac:dyDescent="0.2">
      <c r="E178">
        <v>2013</v>
      </c>
      <c r="F178" s="1">
        <v>752475</v>
      </c>
      <c r="G178" s="1">
        <v>299621800</v>
      </c>
      <c r="H178" s="1">
        <v>18607875700</v>
      </c>
    </row>
    <row r="179" spans="2:8" x14ac:dyDescent="0.2">
      <c r="E179">
        <v>2014</v>
      </c>
      <c r="F179" s="1">
        <v>762535</v>
      </c>
      <c r="G179" s="1">
        <v>334032300</v>
      </c>
      <c r="H179" s="1">
        <v>19382035600</v>
      </c>
    </row>
    <row r="180" spans="2:8" x14ac:dyDescent="0.2">
      <c r="E180">
        <v>2015</v>
      </c>
      <c r="F180" s="1">
        <v>771460</v>
      </c>
      <c r="G180" s="1">
        <v>356439300</v>
      </c>
      <c r="H180" s="1">
        <v>20238333700</v>
      </c>
    </row>
    <row r="181" spans="2:8" x14ac:dyDescent="0.2">
      <c r="E181">
        <v>2016</v>
      </c>
      <c r="F181" s="1">
        <v>780510</v>
      </c>
      <c r="G181" s="1">
        <v>368799400</v>
      </c>
      <c r="H181" s="1">
        <v>20728228700</v>
      </c>
    </row>
    <row r="182" spans="2:8" x14ac:dyDescent="0.2">
      <c r="E182">
        <v>2017</v>
      </c>
      <c r="F182" s="1">
        <v>795250</v>
      </c>
      <c r="G182" s="1">
        <v>395264200</v>
      </c>
      <c r="H182" s="1">
        <v>21621824400</v>
      </c>
    </row>
    <row r="183" spans="2:8" x14ac:dyDescent="0.2">
      <c r="E183">
        <v>2018</v>
      </c>
      <c r="F183" s="1">
        <v>811225</v>
      </c>
      <c r="G183" s="1">
        <v>450694600</v>
      </c>
      <c r="H183" s="1">
        <v>22827295300</v>
      </c>
    </row>
    <row r="184" spans="2:8" x14ac:dyDescent="0.2">
      <c r="E184">
        <v>2019</v>
      </c>
      <c r="F184" s="1">
        <v>825010</v>
      </c>
      <c r="G184" s="1">
        <v>454266400</v>
      </c>
      <c r="H184" s="1">
        <v>23603960200</v>
      </c>
    </row>
    <row r="185" spans="2:8" x14ac:dyDescent="0.2">
      <c r="E185">
        <v>2020</v>
      </c>
      <c r="F185" s="1">
        <v>830140</v>
      </c>
      <c r="G185" s="1">
        <v>712383100</v>
      </c>
      <c r="H185" s="1">
        <v>27652079400</v>
      </c>
    </row>
    <row r="186" spans="2:8" x14ac:dyDescent="0.2">
      <c r="E186">
        <v>2021</v>
      </c>
      <c r="F186" s="1">
        <v>843880</v>
      </c>
      <c r="G186" s="1">
        <v>650034600</v>
      </c>
      <c r="H186" s="1">
        <v>27562855500</v>
      </c>
    </row>
    <row r="187" spans="2:8" x14ac:dyDescent="0.2">
      <c r="E187">
        <v>2022</v>
      </c>
      <c r="F187" s="1">
        <v>869135</v>
      </c>
      <c r="G187" s="1">
        <v>486295800</v>
      </c>
      <c r="H187" s="1">
        <v>27709799800</v>
      </c>
    </row>
    <row r="188" spans="2:8" x14ac:dyDescent="0.2">
      <c r="B188" t="s">
        <v>14</v>
      </c>
      <c r="C188" t="s">
        <v>30</v>
      </c>
      <c r="D188" t="s">
        <v>32</v>
      </c>
      <c r="E188">
        <v>1992</v>
      </c>
      <c r="F188" s="1">
        <v>568300</v>
      </c>
      <c r="G188" s="1">
        <v>378184900</v>
      </c>
      <c r="H188" s="1">
        <v>9916400900</v>
      </c>
    </row>
    <row r="189" spans="2:8" x14ac:dyDescent="0.2">
      <c r="E189">
        <v>1993</v>
      </c>
      <c r="F189" s="1">
        <v>582635</v>
      </c>
      <c r="G189" s="1">
        <v>341553600</v>
      </c>
      <c r="H189" s="1">
        <v>9970917300</v>
      </c>
    </row>
    <row r="190" spans="2:8" x14ac:dyDescent="0.2">
      <c r="E190">
        <v>1994</v>
      </c>
      <c r="F190" s="1">
        <v>590865</v>
      </c>
      <c r="G190" s="1">
        <v>357302300</v>
      </c>
      <c r="H190" s="1">
        <v>10237860000</v>
      </c>
    </row>
    <row r="191" spans="2:8" x14ac:dyDescent="0.2">
      <c r="E191">
        <v>1995</v>
      </c>
      <c r="F191" s="1">
        <v>600545</v>
      </c>
      <c r="G191" s="1">
        <v>364242900</v>
      </c>
      <c r="H191" s="1">
        <v>10410102500</v>
      </c>
    </row>
    <row r="192" spans="2:8" x14ac:dyDescent="0.2">
      <c r="E192">
        <v>1996</v>
      </c>
      <c r="F192" s="1">
        <v>605800</v>
      </c>
      <c r="G192" s="1">
        <v>372264600</v>
      </c>
      <c r="H192" s="1">
        <v>10537199100</v>
      </c>
    </row>
    <row r="193" spans="5:8" x14ac:dyDescent="0.2">
      <c r="E193">
        <v>1997</v>
      </c>
      <c r="F193" s="1">
        <v>612685</v>
      </c>
      <c r="G193" s="1">
        <v>399360700</v>
      </c>
      <c r="H193" s="1">
        <v>10874600700</v>
      </c>
    </row>
    <row r="194" spans="5:8" x14ac:dyDescent="0.2">
      <c r="E194">
        <v>1998</v>
      </c>
      <c r="F194" s="1">
        <v>617325</v>
      </c>
      <c r="G194" s="1">
        <v>427918600</v>
      </c>
      <c r="H194" s="1">
        <v>11515293200</v>
      </c>
    </row>
    <row r="195" spans="5:8" x14ac:dyDescent="0.2">
      <c r="E195">
        <v>1999</v>
      </c>
      <c r="F195" s="1">
        <v>627300</v>
      </c>
      <c r="G195" s="1">
        <v>442746900</v>
      </c>
      <c r="H195" s="1">
        <v>12155075900</v>
      </c>
    </row>
    <row r="196" spans="5:8" x14ac:dyDescent="0.2">
      <c r="E196">
        <v>2000</v>
      </c>
      <c r="F196" s="1">
        <v>635785</v>
      </c>
      <c r="G196" s="1">
        <v>470818100</v>
      </c>
      <c r="H196" s="1">
        <v>12853175600</v>
      </c>
    </row>
    <row r="197" spans="5:8" x14ac:dyDescent="0.2">
      <c r="E197">
        <v>2001</v>
      </c>
      <c r="F197" s="1">
        <v>639415</v>
      </c>
      <c r="G197" s="1">
        <v>497644800</v>
      </c>
      <c r="H197" s="1">
        <v>14010219100</v>
      </c>
    </row>
    <row r="198" spans="5:8" x14ac:dyDescent="0.2">
      <c r="E198">
        <v>2002</v>
      </c>
      <c r="F198" s="1">
        <v>638490</v>
      </c>
      <c r="G198" s="1">
        <v>485748600</v>
      </c>
      <c r="H198" s="1">
        <v>14257215900</v>
      </c>
    </row>
    <row r="199" spans="5:8" x14ac:dyDescent="0.2">
      <c r="E199">
        <v>2003</v>
      </c>
      <c r="F199" s="1">
        <v>653220</v>
      </c>
      <c r="G199" s="1">
        <v>508674900</v>
      </c>
      <c r="H199" s="1">
        <v>14750382300</v>
      </c>
    </row>
    <row r="200" spans="5:8" x14ac:dyDescent="0.2">
      <c r="E200">
        <v>2004</v>
      </c>
      <c r="F200" s="1">
        <v>663140</v>
      </c>
      <c r="G200" s="1">
        <v>532608200</v>
      </c>
      <c r="H200" s="1">
        <v>15477904800</v>
      </c>
    </row>
    <row r="201" spans="5:8" x14ac:dyDescent="0.2">
      <c r="E201">
        <v>2005</v>
      </c>
      <c r="F201" s="1">
        <v>675740</v>
      </c>
      <c r="G201" s="1">
        <v>501552400</v>
      </c>
      <c r="H201" s="1">
        <v>16186441200</v>
      </c>
    </row>
    <row r="202" spans="5:8" x14ac:dyDescent="0.2">
      <c r="E202">
        <v>2006</v>
      </c>
      <c r="F202" s="1">
        <v>683165</v>
      </c>
      <c r="G202" s="1">
        <v>516870500</v>
      </c>
      <c r="H202" s="1">
        <v>17246765800</v>
      </c>
    </row>
    <row r="203" spans="5:8" x14ac:dyDescent="0.2">
      <c r="E203">
        <v>2007</v>
      </c>
      <c r="F203" s="1">
        <v>692790</v>
      </c>
      <c r="G203" s="1">
        <v>486810300</v>
      </c>
      <c r="H203" s="1">
        <v>18417371100</v>
      </c>
    </row>
    <row r="204" spans="5:8" x14ac:dyDescent="0.2">
      <c r="E204">
        <v>2008</v>
      </c>
      <c r="F204" s="1">
        <v>703185</v>
      </c>
      <c r="G204" s="1">
        <v>516390900</v>
      </c>
      <c r="H204" s="1">
        <v>19145772800</v>
      </c>
    </row>
    <row r="205" spans="5:8" x14ac:dyDescent="0.2">
      <c r="E205">
        <v>2009</v>
      </c>
      <c r="F205" s="1">
        <v>711730</v>
      </c>
      <c r="G205" s="1">
        <v>441323600</v>
      </c>
      <c r="H205" s="1">
        <v>19367935600</v>
      </c>
    </row>
    <row r="206" spans="5:8" x14ac:dyDescent="0.2">
      <c r="E206">
        <v>2010</v>
      </c>
      <c r="F206" s="1">
        <v>719315</v>
      </c>
      <c r="G206" s="1">
        <v>447712800</v>
      </c>
      <c r="H206" s="1">
        <v>19705177600</v>
      </c>
    </row>
    <row r="207" spans="5:8" x14ac:dyDescent="0.2">
      <c r="E207">
        <v>2011</v>
      </c>
      <c r="F207" s="1">
        <v>729960</v>
      </c>
      <c r="G207" s="1">
        <v>472376100</v>
      </c>
      <c r="H207" s="1">
        <v>20614736600</v>
      </c>
    </row>
    <row r="208" spans="5:8" x14ac:dyDescent="0.2">
      <c r="E208">
        <v>2012</v>
      </c>
      <c r="F208" s="1">
        <v>741530</v>
      </c>
      <c r="G208" s="1">
        <v>493345400</v>
      </c>
      <c r="H208" s="1">
        <v>21586961700</v>
      </c>
    </row>
    <row r="209" spans="2:8" x14ac:dyDescent="0.2">
      <c r="E209">
        <v>2013</v>
      </c>
      <c r="F209" s="1">
        <v>752350</v>
      </c>
      <c r="G209" s="1">
        <v>505109200</v>
      </c>
      <c r="H209" s="1">
        <v>22299767500</v>
      </c>
    </row>
    <row r="210" spans="2:8" x14ac:dyDescent="0.2">
      <c r="E210">
        <v>2014</v>
      </c>
      <c r="F210" s="1">
        <v>762655</v>
      </c>
      <c r="G210" s="1">
        <v>541129100</v>
      </c>
      <c r="H210" s="1">
        <v>23248244600</v>
      </c>
    </row>
    <row r="211" spans="2:8" x14ac:dyDescent="0.2">
      <c r="E211">
        <v>2015</v>
      </c>
      <c r="F211" s="1">
        <v>771555</v>
      </c>
      <c r="G211" s="1">
        <v>591478100</v>
      </c>
      <c r="H211" s="1">
        <v>24225184600</v>
      </c>
    </row>
    <row r="212" spans="2:8" x14ac:dyDescent="0.2">
      <c r="E212">
        <v>2016</v>
      </c>
      <c r="F212" s="1">
        <v>780210</v>
      </c>
      <c r="G212" s="1">
        <v>598520200</v>
      </c>
      <c r="H212" s="1">
        <v>24797184200</v>
      </c>
    </row>
    <row r="213" spans="2:8" x14ac:dyDescent="0.2">
      <c r="E213">
        <v>2017</v>
      </c>
      <c r="F213" s="1">
        <v>795030</v>
      </c>
      <c r="G213" s="1">
        <v>645953700</v>
      </c>
      <c r="H213" s="1">
        <v>25884850700</v>
      </c>
    </row>
    <row r="214" spans="2:8" x14ac:dyDescent="0.2">
      <c r="E214">
        <v>2018</v>
      </c>
      <c r="F214" s="1">
        <v>811245</v>
      </c>
      <c r="G214" s="1">
        <v>726281100</v>
      </c>
      <c r="H214" s="1">
        <v>27261223700</v>
      </c>
    </row>
    <row r="215" spans="2:8" x14ac:dyDescent="0.2">
      <c r="E215">
        <v>2019</v>
      </c>
      <c r="F215" s="1">
        <v>824880</v>
      </c>
      <c r="G215" s="1">
        <v>751638100</v>
      </c>
      <c r="H215" s="1">
        <v>28214770000</v>
      </c>
    </row>
    <row r="216" spans="2:8" x14ac:dyDescent="0.2">
      <c r="E216">
        <v>2020</v>
      </c>
      <c r="F216" s="1">
        <v>830000</v>
      </c>
      <c r="G216" s="1">
        <v>993220400</v>
      </c>
      <c r="H216" s="1">
        <v>32173899000</v>
      </c>
    </row>
    <row r="217" spans="2:8" x14ac:dyDescent="0.2">
      <c r="E217">
        <v>2021</v>
      </c>
      <c r="F217" s="1">
        <v>843650</v>
      </c>
      <c r="G217" s="1">
        <v>969970200</v>
      </c>
      <c r="H217" s="1">
        <v>32385997600</v>
      </c>
    </row>
    <row r="218" spans="2:8" x14ac:dyDescent="0.2">
      <c r="E218">
        <v>2022</v>
      </c>
      <c r="F218" s="1">
        <v>869230</v>
      </c>
      <c r="G218" s="1">
        <v>829136500</v>
      </c>
      <c r="H218" s="1">
        <v>33189700600</v>
      </c>
    </row>
    <row r="219" spans="2:8" x14ac:dyDescent="0.2">
      <c r="B219" t="s">
        <v>15</v>
      </c>
      <c r="C219" t="s">
        <v>30</v>
      </c>
      <c r="D219" t="s">
        <v>32</v>
      </c>
      <c r="E219">
        <v>1992</v>
      </c>
      <c r="F219" s="1">
        <v>568345</v>
      </c>
      <c r="G219" s="1">
        <v>536931500</v>
      </c>
      <c r="H219" s="1">
        <v>11632294300</v>
      </c>
    </row>
    <row r="220" spans="2:8" x14ac:dyDescent="0.2">
      <c r="E220">
        <v>1993</v>
      </c>
      <c r="F220" s="1">
        <v>582560</v>
      </c>
      <c r="G220" s="1">
        <v>485944500</v>
      </c>
      <c r="H220" s="1">
        <v>11728580700</v>
      </c>
    </row>
    <row r="221" spans="2:8" x14ac:dyDescent="0.2">
      <c r="E221">
        <v>1994</v>
      </c>
      <c r="F221" s="1">
        <v>590600</v>
      </c>
      <c r="G221" s="1">
        <v>502967600</v>
      </c>
      <c r="H221" s="1">
        <v>12081164600</v>
      </c>
    </row>
    <row r="222" spans="2:8" x14ac:dyDescent="0.2">
      <c r="E222">
        <v>1995</v>
      </c>
      <c r="F222" s="1">
        <v>600405</v>
      </c>
      <c r="G222" s="1">
        <v>517641000</v>
      </c>
      <c r="H222" s="1">
        <v>12261902900</v>
      </c>
    </row>
    <row r="223" spans="2:8" x14ac:dyDescent="0.2">
      <c r="E223">
        <v>1996</v>
      </c>
      <c r="F223" s="1">
        <v>605815</v>
      </c>
      <c r="G223" s="1">
        <v>534232500</v>
      </c>
      <c r="H223" s="1">
        <v>12476976600</v>
      </c>
    </row>
    <row r="224" spans="2:8" x14ac:dyDescent="0.2">
      <c r="E224">
        <v>1997</v>
      </c>
      <c r="F224" s="1">
        <v>612780</v>
      </c>
      <c r="G224" s="1">
        <v>570586800</v>
      </c>
      <c r="H224" s="1">
        <v>12900068700</v>
      </c>
    </row>
    <row r="225" spans="5:8" x14ac:dyDescent="0.2">
      <c r="E225">
        <v>1998</v>
      </c>
      <c r="F225" s="1">
        <v>617160</v>
      </c>
      <c r="G225" s="1">
        <v>591067800</v>
      </c>
      <c r="H225" s="1">
        <v>13569032800</v>
      </c>
    </row>
    <row r="226" spans="5:8" x14ac:dyDescent="0.2">
      <c r="E226">
        <v>1999</v>
      </c>
      <c r="F226" s="1">
        <v>627265</v>
      </c>
      <c r="G226" s="1">
        <v>622362200</v>
      </c>
      <c r="H226" s="1">
        <v>14332171600</v>
      </c>
    </row>
    <row r="227" spans="5:8" x14ac:dyDescent="0.2">
      <c r="E227">
        <v>2000</v>
      </c>
      <c r="F227" s="1">
        <v>635800</v>
      </c>
      <c r="G227" s="1">
        <v>660620800</v>
      </c>
      <c r="H227" s="1">
        <v>15160474700</v>
      </c>
    </row>
    <row r="228" spans="5:8" x14ac:dyDescent="0.2">
      <c r="E228">
        <v>2001</v>
      </c>
      <c r="F228" s="1">
        <v>639475</v>
      </c>
      <c r="G228" s="1">
        <v>717306800</v>
      </c>
      <c r="H228" s="1">
        <v>16425088700</v>
      </c>
    </row>
    <row r="229" spans="5:8" x14ac:dyDescent="0.2">
      <c r="E229">
        <v>2002</v>
      </c>
      <c r="F229" s="1">
        <v>638430</v>
      </c>
      <c r="G229" s="1">
        <v>704263100</v>
      </c>
      <c r="H229" s="1">
        <v>16705295800</v>
      </c>
    </row>
    <row r="230" spans="5:8" x14ac:dyDescent="0.2">
      <c r="E230">
        <v>2003</v>
      </c>
      <c r="F230" s="1">
        <v>653060</v>
      </c>
      <c r="G230" s="1">
        <v>725586700</v>
      </c>
      <c r="H230" s="1">
        <v>17319609700</v>
      </c>
    </row>
    <row r="231" spans="5:8" x14ac:dyDescent="0.2">
      <c r="E231">
        <v>2004</v>
      </c>
      <c r="F231" s="1">
        <v>663060</v>
      </c>
      <c r="G231" s="1">
        <v>763914700</v>
      </c>
      <c r="H231" s="1">
        <v>18181625000</v>
      </c>
    </row>
    <row r="232" spans="5:8" x14ac:dyDescent="0.2">
      <c r="E232">
        <v>2005</v>
      </c>
      <c r="F232" s="1">
        <v>675920</v>
      </c>
      <c r="G232" s="1">
        <v>721707200</v>
      </c>
      <c r="H232" s="1">
        <v>19035364600</v>
      </c>
    </row>
    <row r="233" spans="5:8" x14ac:dyDescent="0.2">
      <c r="E233">
        <v>2006</v>
      </c>
      <c r="F233" s="1">
        <v>683270</v>
      </c>
      <c r="G233" s="1">
        <v>742786800</v>
      </c>
      <c r="H233" s="1">
        <v>20233506600</v>
      </c>
    </row>
    <row r="234" spans="5:8" x14ac:dyDescent="0.2">
      <c r="E234">
        <v>2007</v>
      </c>
      <c r="F234" s="1">
        <v>692585</v>
      </c>
      <c r="G234" s="1">
        <v>707957800</v>
      </c>
      <c r="H234" s="1">
        <v>21555604800</v>
      </c>
    </row>
    <row r="235" spans="5:8" x14ac:dyDescent="0.2">
      <c r="E235">
        <v>2008</v>
      </c>
      <c r="F235" s="1">
        <v>703005</v>
      </c>
      <c r="G235" s="1">
        <v>752388400</v>
      </c>
      <c r="H235" s="1">
        <v>22383131900</v>
      </c>
    </row>
    <row r="236" spans="5:8" x14ac:dyDescent="0.2">
      <c r="E236">
        <v>2009</v>
      </c>
      <c r="F236" s="1">
        <v>711940</v>
      </c>
      <c r="G236" s="1">
        <v>652271300</v>
      </c>
      <c r="H236" s="1">
        <v>22639611200</v>
      </c>
    </row>
    <row r="237" spans="5:8" x14ac:dyDescent="0.2">
      <c r="E237">
        <v>2010</v>
      </c>
      <c r="F237" s="1">
        <v>719275</v>
      </c>
      <c r="G237" s="1">
        <v>668150300</v>
      </c>
      <c r="H237" s="1">
        <v>23041136700</v>
      </c>
    </row>
    <row r="238" spans="5:8" x14ac:dyDescent="0.2">
      <c r="E238">
        <v>2011</v>
      </c>
      <c r="F238" s="1">
        <v>729940</v>
      </c>
      <c r="G238" s="1">
        <v>708527400</v>
      </c>
      <c r="H238" s="1">
        <v>24070904500</v>
      </c>
    </row>
    <row r="239" spans="5:8" x14ac:dyDescent="0.2">
      <c r="E239">
        <v>2012</v>
      </c>
      <c r="F239" s="1">
        <v>741490</v>
      </c>
      <c r="G239" s="1">
        <v>746779800</v>
      </c>
      <c r="H239" s="1">
        <v>25167217200</v>
      </c>
    </row>
    <row r="240" spans="5:8" x14ac:dyDescent="0.2">
      <c r="E240">
        <v>2013</v>
      </c>
      <c r="F240" s="1">
        <v>752550</v>
      </c>
      <c r="G240" s="1">
        <v>769258600</v>
      </c>
      <c r="H240" s="1">
        <v>26031279300</v>
      </c>
    </row>
    <row r="241" spans="2:8" x14ac:dyDescent="0.2">
      <c r="E241">
        <v>2014</v>
      </c>
      <c r="F241" s="1">
        <v>762600</v>
      </c>
      <c r="G241" s="1">
        <v>833619600</v>
      </c>
      <c r="H241" s="1">
        <v>27134916700</v>
      </c>
    </row>
    <row r="242" spans="2:8" x14ac:dyDescent="0.2">
      <c r="E242">
        <v>2015</v>
      </c>
      <c r="F242" s="1">
        <v>771365</v>
      </c>
      <c r="G242" s="1">
        <v>923091200</v>
      </c>
      <c r="H242" s="1">
        <v>28277492200</v>
      </c>
    </row>
    <row r="243" spans="2:8" x14ac:dyDescent="0.2">
      <c r="E243">
        <v>2016</v>
      </c>
      <c r="F243" s="1">
        <v>780405</v>
      </c>
      <c r="G243" s="1">
        <v>919444500</v>
      </c>
      <c r="H243" s="1">
        <v>28886346800</v>
      </c>
    </row>
    <row r="244" spans="2:8" x14ac:dyDescent="0.2">
      <c r="E244">
        <v>2017</v>
      </c>
      <c r="F244" s="1">
        <v>795130</v>
      </c>
      <c r="G244" s="1">
        <v>989856000</v>
      </c>
      <c r="H244" s="1">
        <v>30206560600</v>
      </c>
    </row>
    <row r="245" spans="2:8" x14ac:dyDescent="0.2">
      <c r="E245">
        <v>2018</v>
      </c>
      <c r="F245" s="1">
        <v>811070</v>
      </c>
      <c r="G245" s="1">
        <v>1099674500</v>
      </c>
      <c r="H245" s="1">
        <v>31753156200</v>
      </c>
    </row>
    <row r="246" spans="2:8" x14ac:dyDescent="0.2">
      <c r="E246">
        <v>2019</v>
      </c>
      <c r="F246" s="1">
        <v>824985</v>
      </c>
      <c r="G246" s="1">
        <v>1129450600</v>
      </c>
      <c r="H246" s="1">
        <v>32861712400</v>
      </c>
    </row>
    <row r="247" spans="2:8" x14ac:dyDescent="0.2">
      <c r="E247">
        <v>2020</v>
      </c>
      <c r="F247" s="1">
        <v>830130</v>
      </c>
      <c r="G247" s="1">
        <v>1377997400</v>
      </c>
      <c r="H247" s="1">
        <v>36864595100</v>
      </c>
    </row>
    <row r="248" spans="2:8" x14ac:dyDescent="0.2">
      <c r="E248">
        <v>2021</v>
      </c>
      <c r="F248" s="1">
        <v>843810</v>
      </c>
      <c r="G248" s="1">
        <v>1402266600</v>
      </c>
      <c r="H248" s="1">
        <v>37449651000</v>
      </c>
    </row>
    <row r="249" spans="2:8" x14ac:dyDescent="0.2">
      <c r="E249">
        <v>2022</v>
      </c>
      <c r="F249" s="1">
        <v>869175</v>
      </c>
      <c r="G249" s="1">
        <v>1269220300</v>
      </c>
      <c r="H249" s="1">
        <v>38649582600</v>
      </c>
    </row>
    <row r="250" spans="2:8" x14ac:dyDescent="0.2">
      <c r="B250" t="s">
        <v>16</v>
      </c>
      <c r="C250" t="s">
        <v>30</v>
      </c>
      <c r="D250" t="s">
        <v>32</v>
      </c>
      <c r="E250">
        <v>1992</v>
      </c>
      <c r="F250" s="1">
        <v>568410</v>
      </c>
      <c r="G250" s="1">
        <v>771465300</v>
      </c>
      <c r="H250" s="1">
        <v>13464839600</v>
      </c>
    </row>
    <row r="251" spans="2:8" x14ac:dyDescent="0.2">
      <c r="E251">
        <v>1993</v>
      </c>
      <c r="F251" s="1">
        <v>582695</v>
      </c>
      <c r="G251" s="1">
        <v>713381600</v>
      </c>
      <c r="H251" s="1">
        <v>13599809200</v>
      </c>
    </row>
    <row r="252" spans="2:8" x14ac:dyDescent="0.2">
      <c r="E252">
        <v>1994</v>
      </c>
      <c r="F252" s="1">
        <v>590945</v>
      </c>
      <c r="G252" s="1">
        <v>742805200</v>
      </c>
      <c r="H252" s="1">
        <v>14063033400</v>
      </c>
    </row>
    <row r="253" spans="2:8" x14ac:dyDescent="0.2">
      <c r="E253">
        <v>1995</v>
      </c>
      <c r="F253" s="1">
        <v>600390</v>
      </c>
      <c r="G253" s="1">
        <v>741072300</v>
      </c>
      <c r="H253" s="1">
        <v>14223062700</v>
      </c>
    </row>
    <row r="254" spans="2:8" x14ac:dyDescent="0.2">
      <c r="E254">
        <v>1996</v>
      </c>
      <c r="F254" s="1">
        <v>605810</v>
      </c>
      <c r="G254" s="1">
        <v>762925100</v>
      </c>
      <c r="H254" s="1">
        <v>14511899000</v>
      </c>
    </row>
    <row r="255" spans="2:8" x14ac:dyDescent="0.2">
      <c r="E255">
        <v>1997</v>
      </c>
      <c r="F255" s="1">
        <v>612860</v>
      </c>
      <c r="G255" s="1">
        <v>818852600</v>
      </c>
      <c r="H255" s="1">
        <v>15021126200</v>
      </c>
    </row>
    <row r="256" spans="2:8" x14ac:dyDescent="0.2">
      <c r="E256">
        <v>1998</v>
      </c>
      <c r="F256" s="1">
        <v>617245</v>
      </c>
      <c r="G256" s="1">
        <v>859108900</v>
      </c>
      <c r="H256" s="1">
        <v>15716804300</v>
      </c>
    </row>
    <row r="257" spans="5:8" x14ac:dyDescent="0.2">
      <c r="E257">
        <v>1999</v>
      </c>
      <c r="F257" s="1">
        <v>627330</v>
      </c>
      <c r="G257" s="1">
        <v>904309900</v>
      </c>
      <c r="H257" s="1">
        <v>16601722100</v>
      </c>
    </row>
    <row r="258" spans="5:8" x14ac:dyDescent="0.2">
      <c r="E258">
        <v>2000</v>
      </c>
      <c r="F258" s="1">
        <v>635785</v>
      </c>
      <c r="G258" s="1">
        <v>971171300</v>
      </c>
      <c r="H258" s="1">
        <v>17567198900</v>
      </c>
    </row>
    <row r="259" spans="5:8" x14ac:dyDescent="0.2">
      <c r="E259">
        <v>2001</v>
      </c>
      <c r="F259" s="1">
        <v>639395</v>
      </c>
      <c r="G259" s="1">
        <v>1041146100</v>
      </c>
      <c r="H259" s="1">
        <v>18922661600</v>
      </c>
    </row>
    <row r="260" spans="5:8" x14ac:dyDescent="0.2">
      <c r="E260">
        <v>2002</v>
      </c>
      <c r="F260" s="1">
        <v>638605</v>
      </c>
      <c r="G260" s="1">
        <v>1037144200</v>
      </c>
      <c r="H260" s="1">
        <v>19282364400</v>
      </c>
    </row>
    <row r="261" spans="5:8" x14ac:dyDescent="0.2">
      <c r="E261">
        <v>2003</v>
      </c>
      <c r="F261" s="1">
        <v>653070</v>
      </c>
      <c r="G261" s="1">
        <v>1067252300</v>
      </c>
      <c r="H261" s="1">
        <v>19979895700</v>
      </c>
    </row>
    <row r="262" spans="5:8" x14ac:dyDescent="0.2">
      <c r="E262">
        <v>2004</v>
      </c>
      <c r="F262" s="1">
        <v>663075</v>
      </c>
      <c r="G262" s="1">
        <v>1120889300</v>
      </c>
      <c r="H262" s="1">
        <v>20967359400</v>
      </c>
    </row>
    <row r="263" spans="5:8" x14ac:dyDescent="0.2">
      <c r="E263">
        <v>2005</v>
      </c>
      <c r="F263" s="1">
        <v>675775</v>
      </c>
      <c r="G263" s="1">
        <v>1053939100</v>
      </c>
      <c r="H263" s="1">
        <v>21971455800</v>
      </c>
    </row>
    <row r="264" spans="5:8" x14ac:dyDescent="0.2">
      <c r="E264">
        <v>2006</v>
      </c>
      <c r="F264" s="1">
        <v>683155</v>
      </c>
      <c r="G264" s="1">
        <v>1088247100</v>
      </c>
      <c r="H264" s="1">
        <v>23288475900</v>
      </c>
    </row>
    <row r="265" spans="5:8" x14ac:dyDescent="0.2">
      <c r="E265">
        <v>2007</v>
      </c>
      <c r="F265" s="1">
        <v>692670</v>
      </c>
      <c r="G265" s="1">
        <v>1020186100</v>
      </c>
      <c r="H265" s="1">
        <v>24780263600</v>
      </c>
    </row>
    <row r="266" spans="5:8" x14ac:dyDescent="0.2">
      <c r="E266">
        <v>2008</v>
      </c>
      <c r="F266" s="1">
        <v>703060</v>
      </c>
      <c r="G266" s="1">
        <v>1089055900</v>
      </c>
      <c r="H266" s="1">
        <v>25708213200</v>
      </c>
    </row>
    <row r="267" spans="5:8" x14ac:dyDescent="0.2">
      <c r="E267">
        <v>2009</v>
      </c>
      <c r="F267" s="1">
        <v>711780</v>
      </c>
      <c r="G267" s="1">
        <v>939958500</v>
      </c>
      <c r="H267" s="1">
        <v>25972748700</v>
      </c>
    </row>
    <row r="268" spans="5:8" x14ac:dyDescent="0.2">
      <c r="E268">
        <v>2010</v>
      </c>
      <c r="F268" s="1">
        <v>719190</v>
      </c>
      <c r="G268" s="1">
        <v>978706400</v>
      </c>
      <c r="H268" s="1">
        <v>26505727200</v>
      </c>
    </row>
    <row r="269" spans="5:8" x14ac:dyDescent="0.2">
      <c r="E269">
        <v>2011</v>
      </c>
      <c r="F269" s="1">
        <v>730010</v>
      </c>
      <c r="G269" s="1">
        <v>1039666800</v>
      </c>
      <c r="H269" s="1">
        <v>27662020600</v>
      </c>
    </row>
    <row r="270" spans="5:8" x14ac:dyDescent="0.2">
      <c r="E270">
        <v>2012</v>
      </c>
      <c r="F270" s="1">
        <v>741430</v>
      </c>
      <c r="G270" s="1">
        <v>1086980200</v>
      </c>
      <c r="H270" s="1">
        <v>28877943800</v>
      </c>
    </row>
    <row r="271" spans="5:8" x14ac:dyDescent="0.2">
      <c r="E271">
        <v>2013</v>
      </c>
      <c r="F271" s="1">
        <v>752380</v>
      </c>
      <c r="G271" s="1">
        <v>1131172400</v>
      </c>
      <c r="H271" s="1">
        <v>29927224200</v>
      </c>
    </row>
    <row r="272" spans="5:8" x14ac:dyDescent="0.2">
      <c r="E272">
        <v>2014</v>
      </c>
      <c r="F272" s="1">
        <v>762525</v>
      </c>
      <c r="G272" s="1">
        <v>1218793700</v>
      </c>
      <c r="H272" s="1">
        <v>31206906600</v>
      </c>
    </row>
    <row r="273" spans="2:13" x14ac:dyDescent="0.2">
      <c r="E273">
        <v>2015</v>
      </c>
      <c r="F273" s="1">
        <v>771435</v>
      </c>
      <c r="G273" s="1">
        <v>1296617300</v>
      </c>
      <c r="H273" s="1">
        <v>32443142700</v>
      </c>
    </row>
    <row r="274" spans="2:13" x14ac:dyDescent="0.2">
      <c r="E274">
        <v>2016</v>
      </c>
      <c r="F274" s="1">
        <v>780285</v>
      </c>
      <c r="G274" s="1">
        <v>1323652000</v>
      </c>
      <c r="H274" s="1">
        <v>33152064400</v>
      </c>
    </row>
    <row r="275" spans="2:13" x14ac:dyDescent="0.2">
      <c r="E275">
        <v>2017</v>
      </c>
      <c r="F275" s="1">
        <v>795135</v>
      </c>
      <c r="G275" s="1">
        <v>1406605800</v>
      </c>
      <c r="H275" s="1">
        <v>34687010800</v>
      </c>
    </row>
    <row r="276" spans="2:13" x14ac:dyDescent="0.2">
      <c r="E276">
        <v>2018</v>
      </c>
      <c r="F276" s="1">
        <v>811215</v>
      </c>
      <c r="G276" s="1">
        <v>1544968100</v>
      </c>
      <c r="H276" s="1">
        <v>36427622400</v>
      </c>
    </row>
    <row r="277" spans="2:13" x14ac:dyDescent="0.2">
      <c r="E277">
        <v>2019</v>
      </c>
      <c r="F277" s="1">
        <v>824835</v>
      </c>
      <c r="G277" s="1">
        <v>1582741400</v>
      </c>
      <c r="H277" s="1">
        <v>37682915400</v>
      </c>
    </row>
    <row r="278" spans="2:13" x14ac:dyDescent="0.2">
      <c r="E278">
        <v>2020</v>
      </c>
      <c r="F278" s="1">
        <v>830135</v>
      </c>
      <c r="G278" s="1">
        <v>1814201100</v>
      </c>
      <c r="H278" s="1">
        <v>41941713500</v>
      </c>
    </row>
    <row r="279" spans="2:13" x14ac:dyDescent="0.2">
      <c r="E279">
        <v>2021</v>
      </c>
      <c r="F279" s="1">
        <v>843800</v>
      </c>
      <c r="G279" s="1">
        <v>1859623900</v>
      </c>
      <c r="H279" s="1">
        <v>42872704600</v>
      </c>
    </row>
    <row r="280" spans="2:13" x14ac:dyDescent="0.2">
      <c r="E280">
        <v>2022</v>
      </c>
      <c r="F280" s="1">
        <v>869105</v>
      </c>
      <c r="G280" s="1">
        <v>1811300200</v>
      </c>
      <c r="H280" s="1">
        <v>44398521400</v>
      </c>
    </row>
    <row r="281" spans="2:13" x14ac:dyDescent="0.2">
      <c r="B281" t="s">
        <v>17</v>
      </c>
      <c r="C281" t="s">
        <v>30</v>
      </c>
      <c r="D281" t="s">
        <v>32</v>
      </c>
      <c r="E281">
        <v>1992</v>
      </c>
      <c r="F281" s="1">
        <v>568300</v>
      </c>
      <c r="G281" s="1">
        <v>1046133000</v>
      </c>
      <c r="H281" s="1">
        <v>15421876200</v>
      </c>
    </row>
    <row r="282" spans="2:13" x14ac:dyDescent="0.2">
      <c r="E282">
        <v>1993</v>
      </c>
      <c r="F282" s="1">
        <v>582530</v>
      </c>
      <c r="G282" s="1">
        <v>992280400</v>
      </c>
      <c r="H282" s="1">
        <v>15615200400</v>
      </c>
    </row>
    <row r="283" spans="2:13" x14ac:dyDescent="0.2">
      <c r="E283">
        <v>1994</v>
      </c>
      <c r="F283" s="1">
        <v>590725</v>
      </c>
      <c r="G283" s="1">
        <v>1043020000</v>
      </c>
      <c r="H283" s="1">
        <v>16196636300</v>
      </c>
      <c r="M283" s="15"/>
    </row>
    <row r="284" spans="2:13" x14ac:dyDescent="0.2">
      <c r="E284">
        <v>1995</v>
      </c>
      <c r="F284" s="1">
        <v>600415</v>
      </c>
      <c r="G284" s="1">
        <v>1046701900</v>
      </c>
      <c r="H284" s="1">
        <v>16338819400</v>
      </c>
      <c r="M284" s="15"/>
    </row>
    <row r="285" spans="2:13" x14ac:dyDescent="0.2">
      <c r="E285">
        <v>1996</v>
      </c>
      <c r="F285" s="1">
        <v>605715</v>
      </c>
      <c r="G285" s="1">
        <v>1076248300</v>
      </c>
      <c r="H285" s="1">
        <v>16692797100</v>
      </c>
      <c r="M285" s="15"/>
    </row>
    <row r="286" spans="2:13" x14ac:dyDescent="0.2">
      <c r="E286">
        <v>1997</v>
      </c>
      <c r="F286" s="1">
        <v>612575</v>
      </c>
      <c r="G286" s="1">
        <v>1146431700</v>
      </c>
      <c r="H286" s="1">
        <v>17267278600</v>
      </c>
      <c r="M286" s="15"/>
    </row>
    <row r="287" spans="2:13" x14ac:dyDescent="0.2">
      <c r="E287">
        <v>1998</v>
      </c>
      <c r="F287" s="1">
        <v>617235</v>
      </c>
      <c r="G287" s="1">
        <v>1196579500</v>
      </c>
      <c r="H287" s="1">
        <v>17987573600</v>
      </c>
      <c r="M287" s="15"/>
    </row>
    <row r="288" spans="2:13" x14ac:dyDescent="0.2">
      <c r="E288">
        <v>1999</v>
      </c>
      <c r="F288" s="1">
        <v>627435</v>
      </c>
      <c r="G288" s="1">
        <v>1247215600</v>
      </c>
      <c r="H288" s="1">
        <v>18982643500</v>
      </c>
      <c r="M288" s="15"/>
    </row>
    <row r="289" spans="5:13" x14ac:dyDescent="0.2">
      <c r="E289">
        <v>2000</v>
      </c>
      <c r="F289" s="1">
        <v>635655</v>
      </c>
      <c r="G289" s="1">
        <v>1331561700</v>
      </c>
      <c r="H289" s="1">
        <v>20078118200</v>
      </c>
      <c r="M289" s="15"/>
    </row>
    <row r="290" spans="5:13" x14ac:dyDescent="0.2">
      <c r="E290">
        <v>2001</v>
      </c>
      <c r="F290" s="1">
        <v>639475</v>
      </c>
      <c r="G290" s="1">
        <v>1383323800</v>
      </c>
      <c r="H290" s="1">
        <v>21523349900</v>
      </c>
      <c r="M290" s="15"/>
    </row>
    <row r="291" spans="5:13" x14ac:dyDescent="0.2">
      <c r="E291">
        <v>2002</v>
      </c>
      <c r="F291" s="1">
        <v>638485</v>
      </c>
      <c r="G291" s="1">
        <v>1385309200</v>
      </c>
      <c r="H291" s="1">
        <v>21968312300</v>
      </c>
      <c r="M291" s="15"/>
    </row>
    <row r="292" spans="5:13" x14ac:dyDescent="0.2">
      <c r="E292">
        <v>2003</v>
      </c>
      <c r="F292" s="1">
        <v>653225</v>
      </c>
      <c r="G292" s="1">
        <v>1429096300</v>
      </c>
      <c r="H292" s="1">
        <v>22780461800</v>
      </c>
      <c r="M292" s="15"/>
    </row>
    <row r="293" spans="5:13" x14ac:dyDescent="0.2">
      <c r="E293">
        <v>2004</v>
      </c>
      <c r="F293" s="1">
        <v>663165</v>
      </c>
      <c r="G293" s="1">
        <v>1485001400</v>
      </c>
      <c r="H293" s="1">
        <v>23917210800</v>
      </c>
      <c r="M293" s="15"/>
    </row>
    <row r="294" spans="5:13" x14ac:dyDescent="0.2">
      <c r="E294">
        <v>2005</v>
      </c>
      <c r="F294" s="1">
        <v>675870</v>
      </c>
      <c r="G294" s="1">
        <v>1413510000</v>
      </c>
      <c r="H294" s="1">
        <v>25094877200</v>
      </c>
      <c r="M294" s="15"/>
    </row>
    <row r="295" spans="5:13" x14ac:dyDescent="0.2">
      <c r="E295">
        <v>2006</v>
      </c>
      <c r="F295" s="1">
        <v>683270</v>
      </c>
      <c r="G295" s="1">
        <v>1466690100</v>
      </c>
      <c r="H295" s="1">
        <v>26568988800</v>
      </c>
      <c r="M295" s="15"/>
    </row>
    <row r="296" spans="5:13" x14ac:dyDescent="0.2">
      <c r="E296">
        <v>2007</v>
      </c>
      <c r="F296" s="1">
        <v>692705</v>
      </c>
      <c r="G296" s="1">
        <v>1389283000</v>
      </c>
      <c r="H296" s="1">
        <v>28214865500</v>
      </c>
      <c r="M296" s="15"/>
    </row>
    <row r="297" spans="5:13" x14ac:dyDescent="0.2">
      <c r="E297">
        <v>2008</v>
      </c>
      <c r="F297" s="1">
        <v>703160</v>
      </c>
      <c r="G297" s="1">
        <v>1462771600</v>
      </c>
      <c r="H297" s="1">
        <v>29272693600</v>
      </c>
      <c r="M297" s="15"/>
    </row>
    <row r="298" spans="5:13" x14ac:dyDescent="0.2">
      <c r="E298">
        <v>2009</v>
      </c>
      <c r="F298" s="1">
        <v>711925</v>
      </c>
      <c r="G298" s="1">
        <v>1255555000</v>
      </c>
      <c r="H298" s="1">
        <v>29532667500</v>
      </c>
      <c r="M298" s="15"/>
    </row>
    <row r="299" spans="5:13" x14ac:dyDescent="0.2">
      <c r="E299">
        <v>2010</v>
      </c>
      <c r="F299" s="1">
        <v>719285</v>
      </c>
      <c r="G299" s="1">
        <v>1311745700</v>
      </c>
      <c r="H299" s="1">
        <v>30229236000</v>
      </c>
      <c r="M299" s="15"/>
    </row>
    <row r="300" spans="5:13" x14ac:dyDescent="0.2">
      <c r="E300">
        <v>2011</v>
      </c>
      <c r="F300" s="1">
        <v>729950</v>
      </c>
      <c r="G300" s="1">
        <v>1396918200</v>
      </c>
      <c r="H300" s="1">
        <v>31539817900</v>
      </c>
      <c r="M300" s="15"/>
    </row>
    <row r="301" spans="5:13" x14ac:dyDescent="0.2">
      <c r="E301">
        <v>2012</v>
      </c>
      <c r="F301" s="1">
        <v>741475</v>
      </c>
      <c r="G301" s="1">
        <v>1463635000</v>
      </c>
      <c r="H301" s="1">
        <v>32905448500</v>
      </c>
      <c r="M301" s="15"/>
    </row>
    <row r="302" spans="5:13" x14ac:dyDescent="0.2">
      <c r="E302">
        <v>2013</v>
      </c>
      <c r="F302" s="1">
        <v>752465</v>
      </c>
      <c r="G302" s="1">
        <v>1522900300</v>
      </c>
      <c r="H302" s="1">
        <v>34134723500</v>
      </c>
      <c r="M302" s="15"/>
    </row>
    <row r="303" spans="5:13" x14ac:dyDescent="0.2">
      <c r="E303">
        <v>2014</v>
      </c>
      <c r="F303" s="1">
        <v>762660</v>
      </c>
      <c r="G303" s="1">
        <v>1629977100</v>
      </c>
      <c r="H303" s="1">
        <v>35625279800</v>
      </c>
      <c r="M303" s="15"/>
    </row>
    <row r="304" spans="5:13" x14ac:dyDescent="0.2">
      <c r="E304">
        <v>2015</v>
      </c>
      <c r="F304" s="1">
        <v>771455</v>
      </c>
      <c r="G304" s="1">
        <v>1762953500</v>
      </c>
      <c r="H304" s="1">
        <v>36954219000</v>
      </c>
      <c r="M304" s="15"/>
    </row>
    <row r="305" spans="2:13" x14ac:dyDescent="0.2">
      <c r="E305">
        <v>2016</v>
      </c>
      <c r="F305" s="1">
        <v>780365</v>
      </c>
      <c r="G305" s="1">
        <v>1771743200</v>
      </c>
      <c r="H305" s="1">
        <v>37798638900</v>
      </c>
      <c r="M305" s="15"/>
    </row>
    <row r="306" spans="2:13" x14ac:dyDescent="0.2">
      <c r="E306">
        <v>2017</v>
      </c>
      <c r="F306" s="1">
        <v>795135</v>
      </c>
      <c r="G306" s="1">
        <v>1882549000</v>
      </c>
      <c r="H306" s="1">
        <v>39569795100</v>
      </c>
      <c r="M306" s="15"/>
    </row>
    <row r="307" spans="2:13" x14ac:dyDescent="0.2">
      <c r="E307">
        <v>2018</v>
      </c>
      <c r="F307" s="1">
        <v>811205</v>
      </c>
      <c r="G307" s="1">
        <v>2043113300</v>
      </c>
      <c r="H307" s="1">
        <v>41543091400</v>
      </c>
      <c r="M307" s="15"/>
    </row>
    <row r="308" spans="2:13" x14ac:dyDescent="0.2">
      <c r="E308">
        <v>2019</v>
      </c>
      <c r="F308" s="1">
        <v>824940</v>
      </c>
      <c r="G308" s="1">
        <v>2097926900</v>
      </c>
      <c r="H308" s="1">
        <v>42949060000</v>
      </c>
      <c r="M308" s="15"/>
    </row>
    <row r="309" spans="2:13" x14ac:dyDescent="0.2">
      <c r="E309">
        <v>2020</v>
      </c>
      <c r="F309" s="1">
        <v>830215</v>
      </c>
      <c r="G309" s="1">
        <v>2347059900</v>
      </c>
      <c r="H309" s="1">
        <v>47443007900</v>
      </c>
      <c r="M309" s="15"/>
    </row>
    <row r="310" spans="2:13" x14ac:dyDescent="0.2">
      <c r="E310">
        <v>2021</v>
      </c>
      <c r="F310" s="1">
        <v>843730</v>
      </c>
      <c r="G310" s="1">
        <v>2449969300</v>
      </c>
      <c r="H310" s="1">
        <v>48757702600</v>
      </c>
      <c r="M310" s="15"/>
    </row>
    <row r="311" spans="2:13" x14ac:dyDescent="0.2">
      <c r="E311">
        <v>2022</v>
      </c>
      <c r="F311" s="1">
        <v>869225</v>
      </c>
      <c r="G311" s="1">
        <v>2431130900</v>
      </c>
      <c r="H311" s="1">
        <v>50639609700</v>
      </c>
      <c r="M311" s="15"/>
    </row>
    <row r="312" spans="2:13" x14ac:dyDescent="0.2">
      <c r="B312" t="s">
        <v>18</v>
      </c>
      <c r="C312" t="s">
        <v>30</v>
      </c>
      <c r="D312" t="s">
        <v>32</v>
      </c>
      <c r="E312">
        <v>1992</v>
      </c>
      <c r="F312" s="1">
        <v>568260</v>
      </c>
      <c r="G312" s="1">
        <v>1324590600</v>
      </c>
      <c r="H312" s="1">
        <v>17423553100</v>
      </c>
      <c r="M312" s="15"/>
    </row>
    <row r="313" spans="2:13" x14ac:dyDescent="0.2">
      <c r="E313">
        <v>1993</v>
      </c>
      <c r="F313" s="1">
        <v>582675</v>
      </c>
      <c r="G313" s="1">
        <v>1281303400</v>
      </c>
      <c r="H313" s="1">
        <v>17706857000</v>
      </c>
      <c r="M313" s="15"/>
    </row>
    <row r="314" spans="2:13" x14ac:dyDescent="0.2">
      <c r="E314">
        <v>1994</v>
      </c>
      <c r="F314" s="1">
        <v>590855</v>
      </c>
      <c r="G314" s="1">
        <v>1360048600</v>
      </c>
      <c r="H314" s="1">
        <v>18445287300</v>
      </c>
      <c r="M314" s="15"/>
    </row>
    <row r="315" spans="2:13" x14ac:dyDescent="0.2">
      <c r="E315">
        <v>1995</v>
      </c>
      <c r="F315" s="1">
        <v>600375</v>
      </c>
      <c r="G315" s="1">
        <v>1363614700</v>
      </c>
      <c r="H315" s="1">
        <v>18538604100</v>
      </c>
      <c r="M315" s="15"/>
    </row>
    <row r="316" spans="2:13" x14ac:dyDescent="0.2">
      <c r="E316">
        <v>1996</v>
      </c>
      <c r="F316" s="1">
        <v>605845</v>
      </c>
      <c r="G316" s="1">
        <v>1409527500</v>
      </c>
      <c r="H316" s="1">
        <v>18963531200</v>
      </c>
      <c r="M316" s="15"/>
    </row>
    <row r="317" spans="2:13" x14ac:dyDescent="0.2">
      <c r="E317">
        <v>1997</v>
      </c>
      <c r="F317" s="1">
        <v>612770</v>
      </c>
      <c r="G317" s="1">
        <v>1487231800</v>
      </c>
      <c r="H317" s="1">
        <v>19608052500</v>
      </c>
      <c r="M317" s="15"/>
    </row>
    <row r="318" spans="2:13" x14ac:dyDescent="0.2">
      <c r="E318">
        <v>1998</v>
      </c>
      <c r="F318" s="1">
        <v>617340</v>
      </c>
      <c r="G318" s="1">
        <v>1549784300</v>
      </c>
      <c r="H318" s="1">
        <v>20347042500</v>
      </c>
      <c r="M318" s="15"/>
    </row>
    <row r="319" spans="2:13" x14ac:dyDescent="0.2">
      <c r="E319">
        <v>1999</v>
      </c>
      <c r="F319" s="1">
        <v>627285</v>
      </c>
      <c r="G319" s="1">
        <v>1624226200</v>
      </c>
      <c r="H319" s="1">
        <v>21474886500</v>
      </c>
      <c r="M319" s="15"/>
    </row>
    <row r="320" spans="2:13" x14ac:dyDescent="0.2">
      <c r="E320">
        <v>2000</v>
      </c>
      <c r="F320" s="1">
        <v>635755</v>
      </c>
      <c r="G320" s="1">
        <v>1734772100</v>
      </c>
      <c r="H320" s="1">
        <v>22770431600</v>
      </c>
      <c r="M320" s="15"/>
    </row>
    <row r="321" spans="5:13" x14ac:dyDescent="0.2">
      <c r="E321">
        <v>2001</v>
      </c>
      <c r="F321" s="1">
        <v>639475</v>
      </c>
      <c r="G321" s="1">
        <v>1771633800</v>
      </c>
      <c r="H321" s="1">
        <v>24301420100</v>
      </c>
      <c r="M321" s="15"/>
    </row>
    <row r="322" spans="5:13" x14ac:dyDescent="0.2">
      <c r="E322">
        <v>2002</v>
      </c>
      <c r="F322" s="1">
        <v>638475</v>
      </c>
      <c r="G322" s="1">
        <v>1782122300</v>
      </c>
      <c r="H322" s="1">
        <v>24854211100</v>
      </c>
      <c r="M322" s="15"/>
    </row>
    <row r="323" spans="5:13" x14ac:dyDescent="0.2">
      <c r="E323">
        <v>2003</v>
      </c>
      <c r="F323" s="1">
        <v>653240</v>
      </c>
      <c r="G323" s="1">
        <v>1846508600</v>
      </c>
      <c r="H323" s="1">
        <v>25792563800</v>
      </c>
      <c r="M323" s="15"/>
    </row>
    <row r="324" spans="5:13" x14ac:dyDescent="0.2">
      <c r="E324">
        <v>2004</v>
      </c>
      <c r="F324" s="1">
        <v>663155</v>
      </c>
      <c r="G324" s="1">
        <v>1908439700</v>
      </c>
      <c r="H324" s="1">
        <v>27113023800</v>
      </c>
      <c r="M324" s="15"/>
    </row>
    <row r="325" spans="5:13" x14ac:dyDescent="0.2">
      <c r="E325">
        <v>2005</v>
      </c>
      <c r="F325" s="1">
        <v>675875</v>
      </c>
      <c r="G325" s="1">
        <v>1840762000</v>
      </c>
      <c r="H325" s="1">
        <v>28481611500</v>
      </c>
      <c r="M325" s="15"/>
    </row>
    <row r="326" spans="5:13" x14ac:dyDescent="0.2">
      <c r="E326">
        <v>2006</v>
      </c>
      <c r="F326" s="1">
        <v>683290</v>
      </c>
      <c r="G326" s="1">
        <v>1928061300</v>
      </c>
      <c r="H326" s="1">
        <v>30138696100</v>
      </c>
      <c r="M326" s="15"/>
    </row>
    <row r="327" spans="5:13" x14ac:dyDescent="0.2">
      <c r="E327">
        <v>2007</v>
      </c>
      <c r="F327" s="1">
        <v>692690</v>
      </c>
      <c r="G327" s="1">
        <v>1834469400</v>
      </c>
      <c r="H327" s="1">
        <v>31994890900</v>
      </c>
      <c r="M327" s="15"/>
    </row>
    <row r="328" spans="5:13" x14ac:dyDescent="0.2">
      <c r="E328">
        <v>2008</v>
      </c>
      <c r="F328" s="1">
        <v>703055</v>
      </c>
      <c r="G328" s="1">
        <v>1937089800</v>
      </c>
      <c r="H328" s="1">
        <v>33170073200</v>
      </c>
      <c r="M328" s="15"/>
    </row>
    <row r="329" spans="5:13" x14ac:dyDescent="0.2">
      <c r="E329">
        <v>2009</v>
      </c>
      <c r="F329" s="1">
        <v>711775</v>
      </c>
      <c r="G329" s="1">
        <v>1666074400</v>
      </c>
      <c r="H329" s="1">
        <v>33429529100</v>
      </c>
      <c r="M329" s="15"/>
    </row>
    <row r="330" spans="5:13" x14ac:dyDescent="0.2">
      <c r="E330">
        <v>2010</v>
      </c>
      <c r="F330" s="1">
        <v>719365</v>
      </c>
      <c r="G330" s="1">
        <v>1765034500</v>
      </c>
      <c r="H330" s="1">
        <v>34296653200</v>
      </c>
      <c r="M330" s="15"/>
    </row>
    <row r="331" spans="5:13" x14ac:dyDescent="0.2">
      <c r="E331">
        <v>2011</v>
      </c>
      <c r="F331" s="1">
        <v>730025</v>
      </c>
      <c r="G331" s="1">
        <v>1888372800</v>
      </c>
      <c r="H331" s="1">
        <v>35819030400</v>
      </c>
      <c r="M331" s="15"/>
    </row>
    <row r="332" spans="5:13" x14ac:dyDescent="0.2">
      <c r="E332">
        <v>2012</v>
      </c>
      <c r="F332" s="1">
        <v>741515</v>
      </c>
      <c r="G332" s="1">
        <v>1971503300</v>
      </c>
      <c r="H332" s="1">
        <v>37335908400</v>
      </c>
      <c r="M332" s="15"/>
    </row>
    <row r="333" spans="5:13" x14ac:dyDescent="0.2">
      <c r="E333">
        <v>2013</v>
      </c>
      <c r="F333" s="1">
        <v>752485</v>
      </c>
      <c r="G333" s="1">
        <v>2055161700</v>
      </c>
      <c r="H333" s="1">
        <v>38765394300</v>
      </c>
      <c r="M333" s="15"/>
    </row>
    <row r="334" spans="5:13" x14ac:dyDescent="0.2">
      <c r="E334">
        <v>2014</v>
      </c>
      <c r="F334" s="1">
        <v>762660</v>
      </c>
      <c r="G334" s="1">
        <v>2203690300</v>
      </c>
      <c r="H334" s="1">
        <v>40484666300</v>
      </c>
      <c r="M334" s="15"/>
    </row>
    <row r="335" spans="5:13" x14ac:dyDescent="0.2">
      <c r="E335">
        <v>2015</v>
      </c>
      <c r="F335" s="1">
        <v>771455</v>
      </c>
      <c r="G335" s="1">
        <v>2363259900</v>
      </c>
      <c r="H335" s="1">
        <v>41950855200</v>
      </c>
      <c r="M335" s="15"/>
    </row>
    <row r="336" spans="5:13" x14ac:dyDescent="0.2">
      <c r="E336">
        <v>2016</v>
      </c>
      <c r="F336" s="1">
        <v>780290</v>
      </c>
      <c r="G336" s="1">
        <v>2339552100</v>
      </c>
      <c r="H336" s="1">
        <v>42877242800</v>
      </c>
      <c r="M336" s="15"/>
    </row>
    <row r="337" spans="2:13" x14ac:dyDescent="0.2">
      <c r="E337">
        <v>2017</v>
      </c>
      <c r="F337" s="1">
        <v>795165</v>
      </c>
      <c r="G337" s="1">
        <v>2485729500</v>
      </c>
      <c r="H337" s="1">
        <v>44973354900</v>
      </c>
      <c r="M337" s="15"/>
    </row>
    <row r="338" spans="2:13" x14ac:dyDescent="0.2">
      <c r="E338">
        <v>2018</v>
      </c>
      <c r="F338" s="1">
        <v>811150</v>
      </c>
      <c r="G338" s="1">
        <v>2682763300</v>
      </c>
      <c r="H338" s="1">
        <v>47190039400</v>
      </c>
      <c r="M338" s="15"/>
    </row>
    <row r="339" spans="2:13" x14ac:dyDescent="0.2">
      <c r="E339">
        <v>2019</v>
      </c>
      <c r="F339" s="1">
        <v>824960</v>
      </c>
      <c r="G339" s="1">
        <v>2748529500</v>
      </c>
      <c r="H339" s="1">
        <v>48796711500</v>
      </c>
      <c r="M339" s="15"/>
    </row>
    <row r="340" spans="2:13" x14ac:dyDescent="0.2">
      <c r="E340">
        <v>2020</v>
      </c>
      <c r="F340" s="1">
        <v>830100</v>
      </c>
      <c r="G340" s="1">
        <v>3011153800</v>
      </c>
      <c r="H340" s="1">
        <v>53414438700</v>
      </c>
      <c r="M340" s="15"/>
    </row>
    <row r="341" spans="2:13" x14ac:dyDescent="0.2">
      <c r="E341">
        <v>2021</v>
      </c>
      <c r="F341" s="1">
        <v>843730</v>
      </c>
      <c r="G341" s="1">
        <v>3157133600</v>
      </c>
      <c r="H341" s="1">
        <v>55208205500</v>
      </c>
      <c r="M341" s="15"/>
    </row>
    <row r="342" spans="2:13" x14ac:dyDescent="0.2">
      <c r="E342">
        <v>2022</v>
      </c>
      <c r="F342" s="1">
        <v>869140</v>
      </c>
      <c r="G342" s="1">
        <v>3209089800</v>
      </c>
      <c r="H342" s="1">
        <v>57462406400</v>
      </c>
      <c r="M342" s="15"/>
    </row>
    <row r="343" spans="2:13" x14ac:dyDescent="0.2">
      <c r="B343" t="s">
        <v>19</v>
      </c>
      <c r="C343" t="s">
        <v>30</v>
      </c>
      <c r="D343" t="s">
        <v>32</v>
      </c>
      <c r="E343">
        <v>1992</v>
      </c>
      <c r="F343" s="1">
        <v>568430</v>
      </c>
      <c r="G343" s="1">
        <v>1660661700</v>
      </c>
      <c r="H343" s="1">
        <v>19556071000</v>
      </c>
      <c r="M343" s="15"/>
    </row>
    <row r="344" spans="2:13" x14ac:dyDescent="0.2">
      <c r="E344">
        <v>1993</v>
      </c>
      <c r="F344" s="1">
        <v>582580</v>
      </c>
      <c r="G344" s="1">
        <v>1616166000</v>
      </c>
      <c r="H344" s="1">
        <v>19937221800</v>
      </c>
      <c r="M344" s="15"/>
    </row>
    <row r="345" spans="2:13" x14ac:dyDescent="0.2">
      <c r="E345">
        <v>1994</v>
      </c>
      <c r="F345" s="1">
        <v>590710</v>
      </c>
      <c r="G345" s="1">
        <v>1733109800</v>
      </c>
      <c r="H345" s="1">
        <v>20866401500</v>
      </c>
      <c r="M345" s="15"/>
    </row>
    <row r="346" spans="2:13" x14ac:dyDescent="0.2">
      <c r="E346">
        <v>1995</v>
      </c>
      <c r="F346" s="1">
        <v>600435</v>
      </c>
      <c r="G346" s="1">
        <v>1732334900</v>
      </c>
      <c r="H346" s="1">
        <v>20891679000</v>
      </c>
      <c r="M346" s="15"/>
    </row>
    <row r="347" spans="2:13" x14ac:dyDescent="0.2">
      <c r="E347">
        <v>1996</v>
      </c>
      <c r="F347" s="1">
        <v>605720</v>
      </c>
      <c r="G347" s="1">
        <v>1784752300</v>
      </c>
      <c r="H347" s="1">
        <v>21394791800</v>
      </c>
      <c r="M347" s="15"/>
    </row>
    <row r="348" spans="2:13" x14ac:dyDescent="0.2">
      <c r="E348">
        <v>1997</v>
      </c>
      <c r="F348" s="1">
        <v>612710</v>
      </c>
      <c r="G348" s="1">
        <v>1893677900</v>
      </c>
      <c r="H348" s="1">
        <v>22125156500</v>
      </c>
      <c r="M348" s="15"/>
    </row>
    <row r="349" spans="2:13" x14ac:dyDescent="0.2">
      <c r="E349">
        <v>1998</v>
      </c>
      <c r="F349" s="1">
        <v>617165</v>
      </c>
      <c r="G349" s="1">
        <v>1977887300</v>
      </c>
      <c r="H349" s="1">
        <v>22924422600</v>
      </c>
      <c r="M349" s="15"/>
    </row>
    <row r="350" spans="2:13" x14ac:dyDescent="0.2">
      <c r="E350">
        <v>1999</v>
      </c>
      <c r="F350" s="1">
        <v>627395</v>
      </c>
      <c r="G350" s="1">
        <v>2071023700</v>
      </c>
      <c r="H350" s="1">
        <v>24217785300</v>
      </c>
      <c r="M350" s="15"/>
    </row>
    <row r="351" spans="2:13" x14ac:dyDescent="0.2">
      <c r="E351">
        <v>2000</v>
      </c>
      <c r="F351" s="1">
        <v>635735</v>
      </c>
      <c r="G351" s="1">
        <v>2196517900</v>
      </c>
      <c r="H351" s="1">
        <v>25723533500</v>
      </c>
      <c r="M351" s="15"/>
    </row>
    <row r="352" spans="2:13" x14ac:dyDescent="0.2">
      <c r="E352">
        <v>2001</v>
      </c>
      <c r="F352" s="1">
        <v>639380</v>
      </c>
      <c r="G352" s="1">
        <v>2199111100</v>
      </c>
      <c r="H352" s="1">
        <v>27322889100</v>
      </c>
      <c r="M352" s="15"/>
    </row>
    <row r="353" spans="5:13" x14ac:dyDescent="0.2">
      <c r="E353">
        <v>2002</v>
      </c>
      <c r="F353" s="1">
        <v>638495</v>
      </c>
      <c r="G353" s="1">
        <v>2227770500</v>
      </c>
      <c r="H353" s="1">
        <v>27998543200</v>
      </c>
      <c r="M353" s="15"/>
    </row>
    <row r="354" spans="5:13" x14ac:dyDescent="0.2">
      <c r="E354">
        <v>2003</v>
      </c>
      <c r="F354" s="1">
        <v>653095</v>
      </c>
      <c r="G354" s="1">
        <v>2311434500</v>
      </c>
      <c r="H354" s="1">
        <v>29079163600</v>
      </c>
      <c r="M354" s="15"/>
    </row>
    <row r="355" spans="5:13" x14ac:dyDescent="0.2">
      <c r="E355">
        <v>2004</v>
      </c>
      <c r="F355" s="1">
        <v>663050</v>
      </c>
      <c r="G355" s="1">
        <v>2388574000</v>
      </c>
      <c r="H355" s="1">
        <v>30587654000</v>
      </c>
      <c r="M355" s="15"/>
    </row>
    <row r="356" spans="5:13" x14ac:dyDescent="0.2">
      <c r="E356">
        <v>2005</v>
      </c>
      <c r="F356" s="1">
        <v>675905</v>
      </c>
      <c r="G356" s="1">
        <v>2331724400</v>
      </c>
      <c r="H356" s="1">
        <v>32167633700</v>
      </c>
      <c r="M356" s="15"/>
    </row>
    <row r="357" spans="5:13" x14ac:dyDescent="0.2">
      <c r="E357">
        <v>2006</v>
      </c>
      <c r="F357" s="1">
        <v>683145</v>
      </c>
      <c r="G357" s="1">
        <v>2458475000</v>
      </c>
      <c r="H357" s="1">
        <v>34040697400</v>
      </c>
      <c r="M357" s="15"/>
    </row>
    <row r="358" spans="5:13" x14ac:dyDescent="0.2">
      <c r="E358">
        <v>2007</v>
      </c>
      <c r="F358" s="1">
        <v>692660</v>
      </c>
      <c r="G358" s="1">
        <v>2367980900</v>
      </c>
      <c r="H358" s="1">
        <v>36126825700</v>
      </c>
      <c r="M358" s="15"/>
    </row>
    <row r="359" spans="5:13" x14ac:dyDescent="0.2">
      <c r="E359">
        <v>2008</v>
      </c>
      <c r="F359" s="1">
        <v>702995</v>
      </c>
      <c r="G359" s="1">
        <v>2496602800</v>
      </c>
      <c r="H359" s="1">
        <v>37443768900</v>
      </c>
      <c r="M359" s="15"/>
    </row>
    <row r="360" spans="5:13" x14ac:dyDescent="0.2">
      <c r="E360">
        <v>2009</v>
      </c>
      <c r="F360" s="1">
        <v>711880</v>
      </c>
      <c r="G360" s="1">
        <v>2182831900</v>
      </c>
      <c r="H360" s="1">
        <v>37721909900</v>
      </c>
      <c r="M360" s="15"/>
    </row>
    <row r="361" spans="5:13" x14ac:dyDescent="0.2">
      <c r="E361">
        <v>2010</v>
      </c>
      <c r="F361" s="1">
        <v>719230</v>
      </c>
      <c r="G361" s="1">
        <v>2313887300</v>
      </c>
      <c r="H361" s="1">
        <v>38752058600</v>
      </c>
      <c r="M361" s="15"/>
    </row>
    <row r="362" spans="5:13" x14ac:dyDescent="0.2">
      <c r="E362">
        <v>2011</v>
      </c>
      <c r="F362" s="1">
        <v>730020</v>
      </c>
      <c r="G362" s="1">
        <v>2482197900</v>
      </c>
      <c r="H362" s="1">
        <v>40514892700</v>
      </c>
      <c r="M362" s="15"/>
    </row>
    <row r="363" spans="5:13" x14ac:dyDescent="0.2">
      <c r="E363">
        <v>2012</v>
      </c>
      <c r="F363" s="1">
        <v>741455</v>
      </c>
      <c r="G363" s="1">
        <v>2587357200</v>
      </c>
      <c r="H363" s="1">
        <v>42219984700</v>
      </c>
      <c r="M363" s="15"/>
    </row>
    <row r="364" spans="5:13" x14ac:dyDescent="0.2">
      <c r="E364">
        <v>2013</v>
      </c>
      <c r="F364" s="1">
        <v>752395</v>
      </c>
      <c r="G364" s="1">
        <v>2696317000</v>
      </c>
      <c r="H364" s="1">
        <v>43892400300</v>
      </c>
      <c r="M364" s="15"/>
    </row>
    <row r="365" spans="5:13" x14ac:dyDescent="0.2">
      <c r="E365">
        <v>2014</v>
      </c>
      <c r="F365" s="1">
        <v>762565</v>
      </c>
      <c r="G365" s="1">
        <v>2870168300</v>
      </c>
      <c r="H365" s="1">
        <v>45844694500</v>
      </c>
      <c r="M365" s="15"/>
    </row>
    <row r="366" spans="5:13" x14ac:dyDescent="0.2">
      <c r="E366">
        <v>2015</v>
      </c>
      <c r="F366" s="1">
        <v>771460</v>
      </c>
      <c r="G366" s="1">
        <v>3069320000</v>
      </c>
      <c r="H366" s="1">
        <v>47447922800</v>
      </c>
      <c r="M366" s="15"/>
    </row>
    <row r="367" spans="5:13" x14ac:dyDescent="0.2">
      <c r="E367">
        <v>2016</v>
      </c>
      <c r="F367" s="1">
        <v>780305</v>
      </c>
      <c r="G367" s="1">
        <v>3021877300</v>
      </c>
      <c r="H367" s="1">
        <v>48463431200</v>
      </c>
      <c r="M367" s="15"/>
    </row>
    <row r="368" spans="5:13" x14ac:dyDescent="0.2">
      <c r="E368">
        <v>2017</v>
      </c>
      <c r="F368" s="1">
        <v>795215</v>
      </c>
      <c r="G368" s="1">
        <v>3199283300</v>
      </c>
      <c r="H368" s="1">
        <v>50900891300</v>
      </c>
      <c r="M368" s="15"/>
    </row>
    <row r="369" spans="2:13" x14ac:dyDescent="0.2">
      <c r="E369">
        <v>2018</v>
      </c>
      <c r="F369" s="1">
        <v>811225</v>
      </c>
      <c r="G369" s="1">
        <v>3443260600</v>
      </c>
      <c r="H369" s="1">
        <v>53388900500</v>
      </c>
      <c r="M369" s="15"/>
    </row>
    <row r="370" spans="2:13" x14ac:dyDescent="0.2">
      <c r="E370">
        <v>2019</v>
      </c>
      <c r="F370" s="1">
        <v>824945</v>
      </c>
      <c r="G370" s="1">
        <v>3528983500</v>
      </c>
      <c r="H370" s="1">
        <v>55225382700</v>
      </c>
      <c r="M370" s="15"/>
    </row>
    <row r="371" spans="2:13" x14ac:dyDescent="0.2">
      <c r="E371">
        <v>2020</v>
      </c>
      <c r="F371" s="1">
        <v>830100</v>
      </c>
      <c r="G371" s="1">
        <v>3770229400</v>
      </c>
      <c r="H371" s="1">
        <v>59933902300</v>
      </c>
      <c r="M371" s="15"/>
    </row>
    <row r="372" spans="2:13" x14ac:dyDescent="0.2">
      <c r="E372">
        <v>2021</v>
      </c>
      <c r="F372" s="1">
        <v>843800</v>
      </c>
      <c r="G372" s="1">
        <v>4002092600</v>
      </c>
      <c r="H372" s="1">
        <v>62295739900</v>
      </c>
      <c r="M372" s="15"/>
    </row>
    <row r="373" spans="2:13" x14ac:dyDescent="0.2">
      <c r="E373">
        <v>2022</v>
      </c>
      <c r="F373" s="1">
        <v>869215</v>
      </c>
      <c r="G373" s="1">
        <v>4118298300</v>
      </c>
      <c r="H373" s="1">
        <v>65002906700</v>
      </c>
      <c r="M373" s="15"/>
    </row>
    <row r="374" spans="2:13" x14ac:dyDescent="0.2">
      <c r="B374" t="s">
        <v>20</v>
      </c>
      <c r="C374" t="s">
        <v>30</v>
      </c>
      <c r="D374" t="s">
        <v>32</v>
      </c>
      <c r="E374">
        <v>1992</v>
      </c>
      <c r="F374" s="1">
        <v>568375</v>
      </c>
      <c r="G374" s="1">
        <v>2046136900</v>
      </c>
      <c r="H374" s="1">
        <v>21853255000</v>
      </c>
      <c r="M374" s="15"/>
    </row>
    <row r="375" spans="2:13" x14ac:dyDescent="0.2">
      <c r="E375">
        <v>1993</v>
      </c>
      <c r="F375" s="1">
        <v>582575</v>
      </c>
      <c r="G375" s="1">
        <v>2013500000</v>
      </c>
      <c r="H375" s="1">
        <v>22353156700</v>
      </c>
      <c r="M375" s="15"/>
    </row>
    <row r="376" spans="2:13" x14ac:dyDescent="0.2">
      <c r="E376">
        <v>1994</v>
      </c>
      <c r="F376" s="1">
        <v>590760</v>
      </c>
      <c r="G376" s="1">
        <v>2148678400</v>
      </c>
      <c r="H376" s="1">
        <v>23509961200</v>
      </c>
      <c r="M376" s="15"/>
    </row>
    <row r="377" spans="2:13" x14ac:dyDescent="0.2">
      <c r="E377">
        <v>1995</v>
      </c>
      <c r="F377" s="1">
        <v>600405</v>
      </c>
      <c r="G377" s="1">
        <v>2149544700</v>
      </c>
      <c r="H377" s="1">
        <v>23442903300</v>
      </c>
      <c r="M377" s="15"/>
    </row>
    <row r="378" spans="2:13" x14ac:dyDescent="0.2">
      <c r="E378">
        <v>1996</v>
      </c>
      <c r="F378" s="1">
        <v>605860</v>
      </c>
      <c r="G378" s="1">
        <v>2216251800</v>
      </c>
      <c r="H378" s="1">
        <v>24037618400</v>
      </c>
      <c r="M378" s="15"/>
    </row>
    <row r="379" spans="2:13" x14ac:dyDescent="0.2">
      <c r="E379">
        <v>1997</v>
      </c>
      <c r="F379" s="1">
        <v>612745</v>
      </c>
      <c r="G379" s="1">
        <v>2340549400</v>
      </c>
      <c r="H379" s="1">
        <v>24875488500</v>
      </c>
      <c r="M379" s="15"/>
    </row>
    <row r="380" spans="2:13" x14ac:dyDescent="0.2">
      <c r="E380">
        <v>1998</v>
      </c>
      <c r="F380" s="1">
        <v>617310</v>
      </c>
      <c r="G380" s="1">
        <v>2441626600</v>
      </c>
      <c r="H380" s="1">
        <v>25752237200</v>
      </c>
      <c r="M380" s="15"/>
    </row>
    <row r="381" spans="2:13" x14ac:dyDescent="0.2">
      <c r="E381">
        <v>1999</v>
      </c>
      <c r="F381" s="1">
        <v>627300</v>
      </c>
      <c r="G381" s="1">
        <v>2559697200</v>
      </c>
      <c r="H381" s="1">
        <v>27191237600</v>
      </c>
      <c r="M381" s="15"/>
    </row>
    <row r="382" spans="2:13" x14ac:dyDescent="0.2">
      <c r="E382">
        <v>2000</v>
      </c>
      <c r="F382" s="1">
        <v>635785</v>
      </c>
      <c r="G382" s="1">
        <v>2711185800</v>
      </c>
      <c r="H382" s="1">
        <v>28949055300</v>
      </c>
      <c r="M382" s="15"/>
    </row>
    <row r="383" spans="2:13" x14ac:dyDescent="0.2">
      <c r="E383">
        <v>2001</v>
      </c>
      <c r="F383" s="1">
        <v>639475</v>
      </c>
      <c r="G383" s="1">
        <v>2672686700</v>
      </c>
      <c r="H383" s="1">
        <v>30653259100</v>
      </c>
      <c r="M383" s="15"/>
    </row>
    <row r="384" spans="2:13" x14ac:dyDescent="0.2">
      <c r="E384">
        <v>2002</v>
      </c>
      <c r="F384" s="1">
        <v>638480</v>
      </c>
      <c r="G384" s="1">
        <v>2716177100</v>
      </c>
      <c r="H384" s="1">
        <v>31435262400</v>
      </c>
      <c r="M384" s="15"/>
    </row>
    <row r="385" spans="5:13" x14ac:dyDescent="0.2">
      <c r="E385">
        <v>2003</v>
      </c>
      <c r="F385" s="1">
        <v>653190</v>
      </c>
      <c r="G385" s="1">
        <v>2831716400</v>
      </c>
      <c r="H385" s="1">
        <v>32679798300</v>
      </c>
      <c r="M385" s="15"/>
    </row>
    <row r="386" spans="5:13" x14ac:dyDescent="0.2">
      <c r="E386">
        <v>2004</v>
      </c>
      <c r="F386" s="1">
        <v>663120</v>
      </c>
      <c r="G386" s="1">
        <v>2924549800</v>
      </c>
      <c r="H386" s="1">
        <v>34404939300</v>
      </c>
      <c r="M386" s="15"/>
    </row>
    <row r="387" spans="5:13" x14ac:dyDescent="0.2">
      <c r="E387">
        <v>2005</v>
      </c>
      <c r="F387" s="1">
        <v>675810</v>
      </c>
      <c r="G387" s="1">
        <v>2878331600</v>
      </c>
      <c r="H387" s="1">
        <v>36216029000</v>
      </c>
      <c r="M387" s="15"/>
    </row>
    <row r="388" spans="5:13" x14ac:dyDescent="0.2">
      <c r="E388">
        <v>2006</v>
      </c>
      <c r="F388" s="1">
        <v>683250</v>
      </c>
      <c r="G388" s="1">
        <v>3031704100</v>
      </c>
      <c r="H388" s="1">
        <v>38333524100</v>
      </c>
      <c r="M388" s="15"/>
    </row>
    <row r="389" spans="5:13" x14ac:dyDescent="0.2">
      <c r="E389">
        <v>2007</v>
      </c>
      <c r="F389" s="1">
        <v>692680</v>
      </c>
      <c r="G389" s="1">
        <v>2943446800</v>
      </c>
      <c r="H389" s="1">
        <v>40683279100</v>
      </c>
      <c r="M389" s="15"/>
    </row>
    <row r="390" spans="5:13" x14ac:dyDescent="0.2">
      <c r="E390">
        <v>2008</v>
      </c>
      <c r="F390" s="1">
        <v>703100</v>
      </c>
      <c r="G390" s="1">
        <v>3094723400</v>
      </c>
      <c r="H390" s="1">
        <v>42181064200</v>
      </c>
      <c r="M390" s="15"/>
    </row>
    <row r="391" spans="5:13" x14ac:dyDescent="0.2">
      <c r="E391">
        <v>2009</v>
      </c>
      <c r="F391" s="1">
        <v>711855</v>
      </c>
      <c r="G391" s="1">
        <v>2764409800</v>
      </c>
      <c r="H391" s="1">
        <v>42454204200</v>
      </c>
      <c r="M391" s="15"/>
    </row>
    <row r="392" spans="5:13" x14ac:dyDescent="0.2">
      <c r="E392">
        <v>2010</v>
      </c>
      <c r="F392" s="1">
        <v>719330</v>
      </c>
      <c r="G392" s="1">
        <v>2937846200</v>
      </c>
      <c r="H392" s="1">
        <v>43684948900</v>
      </c>
      <c r="M392" s="15"/>
    </row>
    <row r="393" spans="5:13" x14ac:dyDescent="0.2">
      <c r="E393">
        <v>2011</v>
      </c>
      <c r="F393" s="1">
        <v>729970</v>
      </c>
      <c r="G393" s="1">
        <v>3139357600</v>
      </c>
      <c r="H393" s="1">
        <v>45692602400</v>
      </c>
      <c r="M393" s="15"/>
    </row>
    <row r="394" spans="5:13" x14ac:dyDescent="0.2">
      <c r="E394">
        <v>2012</v>
      </c>
      <c r="F394" s="1">
        <v>741510</v>
      </c>
      <c r="G394" s="1">
        <v>3283437800</v>
      </c>
      <c r="H394" s="1">
        <v>47625903300</v>
      </c>
      <c r="M394" s="15"/>
    </row>
    <row r="395" spans="5:13" x14ac:dyDescent="0.2">
      <c r="E395">
        <v>2013</v>
      </c>
      <c r="F395" s="1">
        <v>752485</v>
      </c>
      <c r="G395" s="1">
        <v>3436122500</v>
      </c>
      <c r="H395" s="1">
        <v>49562870400</v>
      </c>
      <c r="M395" s="15"/>
    </row>
    <row r="396" spans="5:13" x14ac:dyDescent="0.2">
      <c r="E396">
        <v>2014</v>
      </c>
      <c r="F396" s="1">
        <v>762570</v>
      </c>
      <c r="G396" s="1">
        <v>3632610200</v>
      </c>
      <c r="H396" s="1">
        <v>51786558300</v>
      </c>
      <c r="M396" s="15"/>
    </row>
    <row r="397" spans="5:13" x14ac:dyDescent="0.2">
      <c r="E397">
        <v>2015</v>
      </c>
      <c r="F397" s="1">
        <v>771405</v>
      </c>
      <c r="G397" s="1">
        <v>3840744200</v>
      </c>
      <c r="H397" s="1">
        <v>53519672000</v>
      </c>
      <c r="M397" s="15"/>
    </row>
    <row r="398" spans="5:13" x14ac:dyDescent="0.2">
      <c r="E398">
        <v>2016</v>
      </c>
      <c r="F398" s="1">
        <v>780285</v>
      </c>
      <c r="G398" s="1">
        <v>3795398200</v>
      </c>
      <c r="H398" s="1">
        <v>54630015200</v>
      </c>
      <c r="M398" s="15"/>
    </row>
    <row r="399" spans="5:13" x14ac:dyDescent="0.2">
      <c r="E399">
        <v>2017</v>
      </c>
      <c r="F399" s="1">
        <v>795100</v>
      </c>
      <c r="G399" s="1">
        <v>4019974500</v>
      </c>
      <c r="H399" s="1">
        <v>57400739500</v>
      </c>
      <c r="M399" s="15"/>
    </row>
    <row r="400" spans="5:13" x14ac:dyDescent="0.2">
      <c r="E400">
        <v>2018</v>
      </c>
      <c r="F400" s="1">
        <v>811175</v>
      </c>
      <c r="G400" s="1">
        <v>4309330700</v>
      </c>
      <c r="H400" s="1">
        <v>60221163500</v>
      </c>
      <c r="M400" s="15"/>
    </row>
    <row r="401" spans="2:13" x14ac:dyDescent="0.2">
      <c r="E401">
        <v>2019</v>
      </c>
      <c r="F401" s="1">
        <v>824950</v>
      </c>
      <c r="G401" s="1">
        <v>4428326600</v>
      </c>
      <c r="H401" s="1">
        <v>62318489000</v>
      </c>
      <c r="M401" s="15"/>
    </row>
    <row r="402" spans="2:13" x14ac:dyDescent="0.2">
      <c r="E402">
        <v>2020</v>
      </c>
      <c r="F402" s="1">
        <v>830150</v>
      </c>
      <c r="G402" s="1">
        <v>4646311400</v>
      </c>
      <c r="H402" s="1">
        <v>67073193000</v>
      </c>
      <c r="M402" s="15"/>
    </row>
    <row r="403" spans="2:13" x14ac:dyDescent="0.2">
      <c r="E403">
        <v>2021</v>
      </c>
      <c r="F403" s="1">
        <v>843780</v>
      </c>
      <c r="G403" s="1">
        <v>4961633300</v>
      </c>
      <c r="H403" s="1">
        <v>70049717500</v>
      </c>
      <c r="M403" s="15"/>
    </row>
    <row r="404" spans="2:13" x14ac:dyDescent="0.2">
      <c r="E404">
        <v>2022</v>
      </c>
      <c r="F404" s="1">
        <v>869110</v>
      </c>
      <c r="G404" s="1">
        <v>5144867600</v>
      </c>
      <c r="H404" s="1">
        <v>73331563400</v>
      </c>
      <c r="M404" s="15"/>
    </row>
    <row r="405" spans="2:13" x14ac:dyDescent="0.2">
      <c r="B405" t="s">
        <v>21</v>
      </c>
      <c r="C405" t="s">
        <v>30</v>
      </c>
      <c r="D405" t="s">
        <v>32</v>
      </c>
      <c r="E405">
        <v>1992</v>
      </c>
      <c r="F405" s="1">
        <v>568285</v>
      </c>
      <c r="G405" s="1">
        <v>2465417600</v>
      </c>
      <c r="H405" s="1">
        <v>24363874000</v>
      </c>
      <c r="M405" s="15"/>
    </row>
    <row r="406" spans="2:13" x14ac:dyDescent="0.2">
      <c r="E406">
        <v>1993</v>
      </c>
      <c r="F406" s="1">
        <v>582760</v>
      </c>
      <c r="G406" s="1">
        <v>2434786700</v>
      </c>
      <c r="H406" s="1">
        <v>25012597600</v>
      </c>
      <c r="M406" s="15"/>
    </row>
    <row r="407" spans="2:13" x14ac:dyDescent="0.2">
      <c r="E407">
        <v>1994</v>
      </c>
      <c r="F407" s="1">
        <v>590875</v>
      </c>
      <c r="G407" s="1">
        <v>2617332600</v>
      </c>
      <c r="H407" s="1">
        <v>26453494800</v>
      </c>
      <c r="M407" s="15"/>
    </row>
    <row r="408" spans="2:13" x14ac:dyDescent="0.2">
      <c r="E408">
        <v>1995</v>
      </c>
      <c r="F408" s="1">
        <v>600335</v>
      </c>
      <c r="G408" s="1">
        <v>2598153200</v>
      </c>
      <c r="H408" s="1">
        <v>26244147400</v>
      </c>
      <c r="M408" s="15"/>
    </row>
    <row r="409" spans="2:13" x14ac:dyDescent="0.2">
      <c r="E409">
        <v>1996</v>
      </c>
      <c r="F409" s="1">
        <v>605810</v>
      </c>
      <c r="G409" s="1">
        <v>2681901500</v>
      </c>
      <c r="H409" s="1">
        <v>26929426900</v>
      </c>
      <c r="M409" s="15"/>
    </row>
    <row r="410" spans="2:13" x14ac:dyDescent="0.2">
      <c r="E410">
        <v>1997</v>
      </c>
      <c r="F410" s="1">
        <v>612725</v>
      </c>
      <c r="G410" s="1">
        <v>2840170300</v>
      </c>
      <c r="H410" s="1">
        <v>27903647500</v>
      </c>
      <c r="M410" s="15"/>
    </row>
    <row r="411" spans="2:13" x14ac:dyDescent="0.2">
      <c r="E411">
        <v>1998</v>
      </c>
      <c r="F411" s="1">
        <v>617290</v>
      </c>
      <c r="G411" s="1">
        <v>2959442100</v>
      </c>
      <c r="H411" s="1">
        <v>28867070600</v>
      </c>
      <c r="M411" s="15"/>
    </row>
    <row r="412" spans="2:13" x14ac:dyDescent="0.2">
      <c r="E412">
        <v>1999</v>
      </c>
      <c r="F412" s="1">
        <v>627265</v>
      </c>
      <c r="G412" s="1">
        <v>3082101300</v>
      </c>
      <c r="H412" s="1">
        <v>30472182900</v>
      </c>
      <c r="M412" s="15"/>
    </row>
    <row r="413" spans="2:13" x14ac:dyDescent="0.2">
      <c r="E413">
        <v>2000</v>
      </c>
      <c r="F413" s="1">
        <v>635695</v>
      </c>
      <c r="G413" s="1">
        <v>3274301600</v>
      </c>
      <c r="H413" s="1">
        <v>32512032900</v>
      </c>
      <c r="M413" s="15"/>
    </row>
    <row r="414" spans="2:13" x14ac:dyDescent="0.2">
      <c r="E414">
        <v>2001</v>
      </c>
      <c r="F414" s="1">
        <v>639425</v>
      </c>
      <c r="G414" s="1">
        <v>3191649000</v>
      </c>
      <c r="H414" s="1">
        <v>34297489800</v>
      </c>
      <c r="M414" s="15"/>
    </row>
    <row r="415" spans="2:13" x14ac:dyDescent="0.2">
      <c r="E415">
        <v>2002</v>
      </c>
      <c r="F415" s="1">
        <v>638525</v>
      </c>
      <c r="G415" s="1">
        <v>3261943600</v>
      </c>
      <c r="H415" s="1">
        <v>35226990100</v>
      </c>
      <c r="M415" s="15"/>
    </row>
    <row r="416" spans="2:13" x14ac:dyDescent="0.2">
      <c r="E416">
        <v>2003</v>
      </c>
      <c r="F416" s="1">
        <v>653115</v>
      </c>
      <c r="G416" s="1">
        <v>3394209000</v>
      </c>
      <c r="H416" s="1">
        <v>36652460900</v>
      </c>
      <c r="M416" s="15"/>
    </row>
    <row r="417" spans="5:13" x14ac:dyDescent="0.2">
      <c r="E417">
        <v>2004</v>
      </c>
      <c r="F417" s="1">
        <v>663045</v>
      </c>
      <c r="G417" s="1">
        <v>3523058700</v>
      </c>
      <c r="H417" s="1">
        <v>38618835300</v>
      </c>
      <c r="M417" s="15"/>
    </row>
    <row r="418" spans="5:13" x14ac:dyDescent="0.2">
      <c r="E418">
        <v>2005</v>
      </c>
      <c r="F418" s="1">
        <v>675920</v>
      </c>
      <c r="G418" s="1">
        <v>3490825100</v>
      </c>
      <c r="H418" s="1">
        <v>40693487800</v>
      </c>
      <c r="M418" s="15"/>
    </row>
    <row r="419" spans="5:13" x14ac:dyDescent="0.2">
      <c r="E419">
        <v>2006</v>
      </c>
      <c r="F419" s="1">
        <v>683290</v>
      </c>
      <c r="G419" s="1">
        <v>3684944000</v>
      </c>
      <c r="H419" s="1">
        <v>43093155400</v>
      </c>
      <c r="M419" s="15"/>
    </row>
    <row r="420" spans="5:13" x14ac:dyDescent="0.2">
      <c r="E420">
        <v>2007</v>
      </c>
      <c r="F420" s="1">
        <v>692630</v>
      </c>
      <c r="G420" s="1">
        <v>3601069400</v>
      </c>
      <c r="H420" s="1">
        <v>45713725000</v>
      </c>
      <c r="M420" s="15"/>
    </row>
    <row r="421" spans="5:13" x14ac:dyDescent="0.2">
      <c r="E421">
        <v>2008</v>
      </c>
      <c r="F421" s="1">
        <v>703070</v>
      </c>
      <c r="G421" s="1">
        <v>3794212300</v>
      </c>
      <c r="H421" s="1">
        <v>47430512200</v>
      </c>
      <c r="M421" s="15"/>
    </row>
    <row r="422" spans="5:13" x14ac:dyDescent="0.2">
      <c r="E422">
        <v>2009</v>
      </c>
      <c r="F422" s="1">
        <v>711860</v>
      </c>
      <c r="G422" s="1">
        <v>3414868600</v>
      </c>
      <c r="H422" s="1">
        <v>47718955700</v>
      </c>
      <c r="M422" s="15"/>
    </row>
    <row r="423" spans="5:13" x14ac:dyDescent="0.2">
      <c r="E423">
        <v>2010</v>
      </c>
      <c r="F423" s="1">
        <v>719300</v>
      </c>
      <c r="G423" s="1">
        <v>3652077700</v>
      </c>
      <c r="H423" s="1">
        <v>49169568500</v>
      </c>
      <c r="M423" s="15"/>
    </row>
    <row r="424" spans="5:13" x14ac:dyDescent="0.2">
      <c r="E424">
        <v>2011</v>
      </c>
      <c r="F424" s="1">
        <v>730035</v>
      </c>
      <c r="G424" s="1">
        <v>3904523300</v>
      </c>
      <c r="H424" s="1">
        <v>51468590900</v>
      </c>
      <c r="M424" s="15"/>
    </row>
    <row r="425" spans="5:13" x14ac:dyDescent="0.2">
      <c r="E425">
        <v>2012</v>
      </c>
      <c r="F425" s="1">
        <v>741430</v>
      </c>
      <c r="G425" s="1">
        <v>4081819600</v>
      </c>
      <c r="H425" s="1">
        <v>53631176400</v>
      </c>
      <c r="M425" s="15"/>
    </row>
    <row r="426" spans="5:13" x14ac:dyDescent="0.2">
      <c r="E426">
        <v>2013</v>
      </c>
      <c r="F426" s="1">
        <v>752410</v>
      </c>
      <c r="G426" s="1">
        <v>4265498100</v>
      </c>
      <c r="H426" s="1">
        <v>55859914400</v>
      </c>
      <c r="M426" s="15"/>
    </row>
    <row r="427" spans="5:13" x14ac:dyDescent="0.2">
      <c r="E427">
        <v>2014</v>
      </c>
      <c r="F427" s="1">
        <v>762610</v>
      </c>
      <c r="G427" s="1">
        <v>4451116400</v>
      </c>
      <c r="H427" s="1">
        <v>58365140300</v>
      </c>
      <c r="M427" s="15"/>
    </row>
    <row r="428" spans="5:13" x14ac:dyDescent="0.2">
      <c r="E428">
        <v>2015</v>
      </c>
      <c r="F428" s="1">
        <v>771460</v>
      </c>
      <c r="G428" s="1">
        <v>4701709900</v>
      </c>
      <c r="H428" s="1">
        <v>60238816100</v>
      </c>
      <c r="M428" s="15"/>
    </row>
    <row r="429" spans="5:13" x14ac:dyDescent="0.2">
      <c r="E429">
        <v>2016</v>
      </c>
      <c r="F429" s="1">
        <v>780365</v>
      </c>
      <c r="G429" s="1">
        <v>4666652300</v>
      </c>
      <c r="H429" s="1">
        <v>61447203700</v>
      </c>
      <c r="M429" s="15"/>
    </row>
    <row r="430" spans="5:13" x14ac:dyDescent="0.2">
      <c r="E430">
        <v>2017</v>
      </c>
      <c r="F430" s="1">
        <v>795160</v>
      </c>
      <c r="G430" s="1">
        <v>4926376400</v>
      </c>
      <c r="H430" s="1">
        <v>64553411200</v>
      </c>
      <c r="M430" s="15"/>
    </row>
    <row r="431" spans="5:13" x14ac:dyDescent="0.2">
      <c r="E431">
        <v>2018</v>
      </c>
      <c r="F431" s="1">
        <v>811135</v>
      </c>
      <c r="G431" s="1">
        <v>5256063100</v>
      </c>
      <c r="H431" s="1">
        <v>67702656700</v>
      </c>
      <c r="M431" s="15"/>
    </row>
    <row r="432" spans="5:13" x14ac:dyDescent="0.2">
      <c r="E432">
        <v>2019</v>
      </c>
      <c r="F432" s="1">
        <v>824915</v>
      </c>
      <c r="G432" s="1">
        <v>5417428700</v>
      </c>
      <c r="H432" s="1">
        <v>70103587000</v>
      </c>
      <c r="M432" s="15"/>
    </row>
    <row r="433" spans="2:13" x14ac:dyDescent="0.2">
      <c r="E433">
        <v>2020</v>
      </c>
      <c r="F433" s="1">
        <v>830090</v>
      </c>
      <c r="G433" s="1">
        <v>5599263900</v>
      </c>
      <c r="H433" s="1">
        <v>74918000700</v>
      </c>
      <c r="M433" s="15"/>
    </row>
    <row r="434" spans="2:13" x14ac:dyDescent="0.2">
      <c r="E434">
        <v>2021</v>
      </c>
      <c r="F434" s="1">
        <v>843815</v>
      </c>
      <c r="G434" s="1">
        <v>5991423100</v>
      </c>
      <c r="H434" s="1">
        <v>78599106400</v>
      </c>
      <c r="M434" s="15"/>
    </row>
    <row r="435" spans="2:13" x14ac:dyDescent="0.2">
      <c r="E435">
        <v>2022</v>
      </c>
      <c r="F435" s="1">
        <v>869220</v>
      </c>
      <c r="G435" s="1">
        <v>6278879300</v>
      </c>
      <c r="H435" s="1">
        <v>82639271100</v>
      </c>
      <c r="M435" s="15"/>
    </row>
    <row r="436" spans="2:13" x14ac:dyDescent="0.2">
      <c r="B436" t="s">
        <v>22</v>
      </c>
      <c r="C436" t="s">
        <v>30</v>
      </c>
      <c r="D436" t="s">
        <v>32</v>
      </c>
      <c r="E436">
        <v>1992</v>
      </c>
      <c r="F436" s="1">
        <v>568420</v>
      </c>
      <c r="G436" s="1">
        <v>2927127800</v>
      </c>
      <c r="H436" s="1">
        <v>27156885400</v>
      </c>
      <c r="M436" s="15"/>
    </row>
    <row r="437" spans="2:13" x14ac:dyDescent="0.2">
      <c r="E437">
        <v>1993</v>
      </c>
      <c r="F437" s="1">
        <v>582555</v>
      </c>
      <c r="G437" s="1">
        <v>2912978100</v>
      </c>
      <c r="H437" s="1">
        <v>27947367700</v>
      </c>
      <c r="M437" s="15"/>
    </row>
    <row r="438" spans="2:13" x14ac:dyDescent="0.2">
      <c r="E438">
        <v>1994</v>
      </c>
      <c r="F438" s="1">
        <v>590760</v>
      </c>
      <c r="G438" s="1">
        <v>3135392900</v>
      </c>
      <c r="H438" s="1">
        <v>29717514300</v>
      </c>
      <c r="M438" s="15"/>
    </row>
    <row r="439" spans="2:13" x14ac:dyDescent="0.2">
      <c r="E439">
        <v>1995</v>
      </c>
      <c r="F439" s="1">
        <v>600435</v>
      </c>
      <c r="G439" s="1">
        <v>3123696700</v>
      </c>
      <c r="H439" s="1">
        <v>29368400500</v>
      </c>
      <c r="M439" s="15"/>
    </row>
    <row r="440" spans="2:13" x14ac:dyDescent="0.2">
      <c r="E440">
        <v>1996</v>
      </c>
      <c r="F440" s="1">
        <v>605735</v>
      </c>
      <c r="G440" s="1">
        <v>3224344500</v>
      </c>
      <c r="H440" s="1">
        <v>30140282900</v>
      </c>
      <c r="M440" s="15"/>
    </row>
    <row r="441" spans="2:13" x14ac:dyDescent="0.2">
      <c r="E441">
        <v>1997</v>
      </c>
      <c r="F441" s="1">
        <v>612785</v>
      </c>
      <c r="G441" s="1">
        <v>3409120500</v>
      </c>
      <c r="H441" s="1">
        <v>31270052200</v>
      </c>
      <c r="M441" s="15"/>
    </row>
    <row r="442" spans="2:13" x14ac:dyDescent="0.2">
      <c r="E442">
        <v>1998</v>
      </c>
      <c r="F442" s="1">
        <v>617210</v>
      </c>
      <c r="G442" s="1">
        <v>3546863600</v>
      </c>
      <c r="H442" s="1">
        <v>32364463000</v>
      </c>
      <c r="M442" s="15"/>
    </row>
    <row r="443" spans="2:13" x14ac:dyDescent="0.2">
      <c r="E443">
        <v>1999</v>
      </c>
      <c r="F443" s="1">
        <v>627415</v>
      </c>
      <c r="G443" s="1">
        <v>3684507400</v>
      </c>
      <c r="H443" s="1">
        <v>34148657100</v>
      </c>
      <c r="M443" s="15"/>
    </row>
    <row r="444" spans="2:13" x14ac:dyDescent="0.2">
      <c r="E444">
        <v>2000</v>
      </c>
      <c r="F444" s="1">
        <v>635725</v>
      </c>
      <c r="G444" s="1">
        <v>3907170800</v>
      </c>
      <c r="H444" s="1">
        <v>36470387200</v>
      </c>
      <c r="M444" s="15"/>
    </row>
    <row r="445" spans="2:13" x14ac:dyDescent="0.2">
      <c r="E445">
        <v>2001</v>
      </c>
      <c r="F445" s="1">
        <v>639410</v>
      </c>
      <c r="G445" s="1">
        <v>3775104200</v>
      </c>
      <c r="H445" s="1">
        <v>38321665000</v>
      </c>
      <c r="M445" s="15"/>
    </row>
    <row r="446" spans="2:13" x14ac:dyDescent="0.2">
      <c r="E446">
        <v>2002</v>
      </c>
      <c r="F446" s="1">
        <v>638525</v>
      </c>
      <c r="G446" s="1">
        <v>3863447100</v>
      </c>
      <c r="H446" s="1">
        <v>39426449400</v>
      </c>
      <c r="M446" s="15"/>
    </row>
    <row r="447" spans="2:13" x14ac:dyDescent="0.2">
      <c r="E447">
        <v>2003</v>
      </c>
      <c r="F447" s="1">
        <v>653185</v>
      </c>
      <c r="G447" s="1">
        <v>4028184100</v>
      </c>
      <c r="H447" s="1">
        <v>41075136500</v>
      </c>
      <c r="M447" s="15"/>
    </row>
    <row r="448" spans="2:13" x14ac:dyDescent="0.2">
      <c r="E448">
        <v>2004</v>
      </c>
      <c r="F448" s="1">
        <v>663175</v>
      </c>
      <c r="G448" s="1">
        <v>4190422400</v>
      </c>
      <c r="H448" s="1">
        <v>43290894700</v>
      </c>
      <c r="M448" s="15"/>
    </row>
    <row r="449" spans="5:13" x14ac:dyDescent="0.2">
      <c r="E449">
        <v>2005</v>
      </c>
      <c r="F449" s="1">
        <v>675855</v>
      </c>
      <c r="G449" s="1">
        <v>4170228500</v>
      </c>
      <c r="H449" s="1">
        <v>45636199300</v>
      </c>
      <c r="M449" s="15"/>
    </row>
    <row r="450" spans="5:13" x14ac:dyDescent="0.2">
      <c r="E450">
        <v>2006</v>
      </c>
      <c r="F450" s="1">
        <v>683195</v>
      </c>
      <c r="G450" s="1">
        <v>4424962100</v>
      </c>
      <c r="H450" s="1">
        <v>48348336300</v>
      </c>
      <c r="M450" s="15"/>
    </row>
    <row r="451" spans="5:13" x14ac:dyDescent="0.2">
      <c r="E451">
        <v>2007</v>
      </c>
      <c r="F451" s="1">
        <v>692710</v>
      </c>
      <c r="G451" s="1">
        <v>4339327400</v>
      </c>
      <c r="H451" s="1">
        <v>51280225800</v>
      </c>
      <c r="M451" s="15"/>
    </row>
    <row r="452" spans="5:13" x14ac:dyDescent="0.2">
      <c r="E452">
        <v>2008</v>
      </c>
      <c r="F452" s="1">
        <v>703110</v>
      </c>
      <c r="G452" s="1">
        <v>4574172300</v>
      </c>
      <c r="H452" s="1">
        <v>53249708600</v>
      </c>
      <c r="M452" s="15"/>
    </row>
    <row r="453" spans="5:13" x14ac:dyDescent="0.2">
      <c r="E453">
        <v>2009</v>
      </c>
      <c r="F453" s="1">
        <v>711795</v>
      </c>
      <c r="G453" s="1">
        <v>4178327900</v>
      </c>
      <c r="H453" s="1">
        <v>53580924400</v>
      </c>
      <c r="M453" s="15"/>
    </row>
    <row r="454" spans="5:13" x14ac:dyDescent="0.2">
      <c r="E454">
        <v>2010</v>
      </c>
      <c r="F454" s="1">
        <v>719260</v>
      </c>
      <c r="G454" s="1">
        <v>4451444100</v>
      </c>
      <c r="H454" s="1">
        <v>55271150700</v>
      </c>
      <c r="M454" s="15"/>
    </row>
    <row r="455" spans="5:13" x14ac:dyDescent="0.2">
      <c r="E455">
        <v>2011</v>
      </c>
      <c r="F455" s="1">
        <v>729980</v>
      </c>
      <c r="G455" s="1">
        <v>4759063200</v>
      </c>
      <c r="H455" s="1">
        <v>57894480400</v>
      </c>
      <c r="M455" s="15"/>
    </row>
    <row r="456" spans="5:13" x14ac:dyDescent="0.2">
      <c r="E456">
        <v>2012</v>
      </c>
      <c r="F456" s="1">
        <v>741475</v>
      </c>
      <c r="G456" s="1">
        <v>4958220100</v>
      </c>
      <c r="H456" s="1">
        <v>60318765300</v>
      </c>
      <c r="M456" s="15"/>
    </row>
    <row r="457" spans="5:13" x14ac:dyDescent="0.2">
      <c r="E457">
        <v>2013</v>
      </c>
      <c r="F457" s="1">
        <v>752465</v>
      </c>
      <c r="G457" s="1">
        <v>5197673800</v>
      </c>
      <c r="H457" s="1">
        <v>62876423800</v>
      </c>
      <c r="M457" s="15"/>
    </row>
    <row r="458" spans="5:13" x14ac:dyDescent="0.2">
      <c r="E458">
        <v>2014</v>
      </c>
      <c r="F458" s="1">
        <v>762665</v>
      </c>
      <c r="G458" s="1">
        <v>5380376200</v>
      </c>
      <c r="H458" s="1">
        <v>65712478100</v>
      </c>
      <c r="M458" s="15"/>
    </row>
    <row r="459" spans="5:13" x14ac:dyDescent="0.2">
      <c r="E459">
        <v>2015</v>
      </c>
      <c r="F459" s="1">
        <v>771440</v>
      </c>
      <c r="G459" s="1">
        <v>5663575900</v>
      </c>
      <c r="H459" s="1">
        <v>67745127500</v>
      </c>
      <c r="M459" s="15"/>
    </row>
    <row r="460" spans="5:13" x14ac:dyDescent="0.2">
      <c r="E460">
        <v>2016</v>
      </c>
      <c r="F460" s="1">
        <v>780335</v>
      </c>
      <c r="G460" s="1">
        <v>5629211800</v>
      </c>
      <c r="H460" s="1">
        <v>69035796100</v>
      </c>
      <c r="M460" s="15"/>
    </row>
    <row r="461" spans="5:13" x14ac:dyDescent="0.2">
      <c r="E461">
        <v>2017</v>
      </c>
      <c r="F461" s="1">
        <v>795110</v>
      </c>
      <c r="G461" s="1">
        <v>5951845500</v>
      </c>
      <c r="H461" s="1">
        <v>72557124500</v>
      </c>
      <c r="M461" s="15"/>
    </row>
    <row r="462" spans="5:13" x14ac:dyDescent="0.2">
      <c r="E462">
        <v>2018</v>
      </c>
      <c r="F462" s="1">
        <v>811210</v>
      </c>
      <c r="G462" s="1">
        <v>6336594100</v>
      </c>
      <c r="H462" s="1">
        <v>76081933600</v>
      </c>
      <c r="M462" s="15"/>
    </row>
    <row r="463" spans="5:13" x14ac:dyDescent="0.2">
      <c r="E463">
        <v>2019</v>
      </c>
      <c r="F463" s="1">
        <v>824910</v>
      </c>
      <c r="G463" s="1">
        <v>6530682000</v>
      </c>
      <c r="H463" s="1">
        <v>78835718700</v>
      </c>
      <c r="M463" s="15"/>
    </row>
    <row r="464" spans="5:13" x14ac:dyDescent="0.2">
      <c r="E464">
        <v>2020</v>
      </c>
      <c r="F464" s="1">
        <v>830120</v>
      </c>
      <c r="G464" s="1">
        <v>6732019300</v>
      </c>
      <c r="H464" s="1">
        <v>83720438800</v>
      </c>
      <c r="M464" s="15"/>
    </row>
    <row r="465" spans="2:13" x14ac:dyDescent="0.2">
      <c r="E465">
        <v>2021</v>
      </c>
      <c r="F465" s="1">
        <v>843755</v>
      </c>
      <c r="G465" s="1">
        <v>7231004600</v>
      </c>
      <c r="H465" s="1">
        <v>88180220800</v>
      </c>
      <c r="M465" s="15"/>
    </row>
    <row r="466" spans="2:13" x14ac:dyDescent="0.2">
      <c r="E466">
        <v>2022</v>
      </c>
      <c r="F466" s="1">
        <v>869150</v>
      </c>
      <c r="G466" s="1">
        <v>7627304000</v>
      </c>
      <c r="H466" s="1">
        <v>93053153700</v>
      </c>
      <c r="M466" s="15"/>
    </row>
    <row r="467" spans="2:13" x14ac:dyDescent="0.2">
      <c r="B467" t="s">
        <v>23</v>
      </c>
      <c r="C467" t="s">
        <v>30</v>
      </c>
      <c r="D467" t="s">
        <v>32</v>
      </c>
      <c r="E467">
        <v>1992</v>
      </c>
      <c r="F467" s="1">
        <v>568370</v>
      </c>
      <c r="G467" s="1">
        <v>3451925000</v>
      </c>
      <c r="H467" s="1">
        <v>30250620800</v>
      </c>
      <c r="M467" s="15"/>
    </row>
    <row r="468" spans="2:13" x14ac:dyDescent="0.2">
      <c r="E468">
        <v>1993</v>
      </c>
      <c r="F468" s="1">
        <v>582610</v>
      </c>
      <c r="G468" s="1">
        <v>3458735200</v>
      </c>
      <c r="H468" s="1">
        <v>31234605300</v>
      </c>
      <c r="M468" s="15"/>
    </row>
    <row r="469" spans="2:13" x14ac:dyDescent="0.2">
      <c r="E469">
        <v>1994</v>
      </c>
      <c r="F469" s="1">
        <v>590840</v>
      </c>
      <c r="G469" s="1">
        <v>3718231300</v>
      </c>
      <c r="H469" s="1">
        <v>33372775700</v>
      </c>
      <c r="M469" s="15"/>
    </row>
    <row r="470" spans="2:13" x14ac:dyDescent="0.2">
      <c r="E470">
        <v>1995</v>
      </c>
      <c r="F470" s="1">
        <v>600395</v>
      </c>
      <c r="G470" s="1">
        <v>3707748200</v>
      </c>
      <c r="H470" s="1">
        <v>32844408800</v>
      </c>
      <c r="M470" s="15"/>
    </row>
    <row r="471" spans="2:13" x14ac:dyDescent="0.2">
      <c r="E471">
        <v>1996</v>
      </c>
      <c r="F471" s="1">
        <v>605825</v>
      </c>
      <c r="G471" s="1">
        <v>3823662500</v>
      </c>
      <c r="H471" s="1">
        <v>33720357000</v>
      </c>
      <c r="M471" s="15"/>
    </row>
    <row r="472" spans="2:13" x14ac:dyDescent="0.2">
      <c r="E472">
        <v>1997</v>
      </c>
      <c r="F472" s="1">
        <v>612730</v>
      </c>
      <c r="G472" s="1">
        <v>4049331500</v>
      </c>
      <c r="H472" s="1">
        <v>35022278700</v>
      </c>
      <c r="M472" s="15"/>
    </row>
    <row r="473" spans="2:13" x14ac:dyDescent="0.2">
      <c r="E473">
        <v>1998</v>
      </c>
      <c r="F473" s="1">
        <v>617175</v>
      </c>
      <c r="G473" s="1">
        <v>4201838700</v>
      </c>
      <c r="H473" s="1">
        <v>36267693100</v>
      </c>
      <c r="M473" s="15"/>
    </row>
    <row r="474" spans="2:13" x14ac:dyDescent="0.2">
      <c r="E474">
        <v>1999</v>
      </c>
      <c r="F474" s="1">
        <v>627330</v>
      </c>
      <c r="G474" s="1">
        <v>4374385200</v>
      </c>
      <c r="H474" s="1">
        <v>38239595700</v>
      </c>
      <c r="M474" s="15"/>
    </row>
    <row r="475" spans="2:13" x14ac:dyDescent="0.2">
      <c r="E475">
        <v>2000</v>
      </c>
      <c r="F475" s="1">
        <v>635780</v>
      </c>
      <c r="G475" s="1">
        <v>4630537900</v>
      </c>
      <c r="H475" s="1">
        <v>40887966100</v>
      </c>
      <c r="M475" s="15"/>
    </row>
    <row r="476" spans="2:13" x14ac:dyDescent="0.2">
      <c r="E476">
        <v>2001</v>
      </c>
      <c r="F476" s="1">
        <v>639385</v>
      </c>
      <c r="G476" s="1">
        <v>4430697000</v>
      </c>
      <c r="H476" s="1">
        <v>42840892800</v>
      </c>
      <c r="M476" s="15"/>
    </row>
    <row r="477" spans="2:13" x14ac:dyDescent="0.2">
      <c r="E477">
        <v>2002</v>
      </c>
      <c r="F477" s="1">
        <v>638495</v>
      </c>
      <c r="G477" s="1">
        <v>4561387100</v>
      </c>
      <c r="H477" s="1">
        <v>44125417100</v>
      </c>
      <c r="M477" s="15"/>
    </row>
    <row r="478" spans="2:13" x14ac:dyDescent="0.2">
      <c r="E478">
        <v>2003</v>
      </c>
      <c r="F478" s="1">
        <v>653165</v>
      </c>
      <c r="G478" s="1">
        <v>4767702000</v>
      </c>
      <c r="H478" s="1">
        <v>46025057800</v>
      </c>
      <c r="M478" s="15"/>
    </row>
    <row r="479" spans="2:13" x14ac:dyDescent="0.2">
      <c r="E479">
        <v>2004</v>
      </c>
      <c r="F479" s="1">
        <v>663100</v>
      </c>
      <c r="G479" s="1">
        <v>4944996400</v>
      </c>
      <c r="H479" s="1">
        <v>48526868200</v>
      </c>
      <c r="M479" s="15"/>
    </row>
    <row r="480" spans="2:13" x14ac:dyDescent="0.2">
      <c r="E480">
        <v>2005</v>
      </c>
      <c r="F480" s="1">
        <v>675845</v>
      </c>
      <c r="G480" s="1">
        <v>4959917400</v>
      </c>
      <c r="H480" s="1">
        <v>51250342400</v>
      </c>
      <c r="M480" s="15"/>
    </row>
    <row r="481" spans="5:13" x14ac:dyDescent="0.2">
      <c r="E481">
        <v>2006</v>
      </c>
      <c r="F481" s="1">
        <v>683235</v>
      </c>
      <c r="G481" s="1">
        <v>5266653900</v>
      </c>
      <c r="H481" s="1">
        <v>54309035300</v>
      </c>
      <c r="M481" s="15"/>
    </row>
    <row r="482" spans="5:13" x14ac:dyDescent="0.2">
      <c r="E482">
        <v>2007</v>
      </c>
      <c r="F482" s="1">
        <v>692700</v>
      </c>
      <c r="G482" s="1">
        <v>5227261100</v>
      </c>
      <c r="H482" s="1">
        <v>57608692600</v>
      </c>
      <c r="M482" s="15"/>
    </row>
    <row r="483" spans="5:13" x14ac:dyDescent="0.2">
      <c r="E483">
        <v>2008</v>
      </c>
      <c r="F483" s="1">
        <v>703035</v>
      </c>
      <c r="G483" s="1">
        <v>5530495500</v>
      </c>
      <c r="H483" s="1">
        <v>59865404500</v>
      </c>
      <c r="M483" s="15"/>
    </row>
    <row r="484" spans="5:13" x14ac:dyDescent="0.2">
      <c r="E484">
        <v>2009</v>
      </c>
      <c r="F484" s="1">
        <v>711855</v>
      </c>
      <c r="G484" s="1">
        <v>5072670700</v>
      </c>
      <c r="H484" s="1">
        <v>60271762300</v>
      </c>
      <c r="M484" s="15"/>
    </row>
    <row r="485" spans="5:13" x14ac:dyDescent="0.2">
      <c r="E485">
        <v>2010</v>
      </c>
      <c r="F485" s="1">
        <v>719310</v>
      </c>
      <c r="G485" s="1">
        <v>5417506100</v>
      </c>
      <c r="H485" s="1">
        <v>62230510100</v>
      </c>
      <c r="M485" s="15"/>
    </row>
    <row r="486" spans="5:13" x14ac:dyDescent="0.2">
      <c r="E486">
        <v>2011</v>
      </c>
      <c r="F486" s="1">
        <v>729945</v>
      </c>
      <c r="G486" s="1">
        <v>5786030200</v>
      </c>
      <c r="H486" s="1">
        <v>65210179900</v>
      </c>
      <c r="M486" s="15"/>
    </row>
    <row r="487" spans="5:13" x14ac:dyDescent="0.2">
      <c r="E487">
        <v>2012</v>
      </c>
      <c r="F487" s="1">
        <v>741490</v>
      </c>
      <c r="G487" s="1">
        <v>6041686800</v>
      </c>
      <c r="H487" s="1">
        <v>67994832000</v>
      </c>
      <c r="M487" s="15"/>
    </row>
    <row r="488" spans="5:13" x14ac:dyDescent="0.2">
      <c r="E488">
        <v>2013</v>
      </c>
      <c r="F488" s="1">
        <v>752385</v>
      </c>
      <c r="G488" s="1">
        <v>6325316100</v>
      </c>
      <c r="H488" s="1">
        <v>70859802300</v>
      </c>
      <c r="M488" s="15"/>
    </row>
    <row r="489" spans="5:13" x14ac:dyDescent="0.2">
      <c r="E489">
        <v>2014</v>
      </c>
      <c r="F489" s="1">
        <v>762605</v>
      </c>
      <c r="G489" s="1">
        <v>6527916100</v>
      </c>
      <c r="H489" s="1">
        <v>74064802100</v>
      </c>
      <c r="M489" s="15"/>
    </row>
    <row r="490" spans="5:13" x14ac:dyDescent="0.2">
      <c r="E490">
        <v>2015</v>
      </c>
      <c r="F490" s="1">
        <v>771420</v>
      </c>
      <c r="G490" s="1">
        <v>6841941600</v>
      </c>
      <c r="H490" s="1">
        <v>76307338400</v>
      </c>
      <c r="M490" s="15"/>
    </row>
    <row r="491" spans="5:13" x14ac:dyDescent="0.2">
      <c r="E491">
        <v>2016</v>
      </c>
      <c r="F491" s="1">
        <v>780330</v>
      </c>
      <c r="G491" s="1">
        <v>6822256500</v>
      </c>
      <c r="H491" s="1">
        <v>77753016800</v>
      </c>
      <c r="M491" s="15"/>
    </row>
    <row r="492" spans="5:13" x14ac:dyDescent="0.2">
      <c r="E492">
        <v>2017</v>
      </c>
      <c r="F492" s="1">
        <v>795130</v>
      </c>
      <c r="G492" s="1">
        <v>7215434800</v>
      </c>
      <c r="H492" s="1">
        <v>81714724900</v>
      </c>
      <c r="M492" s="15"/>
    </row>
    <row r="493" spans="5:13" x14ac:dyDescent="0.2">
      <c r="E493">
        <v>2018</v>
      </c>
      <c r="F493" s="1">
        <v>811205</v>
      </c>
      <c r="G493" s="1">
        <v>7646573800</v>
      </c>
      <c r="H493" s="1">
        <v>85647436500</v>
      </c>
      <c r="M493" s="15"/>
    </row>
    <row r="494" spans="5:13" x14ac:dyDescent="0.2">
      <c r="E494">
        <v>2019</v>
      </c>
      <c r="F494" s="1">
        <v>824970</v>
      </c>
      <c r="G494" s="1">
        <v>7884224700</v>
      </c>
      <c r="H494" s="1">
        <v>88842286400</v>
      </c>
      <c r="M494" s="15"/>
    </row>
    <row r="495" spans="5:13" x14ac:dyDescent="0.2">
      <c r="E495">
        <v>2020</v>
      </c>
      <c r="F495" s="1">
        <v>830115</v>
      </c>
      <c r="G495" s="1">
        <v>8079010500</v>
      </c>
      <c r="H495" s="1">
        <v>93862601500</v>
      </c>
      <c r="M495" s="15"/>
    </row>
    <row r="496" spans="5:13" x14ac:dyDescent="0.2">
      <c r="E496">
        <v>2021</v>
      </c>
      <c r="F496" s="1">
        <v>843780</v>
      </c>
      <c r="G496" s="1">
        <v>8723537300</v>
      </c>
      <c r="H496" s="1">
        <v>99307524800</v>
      </c>
      <c r="M496" s="15"/>
    </row>
    <row r="497" spans="2:13" x14ac:dyDescent="0.2">
      <c r="E497">
        <v>2022</v>
      </c>
      <c r="F497" s="1">
        <v>869150</v>
      </c>
      <c r="G497" s="1">
        <v>9263546800</v>
      </c>
      <c r="H497" s="1">
        <v>105221400300</v>
      </c>
      <c r="M497" s="15"/>
    </row>
    <row r="498" spans="2:13" x14ac:dyDescent="0.2">
      <c r="B498" t="s">
        <v>24</v>
      </c>
      <c r="C498" t="s">
        <v>30</v>
      </c>
      <c r="D498" t="s">
        <v>32</v>
      </c>
      <c r="E498">
        <v>1992</v>
      </c>
      <c r="F498" s="1">
        <v>568315</v>
      </c>
      <c r="G498" s="1">
        <v>4036161600</v>
      </c>
      <c r="H498" s="1">
        <v>33773136300</v>
      </c>
      <c r="M498" s="15"/>
    </row>
    <row r="499" spans="2:13" x14ac:dyDescent="0.2">
      <c r="E499">
        <v>1993</v>
      </c>
      <c r="F499" s="1">
        <v>582610</v>
      </c>
      <c r="G499" s="1">
        <v>4071973800</v>
      </c>
      <c r="H499" s="1">
        <v>34963694800</v>
      </c>
      <c r="M499" s="15"/>
    </row>
    <row r="500" spans="2:13" x14ac:dyDescent="0.2">
      <c r="E500">
        <v>1994</v>
      </c>
      <c r="F500" s="1">
        <v>590785</v>
      </c>
      <c r="G500" s="1">
        <v>4346510800</v>
      </c>
      <c r="H500" s="1">
        <v>37590815900</v>
      </c>
      <c r="M500" s="15"/>
    </row>
    <row r="501" spans="2:13" x14ac:dyDescent="0.2">
      <c r="E501">
        <v>1995</v>
      </c>
      <c r="F501" s="1">
        <v>600435</v>
      </c>
      <c r="G501" s="1">
        <v>4360797500</v>
      </c>
      <c r="H501" s="1">
        <v>36803791000</v>
      </c>
      <c r="M501" s="15"/>
    </row>
    <row r="502" spans="2:13" x14ac:dyDescent="0.2">
      <c r="E502">
        <v>1996</v>
      </c>
      <c r="F502" s="1">
        <v>605820</v>
      </c>
      <c r="G502" s="1">
        <v>4497596600</v>
      </c>
      <c r="H502" s="1">
        <v>37799188400</v>
      </c>
      <c r="M502" s="15"/>
    </row>
    <row r="503" spans="2:13" x14ac:dyDescent="0.2">
      <c r="E503">
        <v>1997</v>
      </c>
      <c r="F503" s="1">
        <v>612675</v>
      </c>
      <c r="G503" s="1">
        <v>4760005400</v>
      </c>
      <c r="H503" s="1">
        <v>39287692300</v>
      </c>
      <c r="M503" s="15"/>
    </row>
    <row r="504" spans="2:13" x14ac:dyDescent="0.2">
      <c r="E504">
        <v>1998</v>
      </c>
      <c r="F504" s="1">
        <v>617300</v>
      </c>
      <c r="G504" s="1">
        <v>4960073700</v>
      </c>
      <c r="H504" s="1">
        <v>40750575700</v>
      </c>
      <c r="M504" s="15"/>
    </row>
    <row r="505" spans="2:13" x14ac:dyDescent="0.2">
      <c r="E505">
        <v>1999</v>
      </c>
      <c r="F505" s="1">
        <v>627310</v>
      </c>
      <c r="G505" s="1">
        <v>5160820500</v>
      </c>
      <c r="H505" s="1">
        <v>42972902800</v>
      </c>
      <c r="M505" s="15"/>
    </row>
    <row r="506" spans="2:13" x14ac:dyDescent="0.2">
      <c r="E506">
        <v>2000</v>
      </c>
      <c r="F506" s="1">
        <v>635780</v>
      </c>
      <c r="G506" s="1">
        <v>5457890400</v>
      </c>
      <c r="H506" s="1">
        <v>46042425100</v>
      </c>
      <c r="M506" s="15"/>
    </row>
    <row r="507" spans="2:13" x14ac:dyDescent="0.2">
      <c r="E507">
        <v>2001</v>
      </c>
      <c r="F507" s="1">
        <v>639465</v>
      </c>
      <c r="G507" s="1">
        <v>5209809200</v>
      </c>
      <c r="H507" s="1">
        <v>48162665200</v>
      </c>
      <c r="M507" s="15"/>
    </row>
    <row r="508" spans="2:13" x14ac:dyDescent="0.2">
      <c r="E508">
        <v>2002</v>
      </c>
      <c r="F508" s="1">
        <v>638535</v>
      </c>
      <c r="G508" s="1">
        <v>5362700400</v>
      </c>
      <c r="H508" s="1">
        <v>49621665200</v>
      </c>
      <c r="M508" s="15"/>
    </row>
    <row r="509" spans="2:13" x14ac:dyDescent="0.2">
      <c r="E509">
        <v>2003</v>
      </c>
      <c r="F509" s="1">
        <v>653140</v>
      </c>
      <c r="G509" s="1">
        <v>5613443700</v>
      </c>
      <c r="H509" s="1">
        <v>51781402700</v>
      </c>
      <c r="M509" s="15"/>
    </row>
    <row r="510" spans="2:13" x14ac:dyDescent="0.2">
      <c r="E510">
        <v>2004</v>
      </c>
      <c r="F510" s="1">
        <v>663095</v>
      </c>
      <c r="G510" s="1">
        <v>5821324200</v>
      </c>
      <c r="H510" s="1">
        <v>54615667700</v>
      </c>
      <c r="M510" s="15"/>
    </row>
    <row r="511" spans="2:13" x14ac:dyDescent="0.2">
      <c r="E511">
        <v>2005</v>
      </c>
      <c r="F511" s="1">
        <v>675815</v>
      </c>
      <c r="G511" s="1">
        <v>5895628300</v>
      </c>
      <c r="H511" s="1">
        <v>57784053200</v>
      </c>
      <c r="M511" s="15"/>
    </row>
    <row r="512" spans="2:13" x14ac:dyDescent="0.2">
      <c r="E512">
        <v>2006</v>
      </c>
      <c r="F512" s="1">
        <v>683245</v>
      </c>
      <c r="G512" s="1">
        <v>6262969600</v>
      </c>
      <c r="H512" s="1">
        <v>61293898000</v>
      </c>
      <c r="M512" s="15"/>
    </row>
    <row r="513" spans="5:13" x14ac:dyDescent="0.2">
      <c r="E513">
        <v>2007</v>
      </c>
      <c r="F513" s="1">
        <v>692650</v>
      </c>
      <c r="G513" s="1">
        <v>6283948700</v>
      </c>
      <c r="H513" s="1">
        <v>65058675000</v>
      </c>
      <c r="M513" s="15"/>
    </row>
    <row r="514" spans="5:13" x14ac:dyDescent="0.2">
      <c r="E514">
        <v>2008</v>
      </c>
      <c r="F514" s="1">
        <v>703095</v>
      </c>
      <c r="G514" s="1">
        <v>6660114200</v>
      </c>
      <c r="H514" s="1">
        <v>67633677500</v>
      </c>
      <c r="M514" s="15"/>
    </row>
    <row r="515" spans="5:13" x14ac:dyDescent="0.2">
      <c r="E515">
        <v>2009</v>
      </c>
      <c r="F515" s="1">
        <v>711850</v>
      </c>
      <c r="G515" s="1">
        <v>6160180300</v>
      </c>
      <c r="H515" s="1">
        <v>68107825700</v>
      </c>
      <c r="M515" s="15"/>
    </row>
    <row r="516" spans="5:13" x14ac:dyDescent="0.2">
      <c r="E516">
        <v>2010</v>
      </c>
      <c r="F516" s="1">
        <v>719245</v>
      </c>
      <c r="G516" s="1">
        <v>6567171500</v>
      </c>
      <c r="H516" s="1">
        <v>70395217200</v>
      </c>
      <c r="M516" s="15"/>
    </row>
    <row r="517" spans="5:13" x14ac:dyDescent="0.2">
      <c r="E517">
        <v>2011</v>
      </c>
      <c r="F517" s="1">
        <v>729985</v>
      </c>
      <c r="G517" s="1">
        <v>7015823000</v>
      </c>
      <c r="H517" s="1">
        <v>73820790800</v>
      </c>
      <c r="M517" s="15"/>
    </row>
    <row r="518" spans="5:13" x14ac:dyDescent="0.2">
      <c r="E518">
        <v>2012</v>
      </c>
      <c r="F518" s="1">
        <v>741455</v>
      </c>
      <c r="G518" s="1">
        <v>7348271400</v>
      </c>
      <c r="H518" s="1">
        <v>77040544100</v>
      </c>
      <c r="M518" s="15"/>
    </row>
    <row r="519" spans="5:13" x14ac:dyDescent="0.2">
      <c r="E519">
        <v>2013</v>
      </c>
      <c r="F519" s="1">
        <v>752475</v>
      </c>
      <c r="G519" s="1">
        <v>7683080000</v>
      </c>
      <c r="H519" s="1">
        <v>80360192400</v>
      </c>
      <c r="M519" s="15"/>
    </row>
    <row r="520" spans="5:13" x14ac:dyDescent="0.2">
      <c r="E520">
        <v>2014</v>
      </c>
      <c r="F520" s="1">
        <v>762585</v>
      </c>
      <c r="G520" s="1">
        <v>7958154400</v>
      </c>
      <c r="H520" s="1">
        <v>84005223800</v>
      </c>
      <c r="M520" s="15"/>
    </row>
    <row r="521" spans="5:13" x14ac:dyDescent="0.2">
      <c r="E521">
        <v>2015</v>
      </c>
      <c r="F521" s="1">
        <v>771460</v>
      </c>
      <c r="G521" s="1">
        <v>8317691300</v>
      </c>
      <c r="H521" s="1">
        <v>86511733300</v>
      </c>
      <c r="M521" s="15"/>
    </row>
    <row r="522" spans="5:13" x14ac:dyDescent="0.2">
      <c r="E522">
        <v>2016</v>
      </c>
      <c r="F522" s="1">
        <v>780315</v>
      </c>
      <c r="G522" s="1">
        <v>8262121300</v>
      </c>
      <c r="H522" s="1">
        <v>88119204700</v>
      </c>
      <c r="M522" s="15"/>
    </row>
    <row r="523" spans="5:13" x14ac:dyDescent="0.2">
      <c r="E523">
        <v>2017</v>
      </c>
      <c r="F523" s="1">
        <v>795165</v>
      </c>
      <c r="G523" s="1">
        <v>8747456000</v>
      </c>
      <c r="H523" s="1">
        <v>92711372500</v>
      </c>
      <c r="M523" s="15"/>
    </row>
    <row r="524" spans="5:13" x14ac:dyDescent="0.2">
      <c r="E524">
        <v>2018</v>
      </c>
      <c r="F524" s="1">
        <v>811160</v>
      </c>
      <c r="G524" s="1">
        <v>9260707200</v>
      </c>
      <c r="H524" s="1">
        <v>97123689700</v>
      </c>
      <c r="M524" s="15"/>
    </row>
    <row r="525" spans="5:13" x14ac:dyDescent="0.2">
      <c r="E525">
        <v>2019</v>
      </c>
      <c r="F525" s="1">
        <v>824945</v>
      </c>
      <c r="G525" s="1">
        <v>9568811600</v>
      </c>
      <c r="H525" s="1">
        <v>100834073000</v>
      </c>
      <c r="M525" s="15"/>
    </row>
    <row r="526" spans="5:13" x14ac:dyDescent="0.2">
      <c r="E526">
        <v>2020</v>
      </c>
      <c r="F526" s="1">
        <v>830100</v>
      </c>
      <c r="G526" s="1">
        <v>9777282800</v>
      </c>
      <c r="H526" s="1">
        <v>106077838100</v>
      </c>
      <c r="M526" s="15"/>
    </row>
    <row r="527" spans="5:13" x14ac:dyDescent="0.2">
      <c r="E527">
        <v>2021</v>
      </c>
      <c r="F527" s="1">
        <v>843745</v>
      </c>
      <c r="G527" s="1">
        <v>10587278200</v>
      </c>
      <c r="H527" s="1">
        <v>112696658100</v>
      </c>
      <c r="M527" s="15"/>
    </row>
    <row r="528" spans="5:13" x14ac:dyDescent="0.2">
      <c r="E528" s="4">
        <v>2022</v>
      </c>
      <c r="F528" s="1">
        <v>869200</v>
      </c>
      <c r="G528" s="1">
        <v>11305275000</v>
      </c>
      <c r="H528" s="1">
        <v>119782373800</v>
      </c>
      <c r="M528" s="15"/>
    </row>
    <row r="529" spans="2:13" x14ac:dyDescent="0.2">
      <c r="B529" t="s">
        <v>25</v>
      </c>
      <c r="C529" t="s">
        <v>30</v>
      </c>
      <c r="D529" t="s">
        <v>32</v>
      </c>
      <c r="E529" s="4">
        <v>1992</v>
      </c>
      <c r="F529" s="1">
        <v>568340</v>
      </c>
      <c r="G529" s="1">
        <v>4732261800</v>
      </c>
      <c r="H529" s="1">
        <v>38030304800</v>
      </c>
      <c r="M529" s="15"/>
    </row>
    <row r="530" spans="2:13" x14ac:dyDescent="0.2">
      <c r="E530" s="4">
        <v>1993</v>
      </c>
      <c r="F530" s="1">
        <v>582640</v>
      </c>
      <c r="G530" s="1">
        <v>4793040100</v>
      </c>
      <c r="H530" s="1">
        <v>39442891300</v>
      </c>
      <c r="M530" s="15"/>
    </row>
    <row r="531" spans="2:13" x14ac:dyDescent="0.2">
      <c r="E531">
        <v>1994</v>
      </c>
      <c r="F531" s="1">
        <v>590755</v>
      </c>
      <c r="G531" s="1">
        <v>5124940800</v>
      </c>
      <c r="H531" s="1">
        <v>42793919200</v>
      </c>
    </row>
    <row r="532" spans="2:13" x14ac:dyDescent="0.2">
      <c r="E532">
        <v>1995</v>
      </c>
      <c r="F532" s="1">
        <v>600350</v>
      </c>
      <c r="G532" s="1">
        <v>5156538800</v>
      </c>
      <c r="H532" s="1">
        <v>41543716500</v>
      </c>
    </row>
    <row r="533" spans="2:13" x14ac:dyDescent="0.2">
      <c r="E533">
        <v>1996</v>
      </c>
      <c r="F533" s="1">
        <v>605810</v>
      </c>
      <c r="G533" s="1">
        <v>5308631300</v>
      </c>
      <c r="H533" s="1">
        <v>42720992600</v>
      </c>
    </row>
    <row r="534" spans="2:13" x14ac:dyDescent="0.2">
      <c r="E534">
        <v>1997</v>
      </c>
      <c r="F534" s="1">
        <v>612765</v>
      </c>
      <c r="G534" s="1">
        <v>5621302500</v>
      </c>
      <c r="H534" s="1">
        <v>44494856100</v>
      </c>
    </row>
    <row r="535" spans="2:13" x14ac:dyDescent="0.2">
      <c r="E535">
        <v>1998</v>
      </c>
      <c r="F535" s="1">
        <v>617265</v>
      </c>
      <c r="G535" s="1">
        <v>5881965600</v>
      </c>
      <c r="H535" s="1">
        <v>46222573100</v>
      </c>
    </row>
    <row r="536" spans="2:13" x14ac:dyDescent="0.2">
      <c r="E536">
        <v>1999</v>
      </c>
      <c r="F536" s="1">
        <v>627320</v>
      </c>
      <c r="G536" s="1">
        <v>6144703500</v>
      </c>
      <c r="H536" s="1">
        <v>48780131300</v>
      </c>
    </row>
    <row r="537" spans="2:13" x14ac:dyDescent="0.2">
      <c r="E537">
        <v>2000</v>
      </c>
      <c r="F537" s="1">
        <v>635730</v>
      </c>
      <c r="G537" s="1">
        <v>6517034300</v>
      </c>
      <c r="H537" s="1">
        <v>52413387600</v>
      </c>
    </row>
    <row r="538" spans="2:13" x14ac:dyDescent="0.2">
      <c r="E538">
        <v>2001</v>
      </c>
      <c r="F538" s="1">
        <v>639425</v>
      </c>
      <c r="G538" s="1">
        <v>6193404600</v>
      </c>
      <c r="H538" s="1">
        <v>54700199900</v>
      </c>
    </row>
    <row r="539" spans="2:13" x14ac:dyDescent="0.2">
      <c r="E539">
        <v>2002</v>
      </c>
      <c r="F539" s="1">
        <v>638500</v>
      </c>
      <c r="G539" s="1">
        <v>6386671800</v>
      </c>
      <c r="H539" s="1">
        <v>56390991200</v>
      </c>
    </row>
    <row r="540" spans="2:13" x14ac:dyDescent="0.2">
      <c r="E540">
        <v>2003</v>
      </c>
      <c r="F540" s="1">
        <v>653185</v>
      </c>
      <c r="G540" s="1">
        <v>6697958100</v>
      </c>
      <c r="H540" s="1">
        <v>58881807300</v>
      </c>
    </row>
    <row r="541" spans="2:13" x14ac:dyDescent="0.2">
      <c r="E541">
        <v>2004</v>
      </c>
      <c r="F541" s="1">
        <v>663095</v>
      </c>
      <c r="G541" s="1">
        <v>6947330400</v>
      </c>
      <c r="H541" s="1">
        <v>62142224500</v>
      </c>
    </row>
    <row r="542" spans="2:13" x14ac:dyDescent="0.2">
      <c r="E542">
        <v>2005</v>
      </c>
      <c r="F542" s="1">
        <v>675900</v>
      </c>
      <c r="G542" s="1">
        <v>7080695100</v>
      </c>
      <c r="H542" s="1">
        <v>65849942400</v>
      </c>
    </row>
    <row r="543" spans="2:13" x14ac:dyDescent="0.2">
      <c r="E543">
        <v>2006</v>
      </c>
      <c r="F543" s="1">
        <v>683195</v>
      </c>
      <c r="G543" s="1">
        <v>7546250900</v>
      </c>
      <c r="H543" s="1">
        <v>69951741600</v>
      </c>
    </row>
    <row r="544" spans="2:13" x14ac:dyDescent="0.2">
      <c r="E544">
        <v>2007</v>
      </c>
      <c r="F544" s="1">
        <v>692700</v>
      </c>
      <c r="G544" s="1">
        <v>7664569500</v>
      </c>
      <c r="H544" s="1">
        <v>74336090000</v>
      </c>
    </row>
    <row r="545" spans="2:8" x14ac:dyDescent="0.2">
      <c r="E545">
        <v>2008</v>
      </c>
      <c r="F545" s="1">
        <v>703065</v>
      </c>
      <c r="G545" s="1">
        <v>8108098300</v>
      </c>
      <c r="H545" s="1">
        <v>77286651000</v>
      </c>
    </row>
    <row r="546" spans="2:8" x14ac:dyDescent="0.2">
      <c r="E546">
        <v>2009</v>
      </c>
      <c r="F546" s="1">
        <v>711845</v>
      </c>
      <c r="G546" s="1">
        <v>7564668600</v>
      </c>
      <c r="H546" s="1">
        <v>77901173600</v>
      </c>
    </row>
    <row r="547" spans="2:8" x14ac:dyDescent="0.2">
      <c r="E547">
        <v>2010</v>
      </c>
      <c r="F547" s="1">
        <v>719295</v>
      </c>
      <c r="G547" s="1">
        <v>8070641000</v>
      </c>
      <c r="H547" s="1">
        <v>80587677900</v>
      </c>
    </row>
    <row r="548" spans="2:8" x14ac:dyDescent="0.2">
      <c r="E548">
        <v>2011</v>
      </c>
      <c r="F548" s="1">
        <v>730000</v>
      </c>
      <c r="G548" s="1">
        <v>8616545600</v>
      </c>
      <c r="H548" s="1">
        <v>84595823400</v>
      </c>
    </row>
    <row r="549" spans="2:8" x14ac:dyDescent="0.2">
      <c r="E549">
        <v>2012</v>
      </c>
      <c r="F549" s="1">
        <v>741515</v>
      </c>
      <c r="G549" s="1">
        <v>9039407600</v>
      </c>
      <c r="H549" s="1">
        <v>88347206400</v>
      </c>
    </row>
    <row r="550" spans="2:8" x14ac:dyDescent="0.2">
      <c r="E550">
        <v>2013</v>
      </c>
      <c r="F550" s="1">
        <v>752455</v>
      </c>
      <c r="G550" s="1">
        <v>9466825400</v>
      </c>
      <c r="H550" s="1">
        <v>92253459600</v>
      </c>
    </row>
    <row r="551" spans="2:8" x14ac:dyDescent="0.2">
      <c r="E551">
        <v>2014</v>
      </c>
      <c r="F551" s="1">
        <v>762625</v>
      </c>
      <c r="G551" s="1">
        <v>9844757300</v>
      </c>
      <c r="H551" s="1">
        <v>96423206900</v>
      </c>
    </row>
    <row r="552" spans="2:8" x14ac:dyDescent="0.2">
      <c r="E552">
        <v>2015</v>
      </c>
      <c r="F552" s="1">
        <v>771425</v>
      </c>
      <c r="G552" s="1">
        <v>10257721800</v>
      </c>
      <c r="H552" s="1">
        <v>99300404200</v>
      </c>
    </row>
    <row r="553" spans="2:8" x14ac:dyDescent="0.2">
      <c r="E553">
        <v>2016</v>
      </c>
      <c r="F553" s="1">
        <v>780320</v>
      </c>
      <c r="G553" s="1">
        <v>10119784900</v>
      </c>
      <c r="H553" s="1">
        <v>101095524400</v>
      </c>
    </row>
    <row r="554" spans="2:8" x14ac:dyDescent="0.2">
      <c r="E554">
        <v>2017</v>
      </c>
      <c r="F554" s="1">
        <v>795135</v>
      </c>
      <c r="G554" s="1">
        <v>10743429900</v>
      </c>
      <c r="H554" s="1">
        <v>106413962100</v>
      </c>
    </row>
    <row r="555" spans="2:8" x14ac:dyDescent="0.2">
      <c r="E555">
        <v>2018</v>
      </c>
      <c r="F555" s="1">
        <v>811185</v>
      </c>
      <c r="G555" s="1">
        <v>11342795800</v>
      </c>
      <c r="H555" s="1">
        <v>111467008100</v>
      </c>
    </row>
    <row r="556" spans="2:8" x14ac:dyDescent="0.2">
      <c r="E556">
        <v>2019</v>
      </c>
      <c r="F556" s="1">
        <v>824915</v>
      </c>
      <c r="G556" s="1">
        <v>11737444700</v>
      </c>
      <c r="H556" s="1">
        <v>115770792700</v>
      </c>
    </row>
    <row r="557" spans="2:8" x14ac:dyDescent="0.2">
      <c r="E557">
        <v>2020</v>
      </c>
      <c r="F557" s="1">
        <v>830125</v>
      </c>
      <c r="G557" s="1">
        <v>11972799200</v>
      </c>
      <c r="H557" s="1">
        <v>121367239500</v>
      </c>
    </row>
    <row r="558" spans="2:8" x14ac:dyDescent="0.2">
      <c r="E558">
        <v>2021</v>
      </c>
      <c r="F558" s="1">
        <v>843775</v>
      </c>
      <c r="G558" s="1">
        <v>13030250800</v>
      </c>
      <c r="H558" s="1">
        <v>129503581700</v>
      </c>
    </row>
    <row r="559" spans="2:8" x14ac:dyDescent="0.2">
      <c r="E559">
        <v>2022</v>
      </c>
      <c r="F559" s="1">
        <v>869165</v>
      </c>
      <c r="G559" s="1">
        <v>13985100700</v>
      </c>
      <c r="H559" s="1">
        <v>137871642800</v>
      </c>
    </row>
    <row r="560" spans="2:8" x14ac:dyDescent="0.2">
      <c r="B560" t="s">
        <v>26</v>
      </c>
      <c r="C560" t="s">
        <v>30</v>
      </c>
      <c r="D560" t="s">
        <v>32</v>
      </c>
      <c r="E560">
        <v>1992</v>
      </c>
      <c r="F560" s="1">
        <v>568375</v>
      </c>
      <c r="G560" s="1">
        <v>5680361300</v>
      </c>
      <c r="H560" s="1">
        <v>43649132500</v>
      </c>
    </row>
    <row r="561" spans="5:8" x14ac:dyDescent="0.2">
      <c r="E561">
        <v>1993</v>
      </c>
      <c r="F561" s="1">
        <v>582640</v>
      </c>
      <c r="G561" s="1">
        <v>5774484300</v>
      </c>
      <c r="H561" s="1">
        <v>45370277500</v>
      </c>
    </row>
    <row r="562" spans="5:8" x14ac:dyDescent="0.2">
      <c r="E562">
        <v>1994</v>
      </c>
      <c r="F562" s="1">
        <v>590795</v>
      </c>
      <c r="G562" s="1">
        <v>6169330600</v>
      </c>
      <c r="H562" s="1">
        <v>49991759300</v>
      </c>
    </row>
    <row r="563" spans="5:8" x14ac:dyDescent="0.2">
      <c r="E563">
        <v>1995</v>
      </c>
      <c r="F563" s="1">
        <v>600490</v>
      </c>
      <c r="G563" s="1">
        <v>6220985700</v>
      </c>
      <c r="H563" s="1">
        <v>47760528200</v>
      </c>
    </row>
    <row r="564" spans="5:8" x14ac:dyDescent="0.2">
      <c r="E564">
        <v>1996</v>
      </c>
      <c r="F564" s="1">
        <v>605790</v>
      </c>
      <c r="G564" s="1">
        <v>6425408700</v>
      </c>
      <c r="H564" s="1">
        <v>49195857700</v>
      </c>
    </row>
    <row r="565" spans="5:8" x14ac:dyDescent="0.2">
      <c r="E565">
        <v>1997</v>
      </c>
      <c r="F565" s="1">
        <v>612740</v>
      </c>
      <c r="G565" s="1">
        <v>6832240200</v>
      </c>
      <c r="H565" s="1">
        <v>51379540200</v>
      </c>
    </row>
    <row r="566" spans="5:8" x14ac:dyDescent="0.2">
      <c r="E566">
        <v>1998</v>
      </c>
      <c r="F566" s="1">
        <v>617250</v>
      </c>
      <c r="G566" s="1">
        <v>7184701900</v>
      </c>
      <c r="H566" s="1">
        <v>53479649800</v>
      </c>
    </row>
    <row r="567" spans="5:8" x14ac:dyDescent="0.2">
      <c r="E567">
        <v>1999</v>
      </c>
      <c r="F567" s="1">
        <v>627365</v>
      </c>
      <c r="G567" s="1">
        <v>7524438600</v>
      </c>
      <c r="H567" s="1">
        <v>56498134800</v>
      </c>
    </row>
    <row r="568" spans="5:8" x14ac:dyDescent="0.2">
      <c r="E568">
        <v>2000</v>
      </c>
      <c r="F568" s="1">
        <v>635745</v>
      </c>
      <c r="G568" s="1">
        <v>7980149200</v>
      </c>
      <c r="H568" s="1">
        <v>60911697800</v>
      </c>
    </row>
    <row r="569" spans="5:8" x14ac:dyDescent="0.2">
      <c r="E569">
        <v>2001</v>
      </c>
      <c r="F569" s="1">
        <v>639425</v>
      </c>
      <c r="G569" s="1">
        <v>7559495800</v>
      </c>
      <c r="H569" s="1">
        <v>63390028300</v>
      </c>
    </row>
    <row r="570" spans="5:8" x14ac:dyDescent="0.2">
      <c r="E570">
        <v>2002</v>
      </c>
      <c r="F570" s="1">
        <v>638475</v>
      </c>
      <c r="G570" s="1">
        <v>7813145500</v>
      </c>
      <c r="H570" s="1">
        <v>65422157700</v>
      </c>
    </row>
    <row r="571" spans="5:8" x14ac:dyDescent="0.2">
      <c r="E571">
        <v>2003</v>
      </c>
      <c r="F571" s="1">
        <v>653155</v>
      </c>
      <c r="G571" s="1">
        <v>8187517800</v>
      </c>
      <c r="H571" s="1">
        <v>68363687800</v>
      </c>
    </row>
    <row r="572" spans="5:8" x14ac:dyDescent="0.2">
      <c r="E572">
        <v>2004</v>
      </c>
      <c r="F572" s="1">
        <v>663120</v>
      </c>
      <c r="G572" s="1">
        <v>8515109800</v>
      </c>
      <c r="H572" s="1">
        <v>72247771300</v>
      </c>
    </row>
    <row r="573" spans="5:8" x14ac:dyDescent="0.2">
      <c r="E573">
        <v>2005</v>
      </c>
      <c r="F573" s="1">
        <v>675850</v>
      </c>
      <c r="G573" s="1">
        <v>8740046500</v>
      </c>
      <c r="H573" s="1">
        <v>76677378600</v>
      </c>
    </row>
    <row r="574" spans="5:8" x14ac:dyDescent="0.2">
      <c r="E574">
        <v>2006</v>
      </c>
      <c r="F574" s="1">
        <v>683270</v>
      </c>
      <c r="G574" s="1">
        <v>9341599100</v>
      </c>
      <c r="H574" s="1">
        <v>81644467500</v>
      </c>
    </row>
    <row r="575" spans="5:8" x14ac:dyDescent="0.2">
      <c r="E575">
        <v>2007</v>
      </c>
      <c r="F575" s="1">
        <v>692690</v>
      </c>
      <c r="G575" s="1">
        <v>9586481600</v>
      </c>
      <c r="H575" s="1">
        <v>86868765000</v>
      </c>
    </row>
    <row r="576" spans="5:8" x14ac:dyDescent="0.2">
      <c r="E576">
        <v>2008</v>
      </c>
      <c r="F576" s="1">
        <v>703055</v>
      </c>
      <c r="G576" s="1">
        <v>10163180000</v>
      </c>
      <c r="H576" s="1">
        <v>90266008000</v>
      </c>
    </row>
    <row r="577" spans="2:8" x14ac:dyDescent="0.2">
      <c r="E577">
        <v>2009</v>
      </c>
      <c r="F577" s="1">
        <v>711830</v>
      </c>
      <c r="G577" s="1">
        <v>9552738700</v>
      </c>
      <c r="H577" s="1">
        <v>91105405300</v>
      </c>
    </row>
    <row r="578" spans="2:8" x14ac:dyDescent="0.2">
      <c r="E578">
        <v>2010</v>
      </c>
      <c r="F578" s="1">
        <v>719300</v>
      </c>
      <c r="G578" s="1">
        <v>10170981300</v>
      </c>
      <c r="H578" s="1">
        <v>94341804100</v>
      </c>
    </row>
    <row r="579" spans="2:8" x14ac:dyDescent="0.2">
      <c r="E579">
        <v>2011</v>
      </c>
      <c r="F579" s="1">
        <v>730015</v>
      </c>
      <c r="G579" s="1">
        <v>10854627000</v>
      </c>
      <c r="H579" s="1">
        <v>99094457900</v>
      </c>
    </row>
    <row r="580" spans="2:8" x14ac:dyDescent="0.2">
      <c r="E580">
        <v>2012</v>
      </c>
      <c r="F580" s="1">
        <v>741465</v>
      </c>
      <c r="G580" s="1">
        <v>11405351000</v>
      </c>
      <c r="H580" s="1">
        <v>103485984500</v>
      </c>
    </row>
    <row r="581" spans="2:8" x14ac:dyDescent="0.2">
      <c r="E581">
        <v>2013</v>
      </c>
      <c r="F581" s="1">
        <v>752420</v>
      </c>
      <c r="G581" s="1">
        <v>11964642800</v>
      </c>
      <c r="H581" s="1">
        <v>108189738400</v>
      </c>
    </row>
    <row r="582" spans="2:8" x14ac:dyDescent="0.2">
      <c r="E582">
        <v>2014</v>
      </c>
      <c r="F582" s="1">
        <v>762600</v>
      </c>
      <c r="G582" s="1">
        <v>12497405200</v>
      </c>
      <c r="H582" s="1">
        <v>113073586400</v>
      </c>
    </row>
    <row r="583" spans="2:8" x14ac:dyDescent="0.2">
      <c r="E583">
        <v>2015</v>
      </c>
      <c r="F583" s="1">
        <v>771455</v>
      </c>
      <c r="G583" s="1">
        <v>13004865000</v>
      </c>
      <c r="H583" s="1">
        <v>116492339000</v>
      </c>
    </row>
    <row r="584" spans="2:8" x14ac:dyDescent="0.2">
      <c r="E584">
        <v>2016</v>
      </c>
      <c r="F584" s="1">
        <v>780325</v>
      </c>
      <c r="G584" s="1">
        <v>12748914400</v>
      </c>
      <c r="H584" s="1">
        <v>118557839100</v>
      </c>
    </row>
    <row r="585" spans="2:8" x14ac:dyDescent="0.2">
      <c r="E585">
        <v>2017</v>
      </c>
      <c r="F585" s="1">
        <v>795120</v>
      </c>
      <c r="G585" s="1">
        <v>13541359900</v>
      </c>
      <c r="H585" s="1">
        <v>124916639500</v>
      </c>
    </row>
    <row r="586" spans="2:8" x14ac:dyDescent="0.2">
      <c r="E586">
        <v>2018</v>
      </c>
      <c r="F586" s="1">
        <v>811185</v>
      </c>
      <c r="G586" s="1">
        <v>14309323700</v>
      </c>
      <c r="H586" s="1">
        <v>130810761000</v>
      </c>
    </row>
    <row r="587" spans="2:8" x14ac:dyDescent="0.2">
      <c r="E587">
        <v>2019</v>
      </c>
      <c r="F587" s="1">
        <v>824955</v>
      </c>
      <c r="G587" s="1">
        <v>14802818800</v>
      </c>
      <c r="H587" s="1">
        <v>135875803200</v>
      </c>
    </row>
    <row r="588" spans="2:8" x14ac:dyDescent="0.2">
      <c r="E588">
        <v>2020</v>
      </c>
      <c r="F588" s="1">
        <v>830135</v>
      </c>
      <c r="G588" s="1">
        <v>15084262400</v>
      </c>
      <c r="H588" s="1">
        <v>142060741700</v>
      </c>
    </row>
    <row r="589" spans="2:8" x14ac:dyDescent="0.2">
      <c r="E589">
        <v>2021</v>
      </c>
      <c r="F589" s="1">
        <v>843760</v>
      </c>
      <c r="G589" s="1">
        <v>16484976700</v>
      </c>
      <c r="H589" s="1">
        <v>152294947300</v>
      </c>
    </row>
    <row r="590" spans="2:8" x14ac:dyDescent="0.2">
      <c r="E590">
        <v>2022</v>
      </c>
      <c r="F590" s="1">
        <v>869190</v>
      </c>
      <c r="G590" s="1">
        <v>17801618300</v>
      </c>
      <c r="H590" s="1">
        <v>162241653800</v>
      </c>
    </row>
    <row r="591" spans="2:8" x14ac:dyDescent="0.2">
      <c r="B591" t="s">
        <v>27</v>
      </c>
      <c r="C591" t="s">
        <v>30</v>
      </c>
      <c r="D591" t="s">
        <v>32</v>
      </c>
      <c r="E591">
        <v>1992</v>
      </c>
      <c r="F591" s="1">
        <v>568350</v>
      </c>
      <c r="G591" s="1">
        <v>7223067300</v>
      </c>
      <c r="H591" s="1">
        <v>52442004900</v>
      </c>
    </row>
    <row r="592" spans="2:8" x14ac:dyDescent="0.2">
      <c r="E592">
        <v>1993</v>
      </c>
      <c r="F592" s="1">
        <v>582620</v>
      </c>
      <c r="G592" s="1">
        <v>7354456800</v>
      </c>
      <c r="H592" s="1">
        <v>54754794000</v>
      </c>
    </row>
    <row r="593" spans="5:8" x14ac:dyDescent="0.2">
      <c r="E593">
        <v>1994</v>
      </c>
      <c r="F593" s="1">
        <v>590790</v>
      </c>
      <c r="G593" s="1">
        <v>7659837200</v>
      </c>
      <c r="H593" s="1">
        <v>62433417400</v>
      </c>
    </row>
    <row r="594" spans="5:8" x14ac:dyDescent="0.2">
      <c r="E594">
        <v>1995</v>
      </c>
      <c r="F594" s="1">
        <v>600410</v>
      </c>
      <c r="G594" s="1">
        <v>7964394700</v>
      </c>
      <c r="H594" s="1">
        <v>57431796200</v>
      </c>
    </row>
    <row r="595" spans="5:8" x14ac:dyDescent="0.2">
      <c r="E595">
        <v>1996</v>
      </c>
      <c r="F595" s="1">
        <v>605780</v>
      </c>
      <c r="G595" s="1">
        <v>8260187900</v>
      </c>
      <c r="H595" s="1">
        <v>59272543600</v>
      </c>
    </row>
    <row r="596" spans="5:8" x14ac:dyDescent="0.2">
      <c r="E596">
        <v>1997</v>
      </c>
      <c r="F596" s="1">
        <v>612715</v>
      </c>
      <c r="G596" s="1">
        <v>8858956700</v>
      </c>
      <c r="H596" s="1">
        <v>62200511500</v>
      </c>
    </row>
    <row r="597" spans="5:8" x14ac:dyDescent="0.2">
      <c r="E597">
        <v>1998</v>
      </c>
      <c r="F597" s="1">
        <v>617250</v>
      </c>
      <c r="G597" s="1">
        <v>9352685600</v>
      </c>
      <c r="H597" s="1">
        <v>64941309600</v>
      </c>
    </row>
    <row r="598" spans="5:8" x14ac:dyDescent="0.2">
      <c r="E598">
        <v>1999</v>
      </c>
      <c r="F598" s="1">
        <v>627340</v>
      </c>
      <c r="G598" s="1">
        <v>9842705000</v>
      </c>
      <c r="H598" s="1">
        <v>68700673700</v>
      </c>
    </row>
    <row r="599" spans="5:8" x14ac:dyDescent="0.2">
      <c r="E599">
        <v>2000</v>
      </c>
      <c r="F599" s="1">
        <v>635740</v>
      </c>
      <c r="G599" s="1">
        <v>10479424500</v>
      </c>
      <c r="H599" s="1">
        <v>74547733500</v>
      </c>
    </row>
    <row r="600" spans="5:8" x14ac:dyDescent="0.2">
      <c r="E600">
        <v>2001</v>
      </c>
      <c r="F600" s="1">
        <v>639425</v>
      </c>
      <c r="G600" s="1">
        <v>9882356500</v>
      </c>
      <c r="H600" s="1">
        <v>77348062100</v>
      </c>
    </row>
    <row r="601" spans="5:8" x14ac:dyDescent="0.2">
      <c r="E601">
        <v>2002</v>
      </c>
      <c r="F601" s="1">
        <v>638515</v>
      </c>
      <c r="G601" s="1">
        <v>10212591500</v>
      </c>
      <c r="H601" s="1">
        <v>79814467400</v>
      </c>
    </row>
    <row r="602" spans="5:8" x14ac:dyDescent="0.2">
      <c r="E602">
        <v>2003</v>
      </c>
      <c r="F602" s="1">
        <v>653155</v>
      </c>
      <c r="G602" s="1">
        <v>10697757800</v>
      </c>
      <c r="H602" s="1">
        <v>83457149800</v>
      </c>
    </row>
    <row r="603" spans="5:8" x14ac:dyDescent="0.2">
      <c r="E603">
        <v>2004</v>
      </c>
      <c r="F603" s="1">
        <v>663100</v>
      </c>
      <c r="G603" s="1">
        <v>11137144000</v>
      </c>
      <c r="H603" s="1">
        <v>88405199200</v>
      </c>
    </row>
    <row r="604" spans="5:8" x14ac:dyDescent="0.2">
      <c r="E604">
        <v>2005</v>
      </c>
      <c r="F604" s="1">
        <v>675855</v>
      </c>
      <c r="G604" s="1">
        <v>11584324600</v>
      </c>
      <c r="H604" s="1">
        <v>94157677700</v>
      </c>
    </row>
    <row r="605" spans="5:8" x14ac:dyDescent="0.2">
      <c r="E605">
        <v>2006</v>
      </c>
      <c r="F605" s="1">
        <v>683230</v>
      </c>
      <c r="G605" s="1">
        <v>12409467000</v>
      </c>
      <c r="H605" s="1">
        <v>100642012600</v>
      </c>
    </row>
    <row r="606" spans="5:8" x14ac:dyDescent="0.2">
      <c r="E606">
        <v>2007</v>
      </c>
      <c r="F606" s="1">
        <v>692670</v>
      </c>
      <c r="G606" s="1">
        <v>12921285700</v>
      </c>
      <c r="H606" s="1">
        <v>107356726900</v>
      </c>
    </row>
    <row r="607" spans="5:8" x14ac:dyDescent="0.2">
      <c r="E607">
        <v>2008</v>
      </c>
      <c r="F607" s="1">
        <v>703080</v>
      </c>
      <c r="G607" s="1">
        <v>13665808200</v>
      </c>
      <c r="H607" s="1">
        <v>111221717100</v>
      </c>
    </row>
    <row r="608" spans="5:8" x14ac:dyDescent="0.2">
      <c r="E608">
        <v>2009</v>
      </c>
      <c r="F608" s="1">
        <v>711835</v>
      </c>
      <c r="G608" s="1">
        <v>12987343500</v>
      </c>
      <c r="H608" s="1">
        <v>112245380800</v>
      </c>
    </row>
    <row r="609" spans="2:8" x14ac:dyDescent="0.2">
      <c r="E609">
        <v>2010</v>
      </c>
      <c r="F609" s="1">
        <v>719290</v>
      </c>
      <c r="G609" s="1">
        <v>13774006300</v>
      </c>
      <c r="H609" s="1">
        <v>116353293800</v>
      </c>
    </row>
    <row r="610" spans="2:8" x14ac:dyDescent="0.2">
      <c r="E610">
        <v>2011</v>
      </c>
      <c r="F610" s="1">
        <v>729980</v>
      </c>
      <c r="G610" s="1">
        <v>14709532800</v>
      </c>
      <c r="H610" s="1">
        <v>122310447300</v>
      </c>
    </row>
    <row r="611" spans="2:8" x14ac:dyDescent="0.2">
      <c r="E611">
        <v>2012</v>
      </c>
      <c r="F611" s="1">
        <v>741485</v>
      </c>
      <c r="G611" s="1">
        <v>15486450700</v>
      </c>
      <c r="H611" s="1">
        <v>127818097400</v>
      </c>
    </row>
    <row r="612" spans="2:8" x14ac:dyDescent="0.2">
      <c r="E612">
        <v>2013</v>
      </c>
      <c r="F612" s="1">
        <v>752460</v>
      </c>
      <c r="G612" s="1">
        <v>16254492200</v>
      </c>
      <c r="H612" s="1">
        <v>133802395700</v>
      </c>
    </row>
    <row r="613" spans="2:8" x14ac:dyDescent="0.2">
      <c r="E613">
        <v>2014</v>
      </c>
      <c r="F613" s="1">
        <v>762600</v>
      </c>
      <c r="G613" s="1">
        <v>16954599100</v>
      </c>
      <c r="H613" s="1">
        <v>139885408000</v>
      </c>
    </row>
    <row r="614" spans="2:8" x14ac:dyDescent="0.2">
      <c r="E614">
        <v>2015</v>
      </c>
      <c r="F614" s="1">
        <v>771440</v>
      </c>
      <c r="G614" s="1">
        <v>17646078300</v>
      </c>
      <c r="H614" s="1">
        <v>144187838300</v>
      </c>
    </row>
    <row r="615" spans="2:8" x14ac:dyDescent="0.2">
      <c r="E615">
        <v>2016</v>
      </c>
      <c r="F615" s="1">
        <v>780335</v>
      </c>
      <c r="G615" s="1">
        <v>17264275300</v>
      </c>
      <c r="H615" s="1">
        <v>146349010100</v>
      </c>
    </row>
    <row r="616" spans="2:8" x14ac:dyDescent="0.2">
      <c r="E616">
        <v>2017</v>
      </c>
      <c r="F616" s="1">
        <v>795150</v>
      </c>
      <c r="G616" s="1">
        <v>18388870800</v>
      </c>
      <c r="H616" s="1">
        <v>154617792700</v>
      </c>
    </row>
    <row r="617" spans="2:8" x14ac:dyDescent="0.2">
      <c r="E617">
        <v>2018</v>
      </c>
      <c r="F617" s="1">
        <v>811200</v>
      </c>
      <c r="G617" s="1">
        <v>19411096600</v>
      </c>
      <c r="H617" s="1">
        <v>161731587100</v>
      </c>
    </row>
    <row r="618" spans="2:8" x14ac:dyDescent="0.2">
      <c r="E618">
        <v>2019</v>
      </c>
      <c r="F618" s="1">
        <v>824930</v>
      </c>
      <c r="G618" s="1">
        <v>20100239900</v>
      </c>
      <c r="H618" s="1">
        <v>168026107000</v>
      </c>
    </row>
    <row r="619" spans="2:8" x14ac:dyDescent="0.2">
      <c r="E619">
        <v>2020</v>
      </c>
      <c r="F619" s="1">
        <v>830115</v>
      </c>
      <c r="G619" s="1">
        <v>20552656000</v>
      </c>
      <c r="H619" s="1">
        <v>175312636800</v>
      </c>
    </row>
    <row r="620" spans="2:8" x14ac:dyDescent="0.2">
      <c r="E620">
        <v>2021</v>
      </c>
      <c r="F620" s="1">
        <v>843770</v>
      </c>
      <c r="G620" s="1">
        <v>22667477100</v>
      </c>
      <c r="H620" s="1">
        <v>189818715400</v>
      </c>
    </row>
    <row r="621" spans="2:8" x14ac:dyDescent="0.2">
      <c r="E621">
        <v>2022</v>
      </c>
      <c r="F621" s="1">
        <v>869160</v>
      </c>
      <c r="G621" s="1">
        <v>24517269800</v>
      </c>
      <c r="H621" s="1">
        <v>201621530000</v>
      </c>
    </row>
    <row r="622" spans="2:8" x14ac:dyDescent="0.2">
      <c r="B622" t="s">
        <v>28</v>
      </c>
      <c r="C622" t="s">
        <v>30</v>
      </c>
      <c r="D622" t="s">
        <v>32</v>
      </c>
      <c r="E622">
        <v>1992</v>
      </c>
      <c r="F622" s="1">
        <v>568350</v>
      </c>
      <c r="G622" s="1">
        <v>15975523600</v>
      </c>
      <c r="H622" s="1">
        <v>96800101500</v>
      </c>
    </row>
    <row r="623" spans="2:8" x14ac:dyDescent="0.2">
      <c r="E623">
        <v>1993</v>
      </c>
      <c r="F623" s="1">
        <v>582615</v>
      </c>
      <c r="G623" s="1">
        <v>16442460600</v>
      </c>
      <c r="H623" s="1">
        <v>105183110000</v>
      </c>
    </row>
    <row r="624" spans="2:8" x14ac:dyDescent="0.2">
      <c r="E624">
        <v>1994</v>
      </c>
      <c r="F624" s="1">
        <v>590795</v>
      </c>
      <c r="G624" s="1">
        <v>15437922800</v>
      </c>
      <c r="H624" s="1">
        <v>126664016300</v>
      </c>
    </row>
    <row r="625" spans="5:8" x14ac:dyDescent="0.2">
      <c r="E625">
        <v>1995</v>
      </c>
      <c r="F625" s="1">
        <v>600405</v>
      </c>
      <c r="G625" s="1">
        <v>18486516500</v>
      </c>
      <c r="H625" s="1">
        <v>107187191700</v>
      </c>
    </row>
    <row r="626" spans="5:8" x14ac:dyDescent="0.2">
      <c r="E626">
        <v>1996</v>
      </c>
      <c r="F626" s="1">
        <v>605815</v>
      </c>
      <c r="G626" s="1">
        <v>20156566600</v>
      </c>
      <c r="H626" s="1">
        <v>113652541400</v>
      </c>
    </row>
    <row r="627" spans="5:8" x14ac:dyDescent="0.2">
      <c r="E627">
        <v>1997</v>
      </c>
      <c r="F627" s="1">
        <v>612730</v>
      </c>
      <c r="G627" s="1">
        <v>22761177000</v>
      </c>
      <c r="H627" s="1">
        <v>124745663300</v>
      </c>
    </row>
    <row r="628" spans="5:8" x14ac:dyDescent="0.2">
      <c r="E628">
        <v>1998</v>
      </c>
      <c r="F628" s="1">
        <v>617260</v>
      </c>
      <c r="G628" s="1">
        <v>24718195100</v>
      </c>
      <c r="H628" s="1">
        <v>133194408900</v>
      </c>
    </row>
    <row r="629" spans="5:8" x14ac:dyDescent="0.2">
      <c r="E629">
        <v>1999</v>
      </c>
      <c r="F629" s="1">
        <v>627335</v>
      </c>
      <c r="G629" s="1">
        <v>26425296200</v>
      </c>
      <c r="H629" s="1">
        <v>143240927800</v>
      </c>
    </row>
    <row r="630" spans="5:8" x14ac:dyDescent="0.2">
      <c r="E630">
        <v>2000</v>
      </c>
      <c r="F630" s="1">
        <v>635740</v>
      </c>
      <c r="G630" s="1">
        <v>29894098500</v>
      </c>
      <c r="H630" s="1">
        <v>165543015100</v>
      </c>
    </row>
    <row r="631" spans="5:8" x14ac:dyDescent="0.2">
      <c r="E631">
        <v>2001</v>
      </c>
      <c r="F631" s="1">
        <v>639440</v>
      </c>
      <c r="G631" s="1">
        <v>28088702400</v>
      </c>
      <c r="H631" s="1">
        <v>166485655900</v>
      </c>
    </row>
    <row r="632" spans="5:8" x14ac:dyDescent="0.2">
      <c r="E632">
        <v>2002</v>
      </c>
      <c r="F632" s="1">
        <v>638505</v>
      </c>
      <c r="G632" s="1">
        <v>28018937900</v>
      </c>
      <c r="H632" s="1">
        <v>166037678800</v>
      </c>
    </row>
    <row r="633" spans="5:8" x14ac:dyDescent="0.2">
      <c r="E633">
        <v>2003</v>
      </c>
      <c r="F633" s="1">
        <v>653170</v>
      </c>
      <c r="G633" s="1">
        <v>29121865100</v>
      </c>
      <c r="H633" s="1">
        <v>173598566100</v>
      </c>
    </row>
    <row r="634" spans="5:8" x14ac:dyDescent="0.2">
      <c r="E634">
        <v>2004</v>
      </c>
      <c r="F634" s="1">
        <v>663125</v>
      </c>
      <c r="G634" s="1">
        <v>31386943100</v>
      </c>
      <c r="H634" s="1">
        <v>190397329500</v>
      </c>
    </row>
    <row r="635" spans="5:8" x14ac:dyDescent="0.2">
      <c r="E635">
        <v>2005</v>
      </c>
      <c r="F635" s="1">
        <v>675870</v>
      </c>
      <c r="G635" s="1">
        <v>34275503000</v>
      </c>
      <c r="H635" s="1">
        <v>210620207500</v>
      </c>
    </row>
    <row r="636" spans="5:8" x14ac:dyDescent="0.2">
      <c r="E636">
        <v>2006</v>
      </c>
      <c r="F636" s="1">
        <v>683225</v>
      </c>
      <c r="G636" s="1">
        <v>37928651500</v>
      </c>
      <c r="H636" s="1">
        <v>232608990400</v>
      </c>
    </row>
    <row r="637" spans="5:8" x14ac:dyDescent="0.2">
      <c r="E637">
        <v>2007</v>
      </c>
      <c r="F637" s="1">
        <v>692675</v>
      </c>
      <c r="G637" s="1">
        <v>40116407000</v>
      </c>
      <c r="H637" s="1">
        <v>250178263800</v>
      </c>
    </row>
    <row r="638" spans="5:8" x14ac:dyDescent="0.2">
      <c r="E638">
        <v>2008</v>
      </c>
      <c r="F638" s="1">
        <v>703075</v>
      </c>
      <c r="G638" s="1">
        <v>40121338000</v>
      </c>
      <c r="H638" s="1">
        <v>244005505200</v>
      </c>
    </row>
    <row r="639" spans="5:8" x14ac:dyDescent="0.2">
      <c r="E639">
        <v>2009</v>
      </c>
      <c r="F639" s="1">
        <v>711840</v>
      </c>
      <c r="G639" s="1">
        <v>36907191100</v>
      </c>
      <c r="H639" s="1">
        <v>233422871800</v>
      </c>
    </row>
    <row r="640" spans="5:8" x14ac:dyDescent="0.2">
      <c r="E640">
        <v>2010</v>
      </c>
      <c r="F640" s="1">
        <v>719280</v>
      </c>
      <c r="G640" s="1">
        <v>38201647900</v>
      </c>
      <c r="H640" s="1">
        <v>244768147500</v>
      </c>
    </row>
    <row r="641" spans="5:8" x14ac:dyDescent="0.2">
      <c r="E641">
        <v>2011</v>
      </c>
      <c r="F641" s="1">
        <v>729990</v>
      </c>
      <c r="G641" s="1">
        <v>40557987900</v>
      </c>
      <c r="H641" s="1">
        <v>257788618500</v>
      </c>
    </row>
    <row r="642" spans="5:8" x14ac:dyDescent="0.2">
      <c r="E642">
        <v>2012</v>
      </c>
      <c r="F642" s="1">
        <v>741485</v>
      </c>
      <c r="G642" s="1">
        <v>41787053000</v>
      </c>
      <c r="H642" s="1">
        <v>264439765000</v>
      </c>
    </row>
    <row r="643" spans="5:8" x14ac:dyDescent="0.2">
      <c r="E643">
        <v>2013</v>
      </c>
      <c r="F643" s="1">
        <v>752435</v>
      </c>
      <c r="G643" s="1">
        <v>43709653900</v>
      </c>
      <c r="H643" s="1">
        <v>277528596100</v>
      </c>
    </row>
    <row r="644" spans="5:8" x14ac:dyDescent="0.2">
      <c r="E644">
        <v>2014</v>
      </c>
      <c r="F644" s="1">
        <v>762615</v>
      </c>
      <c r="G644" s="1">
        <v>45970629800</v>
      </c>
      <c r="H644" s="1">
        <v>294175232300</v>
      </c>
    </row>
    <row r="645" spans="5:8" x14ac:dyDescent="0.2">
      <c r="E645">
        <v>2015</v>
      </c>
      <c r="F645" s="1">
        <v>771435</v>
      </c>
      <c r="G645" s="1">
        <v>51055307100</v>
      </c>
      <c r="H645" s="1">
        <v>317985198100</v>
      </c>
    </row>
    <row r="646" spans="5:8" x14ac:dyDescent="0.2">
      <c r="E646">
        <v>2016</v>
      </c>
      <c r="F646" s="1">
        <v>780320</v>
      </c>
      <c r="G646" s="1">
        <v>46686536400</v>
      </c>
      <c r="H646" s="1">
        <v>295203690700</v>
      </c>
    </row>
    <row r="647" spans="5:8" x14ac:dyDescent="0.2">
      <c r="E647">
        <v>2017</v>
      </c>
      <c r="F647" s="1">
        <v>795140</v>
      </c>
      <c r="G647" s="1">
        <v>52415416600</v>
      </c>
      <c r="H647" s="1">
        <v>329323163700</v>
      </c>
    </row>
    <row r="648" spans="5:8" x14ac:dyDescent="0.2">
      <c r="E648">
        <v>2018</v>
      </c>
      <c r="F648" s="1">
        <v>811180</v>
      </c>
      <c r="G648" s="1">
        <v>55363786600</v>
      </c>
      <c r="H648" s="1">
        <v>341882607900</v>
      </c>
    </row>
    <row r="649" spans="5:8" x14ac:dyDescent="0.2">
      <c r="E649">
        <v>2019</v>
      </c>
      <c r="F649" s="1">
        <v>824930</v>
      </c>
      <c r="G649" s="1">
        <v>57514159500</v>
      </c>
      <c r="H649" s="1">
        <v>355952251700</v>
      </c>
    </row>
    <row r="650" spans="5:8" x14ac:dyDescent="0.2">
      <c r="E650">
        <v>2020</v>
      </c>
      <c r="F650" s="1">
        <v>830115</v>
      </c>
      <c r="G650" s="1">
        <v>59774556600</v>
      </c>
      <c r="H650" s="1">
        <v>374353348100</v>
      </c>
    </row>
    <row r="651" spans="5:8" x14ac:dyDescent="0.2">
      <c r="E651">
        <v>2021</v>
      </c>
      <c r="F651" s="1">
        <v>843770</v>
      </c>
      <c r="G651" s="1">
        <v>70333139800</v>
      </c>
      <c r="H651" s="1">
        <v>442439820600</v>
      </c>
    </row>
    <row r="652" spans="5:8" x14ac:dyDescent="0.2">
      <c r="E652">
        <v>2022</v>
      </c>
      <c r="F652" s="1">
        <v>869175</v>
      </c>
      <c r="G652" s="1">
        <v>72773214000</v>
      </c>
      <c r="H652" s="1">
        <v>445390207600</v>
      </c>
    </row>
  </sheetData>
  <pageMargins left="0.7" right="0.7" top="0.75" bottom="0.75" header="0.3" footer="0.3"/>
  <ignoredErrors>
    <ignoredError sqref="X6 X11 X16 X21:X157 Q156 Q151 Q146 Q141 Q6 Q1:Q5 Q7:Q136 AD6 AD11:AD15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A48A-DAB7-5D46-B4CD-C98ABB0952C1}">
  <dimension ref="A1:J156"/>
  <sheetViews>
    <sheetView topLeftCell="B1" workbookViewId="0">
      <selection activeCell="J20" sqref="J20"/>
    </sheetView>
  </sheetViews>
  <sheetFormatPr baseColWidth="10" defaultRowHeight="16" x14ac:dyDescent="0.2"/>
  <cols>
    <col min="1" max="1" width="5.1640625" bestFit="1" customWidth="1"/>
    <col min="2" max="2" width="25" bestFit="1" customWidth="1"/>
    <col min="3" max="3" width="20.83203125" style="15" bestFit="1" customWidth="1"/>
    <col min="4" max="4" width="38.33203125" style="5" bestFit="1" customWidth="1"/>
    <col min="5" max="5" width="29.83203125" style="5" bestFit="1" customWidth="1"/>
    <col min="6" max="6" width="54" bestFit="1" customWidth="1"/>
    <col min="7" max="7" width="35.6640625" style="15" bestFit="1" customWidth="1"/>
    <col min="8" max="8" width="23" style="5" bestFit="1" customWidth="1"/>
    <col min="9" max="9" width="13.33203125" style="5" customWidth="1"/>
    <col min="10" max="10" width="29.33203125" style="5" customWidth="1"/>
  </cols>
  <sheetData>
    <row r="1" spans="1:10" x14ac:dyDescent="0.2">
      <c r="A1" t="s">
        <v>89</v>
      </c>
      <c r="B1" t="s">
        <v>104</v>
      </c>
      <c r="C1" s="15" t="s">
        <v>98</v>
      </c>
      <c r="D1" s="5" t="s">
        <v>103</v>
      </c>
      <c r="E1" s="5" t="s">
        <v>105</v>
      </c>
      <c r="F1" t="s">
        <v>137</v>
      </c>
      <c r="G1" s="15" t="s">
        <v>107</v>
      </c>
      <c r="H1" s="5" t="s">
        <v>106</v>
      </c>
      <c r="I1" s="5" t="s">
        <v>108</v>
      </c>
      <c r="J1" s="7" t="s">
        <v>109</v>
      </c>
    </row>
    <row r="2" spans="1:10" x14ac:dyDescent="0.2">
      <c r="A2" s="2">
        <v>1992</v>
      </c>
      <c r="B2" t="s">
        <v>83</v>
      </c>
      <c r="C2" s="15">
        <v>8373.8237014943752</v>
      </c>
      <c r="D2" s="5">
        <v>1.0088008997897E-2</v>
      </c>
      <c r="E2" s="5">
        <f>C2/AVERAGE($C$2:$C$6)</f>
        <v>0.19703652826357806</v>
      </c>
      <c r="G2" s="15">
        <f>AVERAGE($C$2:$C$6)</f>
        <v>42498.839049237678</v>
      </c>
      <c r="H2" s="5">
        <f>(D2*C2)/G2</f>
        <v>1.9877062700373624E-3</v>
      </c>
      <c r="I2" s="5">
        <f>SUM(H$2:H$6)</f>
        <v>0.56595631120101797</v>
      </c>
      <c r="J2" s="5">
        <f>I2/5</f>
        <v>0.11319126224020359</v>
      </c>
    </row>
    <row r="3" spans="1:10" x14ac:dyDescent="0.2">
      <c r="A3" s="2">
        <v>1992</v>
      </c>
      <c r="B3" t="s">
        <v>84</v>
      </c>
      <c r="C3" s="15">
        <v>19057.934961173312</v>
      </c>
      <c r="D3" s="5">
        <v>4.4305169514264289E-2</v>
      </c>
      <c r="E3" s="5">
        <f t="shared" ref="E3:E6" si="0">C3/AVERAGE($C$2:$C$6)</f>
        <v>0.4484342487354408</v>
      </c>
      <c r="G3" s="15">
        <f>AVERAGE($C$2:$C$6)</f>
        <v>42498.839049237678</v>
      </c>
      <c r="H3" s="5">
        <f>(D3*C3)/G3</f>
        <v>1.9867955406225459E-2</v>
      </c>
      <c r="I3" s="5">
        <f>SUM(H$2:H$6)</f>
        <v>0.56595631120101797</v>
      </c>
      <c r="J3" s="5">
        <f t="shared" ref="J3:J66" si="1">I3/5</f>
        <v>0.11319126224020359</v>
      </c>
    </row>
    <row r="4" spans="1:10" x14ac:dyDescent="0.2">
      <c r="A4" s="2">
        <v>1992</v>
      </c>
      <c r="B4" t="s">
        <v>85</v>
      </c>
      <c r="C4" s="15">
        <v>32662.927114651629</v>
      </c>
      <c r="D4" s="5">
        <v>8.1846909001934309E-2</v>
      </c>
      <c r="E4" s="5">
        <f t="shared" si="0"/>
        <v>0.76856045589408917</v>
      </c>
      <c r="G4" s="15">
        <f t="shared" ref="G4:G6" si="2">AVERAGE($C$2:$C$6)</f>
        <v>42498.839049237678</v>
      </c>
      <c r="H4" s="5">
        <f t="shared" ref="H4:H5" si="3">(D4*C4)/G4</f>
        <v>6.2904297696048661E-2</v>
      </c>
      <c r="I4" s="5">
        <f>SUM(H$2:H$6)</f>
        <v>0.56595631120101797</v>
      </c>
      <c r="J4" s="5">
        <f t="shared" si="1"/>
        <v>0.11319126224020359</v>
      </c>
    </row>
    <row r="5" spans="1:10" x14ac:dyDescent="0.2">
      <c r="A5" s="2">
        <v>1992</v>
      </c>
      <c r="B5" t="s">
        <v>86</v>
      </c>
      <c r="C5" s="15">
        <v>50824.766758013364</v>
      </c>
      <c r="D5" s="5">
        <v>0.11147765718505559</v>
      </c>
      <c r="E5" s="5">
        <f t="shared" si="0"/>
        <v>1.1959095329434659</v>
      </c>
      <c r="G5" s="15">
        <f>AVERAGE($C$2:$C$6)</f>
        <v>42498.839049237678</v>
      </c>
      <c r="H5" s="5">
        <f t="shared" si="3"/>
        <v>0.13331719293781163</v>
      </c>
      <c r="I5" s="5">
        <f>SUM(H$2:H$6)</f>
        <v>0.56595631120101797</v>
      </c>
      <c r="J5" s="5">
        <f t="shared" si="1"/>
        <v>0.11319126224020359</v>
      </c>
    </row>
    <row r="6" spans="1:10" x14ac:dyDescent="0.2">
      <c r="A6" s="2">
        <v>1992</v>
      </c>
      <c r="B6" t="s">
        <v>90</v>
      </c>
      <c r="C6" s="15">
        <v>101574.7427108557</v>
      </c>
      <c r="D6" s="5">
        <v>0.14555252602877866</v>
      </c>
      <c r="E6" s="5">
        <f t="shared" si="0"/>
        <v>2.3900592341634259</v>
      </c>
      <c r="F6">
        <f>SUM(E2:E6)/5</f>
        <v>1</v>
      </c>
      <c r="G6" s="15">
        <f t="shared" si="2"/>
        <v>42498.839049237678</v>
      </c>
      <c r="H6" s="5">
        <f>(D6*C6)/G6</f>
        <v>0.34787915889089482</v>
      </c>
      <c r="I6" s="5">
        <f>SUM(H$2:H$6)</f>
        <v>0.56595631120101797</v>
      </c>
      <c r="J6" s="5">
        <f t="shared" si="1"/>
        <v>0.11319126224020359</v>
      </c>
    </row>
    <row r="7" spans="1:10" x14ac:dyDescent="0.2">
      <c r="A7" s="2">
        <v>1993</v>
      </c>
      <c r="B7" t="s">
        <v>83</v>
      </c>
      <c r="C7" s="15">
        <v>7984.4814364216481</v>
      </c>
      <c r="D7" s="5">
        <v>8.5888380733877712E-3</v>
      </c>
      <c r="E7" s="5">
        <f>C7/AVERAGE($C$7:$C$11)</f>
        <v>0.18541955628307069</v>
      </c>
      <c r="G7" s="15">
        <f>AVERAGE($C$7:$C$11)</f>
        <v>43061.700699100707</v>
      </c>
      <c r="H7" s="5">
        <f t="shared" ref="H7:H70" si="4">(D7*C7)/G7</f>
        <v>1.5925385445547044E-3</v>
      </c>
      <c r="I7" s="5">
        <f>SUM(H$7:H$11)</f>
        <v>0.54854718770210786</v>
      </c>
      <c r="J7" s="5">
        <f t="shared" si="1"/>
        <v>0.10970943754042158</v>
      </c>
    </row>
    <row r="8" spans="1:10" x14ac:dyDescent="0.2">
      <c r="A8" s="2">
        <v>1993</v>
      </c>
      <c r="B8" t="s">
        <v>84</v>
      </c>
      <c r="C8" s="15">
        <v>18728.033296146914</v>
      </c>
      <c r="D8" s="5">
        <v>3.9951005823134961E-2</v>
      </c>
      <c r="E8" s="5">
        <f t="shared" ref="E8:E11" si="5">C8/AVERAGE($C$7:$C$11)</f>
        <v>0.43491160339930623</v>
      </c>
      <c r="G8" s="15">
        <f t="shared" ref="G8:G11" si="6">AVERAGE($C$7:$C$11)</f>
        <v>43061.700699100707</v>
      </c>
      <c r="H8" s="5">
        <f t="shared" si="4"/>
        <v>1.7375155999954643E-2</v>
      </c>
      <c r="I8" s="5">
        <f>SUM(H$7:H$11)</f>
        <v>0.54854718770210786</v>
      </c>
      <c r="J8" s="5">
        <f t="shared" si="1"/>
        <v>0.10970943754042158</v>
      </c>
    </row>
    <row r="9" spans="1:10" x14ac:dyDescent="0.2">
      <c r="A9" s="2">
        <v>1993</v>
      </c>
      <c r="B9" t="s">
        <v>85</v>
      </c>
      <c r="C9" s="15">
        <v>32446.676007140526</v>
      </c>
      <c r="D9" s="5">
        <v>7.8072472202948828E-2</v>
      </c>
      <c r="E9" s="5">
        <f t="shared" si="5"/>
        <v>0.75349267400899789</v>
      </c>
      <c r="G9" s="15">
        <f t="shared" si="6"/>
        <v>43061.700699100707</v>
      </c>
      <c r="H9" s="5">
        <f t="shared" si="4"/>
        <v>5.882703584669307E-2</v>
      </c>
      <c r="I9" s="5">
        <f>SUM(H$7:H$11)</f>
        <v>0.54854718770210786</v>
      </c>
      <c r="J9" s="5">
        <f t="shared" si="1"/>
        <v>0.10970943754042158</v>
      </c>
    </row>
    <row r="10" spans="1:10" x14ac:dyDescent="0.2">
      <c r="A10" s="2">
        <v>1993</v>
      </c>
      <c r="B10" t="s">
        <v>86</v>
      </c>
      <c r="C10" s="15">
        <v>51129.14648353275</v>
      </c>
      <c r="D10" s="5">
        <v>0.10807872837665528</v>
      </c>
      <c r="E10" s="5">
        <f t="shared" si="5"/>
        <v>1.1873461951910442</v>
      </c>
      <c r="G10" s="15">
        <f t="shared" si="6"/>
        <v>43061.700699100707</v>
      </c>
      <c r="H10" s="5">
        <f t="shared" si="4"/>
        <v>0.12832686691910797</v>
      </c>
      <c r="I10" s="5">
        <f>SUM(H$7:H$11)</f>
        <v>0.54854718770210786</v>
      </c>
      <c r="J10" s="5">
        <f t="shared" si="1"/>
        <v>0.10970943754042158</v>
      </c>
    </row>
    <row r="11" spans="1:10" x14ac:dyDescent="0.2">
      <c r="A11" s="2">
        <v>1993</v>
      </c>
      <c r="B11" t="s">
        <v>90</v>
      </c>
      <c r="C11" s="15">
        <v>105020.1662722617</v>
      </c>
      <c r="D11" s="5">
        <v>0.14040568405631113</v>
      </c>
      <c r="E11" s="5">
        <f t="shared" si="5"/>
        <v>2.4388299711175812</v>
      </c>
      <c r="F11">
        <f>SUM(E7:E11)/5</f>
        <v>1</v>
      </c>
      <c r="G11" s="15">
        <f t="shared" si="6"/>
        <v>43061.700699100707</v>
      </c>
      <c r="H11" s="5">
        <f t="shared" si="4"/>
        <v>0.34242559039179749</v>
      </c>
      <c r="I11" s="5">
        <f>SUM(H$7:H$11)</f>
        <v>0.54854718770210786</v>
      </c>
      <c r="J11" s="5">
        <f t="shared" si="1"/>
        <v>0.10970943754042158</v>
      </c>
    </row>
    <row r="12" spans="1:10" x14ac:dyDescent="0.2">
      <c r="A12" s="2">
        <v>1994</v>
      </c>
      <c r="B12" t="s">
        <v>83</v>
      </c>
      <c r="C12" s="15">
        <v>8029.4280400251373</v>
      </c>
      <c r="D12" s="5">
        <v>8.5912686034426387E-3</v>
      </c>
      <c r="E12" s="5">
        <f>C12/AVERAGE(C$12:C$16)</f>
        <v>0.17188527500254927</v>
      </c>
      <c r="G12" s="15">
        <f>AVERAGE(C$12:C$16)</f>
        <v>46713.879591524354</v>
      </c>
      <c r="H12" s="5">
        <f t="shared" si="4"/>
        <v>1.4767125665235054E-3</v>
      </c>
      <c r="I12" s="5">
        <f>SUM(H$12:H$16)</f>
        <v>0.51153069116329197</v>
      </c>
      <c r="J12" s="5">
        <f t="shared" si="1"/>
        <v>0.1023061382326584</v>
      </c>
    </row>
    <row r="13" spans="1:10" x14ac:dyDescent="0.2">
      <c r="A13" s="2">
        <v>1994</v>
      </c>
      <c r="B13" t="s">
        <v>84</v>
      </c>
      <c r="C13" s="15">
        <v>19021.037656408022</v>
      </c>
      <c r="D13" s="5">
        <v>4.0303686973871447E-2</v>
      </c>
      <c r="E13" s="5">
        <f t="shared" ref="E13:E16" si="7">C13/AVERAGE(C$12:C$16)</f>
        <v>0.40718171607093728</v>
      </c>
      <c r="G13" s="15">
        <f t="shared" ref="G13:G15" si="8">AVERAGE(C$12:C$16)</f>
        <v>46713.879591524354</v>
      </c>
      <c r="H13" s="5">
        <f t="shared" si="4"/>
        <v>1.6410924426006859E-2</v>
      </c>
      <c r="I13" s="5">
        <f>SUM(H$12:H$16)</f>
        <v>0.51153069116329197</v>
      </c>
      <c r="J13" s="5">
        <f t="shared" si="1"/>
        <v>0.1023061382326584</v>
      </c>
    </row>
    <row r="14" spans="1:10" x14ac:dyDescent="0.2">
      <c r="A14" s="2">
        <v>1994</v>
      </c>
      <c r="B14" t="s">
        <v>85</v>
      </c>
      <c r="C14" s="15">
        <v>33439.108905863184</v>
      </c>
      <c r="D14" s="5">
        <v>7.9536738826997314E-2</v>
      </c>
      <c r="E14" s="5">
        <f t="shared" si="7"/>
        <v>0.71582812642113092</v>
      </c>
      <c r="G14" s="15">
        <f t="shared" si="8"/>
        <v>46713.879591524354</v>
      </c>
      <c r="H14" s="5">
        <f t="shared" si="4"/>
        <v>5.6934634736176305E-2</v>
      </c>
      <c r="I14" s="5">
        <f>SUM(H$12:H$16)</f>
        <v>0.51153069116329197</v>
      </c>
      <c r="J14" s="5">
        <f t="shared" si="1"/>
        <v>0.1023061382326584</v>
      </c>
    </row>
    <row r="15" spans="1:10" x14ac:dyDescent="0.2">
      <c r="A15" s="2">
        <v>1994</v>
      </c>
      <c r="B15" t="s">
        <v>86</v>
      </c>
      <c r="C15" s="15">
        <v>53796.28170408673</v>
      </c>
      <c r="D15" s="5">
        <v>0.1086837692014712</v>
      </c>
      <c r="E15" s="5">
        <f t="shared" si="7"/>
        <v>1.1516123724788507</v>
      </c>
      <c r="G15" s="15">
        <f t="shared" si="8"/>
        <v>46713.879591524354</v>
      </c>
      <c r="H15" s="5">
        <f t="shared" si="4"/>
        <v>0.12516157330005012</v>
      </c>
      <c r="I15" s="5">
        <f>SUM(H$12:H$16)</f>
        <v>0.51153069116329197</v>
      </c>
      <c r="J15" s="5">
        <f t="shared" si="1"/>
        <v>0.1023061382326584</v>
      </c>
    </row>
    <row r="16" spans="1:10" x14ac:dyDescent="0.2">
      <c r="A16" s="2">
        <v>1994</v>
      </c>
      <c r="B16" t="s">
        <v>90</v>
      </c>
      <c r="C16" s="15">
        <v>119283.54165123872</v>
      </c>
      <c r="D16" s="5">
        <v>0.12200813000673262</v>
      </c>
      <c r="E16" s="5">
        <f t="shared" si="7"/>
        <v>2.553492510026532</v>
      </c>
      <c r="F16">
        <f>SUM(E12:E16)/5</f>
        <v>1</v>
      </c>
      <c r="G16" s="15">
        <f>AVERAGE(C$12:C$16)</f>
        <v>46713.879591524354</v>
      </c>
      <c r="H16" s="5">
        <f t="shared" si="4"/>
        <v>0.31154684613453515</v>
      </c>
      <c r="I16" s="5">
        <f>SUM(H$12:H$16)</f>
        <v>0.51153069116329197</v>
      </c>
      <c r="J16" s="5">
        <f t="shared" si="1"/>
        <v>0.1023061382326584</v>
      </c>
    </row>
    <row r="17" spans="1:10" x14ac:dyDescent="0.2">
      <c r="A17" s="2">
        <v>1995</v>
      </c>
      <c r="B17" t="s">
        <v>83</v>
      </c>
      <c r="C17" s="15">
        <v>8122.6132923594541</v>
      </c>
      <c r="D17" s="5">
        <v>8.9145116527785742E-3</v>
      </c>
      <c r="E17" s="5">
        <f>C17/AVERAGE(C$17:C$21)</f>
        <v>0.18629143548593508</v>
      </c>
      <c r="G17" s="15">
        <f>AVERAGE(C$17:C$21)</f>
        <v>43601.646372909658</v>
      </c>
      <c r="H17" s="5">
        <f t="shared" si="4"/>
        <v>1.6606971724522162E-3</v>
      </c>
      <c r="I17" s="5">
        <f>SUM(H$17:H$21)</f>
        <v>0.57213992407442549</v>
      </c>
      <c r="J17" s="5">
        <f t="shared" si="1"/>
        <v>0.1144279848148851</v>
      </c>
    </row>
    <row r="18" spans="1:10" x14ac:dyDescent="0.2">
      <c r="A18" s="2">
        <v>1995</v>
      </c>
      <c r="B18" t="s">
        <v>84</v>
      </c>
      <c r="C18" s="15">
        <v>19017.371754301228</v>
      </c>
      <c r="D18" s="5">
        <v>4.0000682505669058E-2</v>
      </c>
      <c r="E18" s="5">
        <f t="shared" ref="E18:E21" si="9">C18/AVERAGE(C$17:C$21)</f>
        <v>0.43616178140734152</v>
      </c>
      <c r="G18" s="15">
        <f>AVERAGE(C$17:C$21)</f>
        <v>43601.646372909658</v>
      </c>
      <c r="H18" s="5">
        <f t="shared" si="4"/>
        <v>1.7446768939182098E-2</v>
      </c>
      <c r="I18" s="5">
        <f>SUM(H$17:H$21)</f>
        <v>0.57213992407442549</v>
      </c>
      <c r="J18" s="5">
        <f t="shared" si="1"/>
        <v>0.1144279848148851</v>
      </c>
    </row>
    <row r="19" spans="1:10" x14ac:dyDescent="0.2">
      <c r="A19" s="2">
        <v>1995</v>
      </c>
      <c r="B19" t="s">
        <v>85</v>
      </c>
      <c r="C19" s="15">
        <v>32982.601732989679</v>
      </c>
      <c r="D19" s="5">
        <v>7.943488031204482E-2</v>
      </c>
      <c r="E19" s="5">
        <f t="shared" si="9"/>
        <v>0.75645312681317123</v>
      </c>
      <c r="G19" s="15">
        <f>AVERAGE(C$17:C$21)</f>
        <v>43601.646372909658</v>
      </c>
      <c r="H19" s="5">
        <f t="shared" si="4"/>
        <v>6.0088763590076325E-2</v>
      </c>
      <c r="I19" s="5">
        <f>SUM(H$17:H$21)</f>
        <v>0.57213992407442549</v>
      </c>
      <c r="J19" s="5">
        <f t="shared" si="1"/>
        <v>0.1144279848148851</v>
      </c>
    </row>
    <row r="20" spans="1:10" x14ac:dyDescent="0.2">
      <c r="A20" s="2">
        <v>1995</v>
      </c>
      <c r="B20" t="s">
        <v>86</v>
      </c>
      <c r="C20" s="15">
        <v>52157.20673717522</v>
      </c>
      <c r="D20" s="5">
        <v>0.11009351176018885</v>
      </c>
      <c r="E20" s="5">
        <f t="shared" si="9"/>
        <v>1.1962210392491339</v>
      </c>
      <c r="G20" s="15">
        <f t="shared" ref="G20" si="10">AVERAGE(C$17:C$21)</f>
        <v>43601.646372909658</v>
      </c>
      <c r="H20" s="5">
        <f t="shared" si="4"/>
        <v>0.13169617505235984</v>
      </c>
      <c r="I20" s="5">
        <f>SUM(H$17:H$21)</f>
        <v>0.57213992407442549</v>
      </c>
      <c r="J20" s="5">
        <f t="shared" si="1"/>
        <v>0.1144279848148851</v>
      </c>
    </row>
    <row r="21" spans="1:10" x14ac:dyDescent="0.2">
      <c r="A21" s="2">
        <v>1995</v>
      </c>
      <c r="B21" t="s">
        <v>90</v>
      </c>
      <c r="C21" s="15">
        <v>105728.43834772271</v>
      </c>
      <c r="D21" s="5">
        <v>0.14897587476601779</v>
      </c>
      <c r="E21" s="5">
        <f t="shared" si="9"/>
        <v>2.4248726170444184</v>
      </c>
      <c r="F21">
        <f>SUM(E17:E21)/5</f>
        <v>1</v>
      </c>
      <c r="G21" s="15">
        <f>AVERAGE(C$17:C$21)</f>
        <v>43601.646372909658</v>
      </c>
      <c r="H21" s="5">
        <f t="shared" si="4"/>
        <v>0.36124751932035504</v>
      </c>
      <c r="I21" s="5">
        <f>SUM(H$17:H$21)</f>
        <v>0.57213992407442549</v>
      </c>
      <c r="J21" s="5">
        <f t="shared" si="1"/>
        <v>0.1144279848148851</v>
      </c>
    </row>
    <row r="22" spans="1:10" x14ac:dyDescent="0.2">
      <c r="A22" s="2">
        <v>1996</v>
      </c>
      <c r="B22" t="s">
        <v>83</v>
      </c>
      <c r="C22" s="15">
        <v>8059.936400368143</v>
      </c>
      <c r="D22" s="5">
        <v>8.9568099960714281E-3</v>
      </c>
      <c r="E22" s="5">
        <f>C22/AVERAGE(C$22:C$26)</f>
        <v>0.18069195794282036</v>
      </c>
      <c r="G22" s="15">
        <f>AVERAGE(C$22:C$26)</f>
        <v>44605.949772920692</v>
      </c>
      <c r="H22" s="5">
        <f t="shared" si="4"/>
        <v>1.6184235351119716E-3</v>
      </c>
      <c r="I22" s="5">
        <f>SUM(H$22:H$26)</f>
        <v>0.58201112403192146</v>
      </c>
      <c r="J22" s="5">
        <f t="shared" si="1"/>
        <v>0.11640222480638429</v>
      </c>
    </row>
    <row r="23" spans="1:10" x14ac:dyDescent="0.2">
      <c r="A23" s="2">
        <v>1996</v>
      </c>
      <c r="B23" t="s">
        <v>84</v>
      </c>
      <c r="C23" s="15">
        <v>19144.864464480986</v>
      </c>
      <c r="D23" s="5">
        <v>4.0282189688477681E-2</v>
      </c>
      <c r="E23" s="5">
        <f t="shared" ref="E23:E26" si="11">C23/AVERAGE(C$22:C$26)</f>
        <v>0.42919979424142696</v>
      </c>
      <c r="G23" s="15">
        <f>AVERAGE(C$22:C$26)</f>
        <v>44605.949772920692</v>
      </c>
      <c r="H23" s="5">
        <f t="shared" si="4"/>
        <v>1.7289107525888751E-2</v>
      </c>
      <c r="I23" s="5">
        <f>SUM(H$22:H$26)</f>
        <v>0.58201112403192146</v>
      </c>
      <c r="J23" s="5">
        <f t="shared" si="1"/>
        <v>0.11640222480638429</v>
      </c>
    </row>
    <row r="24" spans="1:10" x14ac:dyDescent="0.2">
      <c r="A24" s="2">
        <v>1996</v>
      </c>
      <c r="B24" t="s">
        <v>85</v>
      </c>
      <c r="C24" s="15">
        <v>33464.322531921389</v>
      </c>
      <c r="D24" s="5">
        <v>7.9996063818405572E-2</v>
      </c>
      <c r="E24" s="5">
        <f t="shared" si="11"/>
        <v>0.75022105127860894</v>
      </c>
      <c r="G24" s="15">
        <f>AVERAGE(C$22:C$26)</f>
        <v>44605.949772920692</v>
      </c>
      <c r="H24" s="5">
        <f t="shared" si="4"/>
        <v>6.0014731095994922E-2</v>
      </c>
      <c r="I24" s="5">
        <f>SUM(H$22:H$26)</f>
        <v>0.58201112403192146</v>
      </c>
      <c r="J24" s="5">
        <f t="shared" si="1"/>
        <v>0.11640222480638429</v>
      </c>
    </row>
    <row r="25" spans="1:10" x14ac:dyDescent="0.2">
      <c r="A25" s="2">
        <v>1996</v>
      </c>
      <c r="B25" t="s">
        <v>86</v>
      </c>
      <c r="C25" s="15">
        <v>53066.10509287344</v>
      </c>
      <c r="D25" s="5">
        <v>0.11064303217147804</v>
      </c>
      <c r="E25" s="5">
        <f t="shared" si="11"/>
        <v>1.1896642793847363</v>
      </c>
      <c r="G25" s="15">
        <f>AVERAGE(C$22:C$26)</f>
        <v>44605.949772920692</v>
      </c>
      <c r="H25" s="5">
        <f t="shared" si="4"/>
        <v>0.13162806313722364</v>
      </c>
      <c r="I25" s="5">
        <f>SUM(H$22:H$26)</f>
        <v>0.58201112403192146</v>
      </c>
      <c r="J25" s="5">
        <f t="shared" si="1"/>
        <v>0.11640222480638429</v>
      </c>
    </row>
    <row r="26" spans="1:10" x14ac:dyDescent="0.2">
      <c r="A26" s="2">
        <v>1996</v>
      </c>
      <c r="B26" t="s">
        <v>90</v>
      </c>
      <c r="C26" s="15">
        <v>109294.52037495951</v>
      </c>
      <c r="D26" s="5">
        <v>0.15160285871842441</v>
      </c>
      <c r="E26" s="5">
        <f t="shared" si="11"/>
        <v>2.4502229171524075</v>
      </c>
      <c r="F26">
        <f>SUM(E22:E26)/5</f>
        <v>1</v>
      </c>
      <c r="G26" s="15">
        <f>AVERAGE(C$22:C$26)</f>
        <v>44605.949772920692</v>
      </c>
      <c r="H26" s="5">
        <f t="shared" si="4"/>
        <v>0.37146079873770216</v>
      </c>
      <c r="I26" s="5">
        <f>SUM(H$22:H$26)</f>
        <v>0.58201112403192146</v>
      </c>
      <c r="J26" s="5">
        <f t="shared" si="1"/>
        <v>0.11640222480638429</v>
      </c>
    </row>
    <row r="27" spans="1:10" x14ac:dyDescent="0.2">
      <c r="A27" s="2">
        <v>1997</v>
      </c>
      <c r="B27" t="s">
        <v>83</v>
      </c>
      <c r="C27" s="15">
        <v>8216.3802695925915</v>
      </c>
      <c r="D27" s="5">
        <v>8.9850251418458621E-3</v>
      </c>
      <c r="E27" s="5">
        <f>C27/AVERAGE(C$27:C$31)</f>
        <v>0.17720241823183824</v>
      </c>
      <c r="G27" s="15">
        <f>AVERAGE(C$27:C$31)</f>
        <v>46367.201709645415</v>
      </c>
      <c r="H27" s="5">
        <f t="shared" si="4"/>
        <v>1.5921681830089521E-3</v>
      </c>
      <c r="I27" s="5">
        <f>SUM(H$27:H$31)</f>
        <v>0.60003661339264103</v>
      </c>
      <c r="J27" s="5">
        <f t="shared" si="1"/>
        <v>0.12000732267852821</v>
      </c>
    </row>
    <row r="28" spans="1:10" x14ac:dyDescent="0.2">
      <c r="A28" s="2">
        <v>1997</v>
      </c>
      <c r="B28" t="s">
        <v>84</v>
      </c>
      <c r="C28" s="15">
        <v>19540.696564301539</v>
      </c>
      <c r="D28" s="5">
        <v>4.1939222943535234E-2</v>
      </c>
      <c r="E28" s="5">
        <f t="shared" ref="E28:E31" si="12">C28/AVERAGE(C$27:C$31)</f>
        <v>0.42143359624474896</v>
      </c>
      <c r="G28" s="15">
        <f>AVERAGE(C$27:C$31)</f>
        <v>46367.201709645415</v>
      </c>
      <c r="H28" s="5">
        <f t="shared" si="4"/>
        <v>1.7674597548804339E-2</v>
      </c>
      <c r="I28" s="5">
        <f>SUM(H$27:H$31)</f>
        <v>0.60003661339264103</v>
      </c>
      <c r="J28" s="5">
        <f t="shared" si="1"/>
        <v>0.12000732267852821</v>
      </c>
    </row>
    <row r="29" spans="1:10" x14ac:dyDescent="0.2">
      <c r="A29" s="2">
        <v>1997</v>
      </c>
      <c r="B29" t="s">
        <v>85</v>
      </c>
      <c r="C29" s="15">
        <v>34223.917129100701</v>
      </c>
      <c r="D29" s="5">
        <v>8.18815007507257E-2</v>
      </c>
      <c r="E29" s="5">
        <f t="shared" si="12"/>
        <v>0.7381061583878451</v>
      </c>
      <c r="G29" s="15">
        <f>AVERAGE(C$27:C$31)</f>
        <v>46367.201709645415</v>
      </c>
      <c r="H29" s="5">
        <f t="shared" si="4"/>
        <v>6.04372399621496E-2</v>
      </c>
      <c r="I29" s="5">
        <f>SUM(H$27:H$31)</f>
        <v>0.60003661339264103</v>
      </c>
      <c r="J29" s="5">
        <f t="shared" si="1"/>
        <v>0.12000732267852821</v>
      </c>
    </row>
    <row r="30" spans="1:10" x14ac:dyDescent="0.2">
      <c r="A30" s="2">
        <v>1997</v>
      </c>
      <c r="B30" t="s">
        <v>86</v>
      </c>
      <c r="C30" s="15">
        <v>54462.790712856222</v>
      </c>
      <c r="D30" s="5">
        <v>0.11281250823438735</v>
      </c>
      <c r="E30" s="5">
        <f t="shared" si="12"/>
        <v>1.1745973167392316</v>
      </c>
      <c r="G30" s="15">
        <f>AVERAGE(C$27:C$31)</f>
        <v>46367.201709645415</v>
      </c>
      <c r="H30" s="5">
        <f t="shared" si="4"/>
        <v>0.13250926946673386</v>
      </c>
      <c r="I30" s="5">
        <f>SUM(H$27:H$31)</f>
        <v>0.60003661339264103</v>
      </c>
      <c r="J30" s="5">
        <f t="shared" si="1"/>
        <v>0.12000732267852821</v>
      </c>
    </row>
    <row r="31" spans="1:10" x14ac:dyDescent="0.2">
      <c r="A31" s="2">
        <v>1997</v>
      </c>
      <c r="B31" t="s">
        <v>90</v>
      </c>
      <c r="C31" s="15">
        <v>115392.22387237602</v>
      </c>
      <c r="D31" s="5">
        <v>0.15583617637352262</v>
      </c>
      <c r="E31" s="5">
        <f t="shared" si="12"/>
        <v>2.4886605103963362</v>
      </c>
      <c r="F31">
        <f>SUM(E27:E31)/5</f>
        <v>1</v>
      </c>
      <c r="G31" s="15">
        <f>AVERAGE(C$27:C$31)</f>
        <v>46367.201709645415</v>
      </c>
      <c r="H31" s="5">
        <f t="shared" si="4"/>
        <v>0.38782333823194426</v>
      </c>
      <c r="I31" s="5">
        <f>SUM(H$27:H$31)</f>
        <v>0.60003661339264103</v>
      </c>
      <c r="J31" s="5">
        <f t="shared" si="1"/>
        <v>0.12000732267852821</v>
      </c>
    </row>
    <row r="32" spans="1:10" x14ac:dyDescent="0.2">
      <c r="A32" s="2">
        <v>1998</v>
      </c>
      <c r="B32" t="s">
        <v>83</v>
      </c>
      <c r="C32" s="15">
        <v>8640.1302975133312</v>
      </c>
      <c r="D32" s="5">
        <v>8.815264364480567E-3</v>
      </c>
      <c r="E32" s="5">
        <f>C32/AVERAGE(C$32:C$36)</f>
        <v>0.17931107319947237</v>
      </c>
      <c r="G32" s="15">
        <f>AVERAGE(C$32:C$36)</f>
        <v>48185.146312195262</v>
      </c>
      <c r="H32" s="5">
        <f t="shared" si="4"/>
        <v>1.5806745137320751E-3</v>
      </c>
      <c r="I32" s="5">
        <f>SUM(H$32:H$36)</f>
        <v>0.60760746206819882</v>
      </c>
      <c r="J32" s="5">
        <f t="shared" si="1"/>
        <v>0.12152149241363977</v>
      </c>
    </row>
    <row r="33" spans="1:10" x14ac:dyDescent="0.2">
      <c r="A33" s="2">
        <v>1998</v>
      </c>
      <c r="B33" t="s">
        <v>84</v>
      </c>
      <c r="C33" s="15">
        <v>20420.213743673663</v>
      </c>
      <c r="D33" s="5">
        <v>4.2193619718052217E-2</v>
      </c>
      <c r="E33" s="5">
        <f t="shared" ref="E33:E36" si="13">C33/AVERAGE(C$32:C$36)</f>
        <v>0.42378648414533249</v>
      </c>
      <c r="G33" s="15">
        <f>AVERAGE(C$32:C$36)</f>
        <v>48185.146312195262</v>
      </c>
      <c r="H33" s="5">
        <f t="shared" si="4"/>
        <v>1.7881085753678524E-2</v>
      </c>
      <c r="I33" s="5">
        <f>SUM(H$32:H$36)</f>
        <v>0.60760746206819882</v>
      </c>
      <c r="J33" s="5">
        <f t="shared" si="1"/>
        <v>0.12152149241363977</v>
      </c>
    </row>
    <row r="34" spans="1:10" x14ac:dyDescent="0.2">
      <c r="A34" s="2">
        <v>1998</v>
      </c>
      <c r="B34" t="s">
        <v>85</v>
      </c>
      <c r="C34" s="15">
        <v>35240.791356999653</v>
      </c>
      <c r="D34" s="5">
        <v>8.235573637876055E-2</v>
      </c>
      <c r="E34" s="5">
        <f t="shared" si="13"/>
        <v>0.73136213240221082</v>
      </c>
      <c r="G34" s="15">
        <f>AVERAGE(C$32:C$36)</f>
        <v>48185.146312195262</v>
      </c>
      <c r="H34" s="5">
        <f t="shared" si="4"/>
        <v>6.0231866973524645E-2</v>
      </c>
      <c r="I34" s="5">
        <f>SUM(H$32:H$36)</f>
        <v>0.60760746206819882</v>
      </c>
      <c r="J34" s="5">
        <f t="shared" si="1"/>
        <v>0.12152149241363977</v>
      </c>
    </row>
    <row r="35" spans="1:10" x14ac:dyDescent="0.2">
      <c r="A35" s="2">
        <v>1998</v>
      </c>
      <c r="B35" t="s">
        <v>86</v>
      </c>
      <c r="C35" s="15">
        <v>55994.816634433315</v>
      </c>
      <c r="D35" s="5">
        <v>0.11333266180494737</v>
      </c>
      <c r="E35" s="5">
        <f t="shared" si="13"/>
        <v>1.1620763019300304</v>
      </c>
      <c r="G35" s="15">
        <f>AVERAGE(C$32:C$36)</f>
        <v>48185.146312195262</v>
      </c>
      <c r="H35" s="5">
        <f t="shared" si="4"/>
        <v>0.13170120051818004</v>
      </c>
      <c r="I35" s="5">
        <f>SUM(H$32:H$36)</f>
        <v>0.60760746206819882</v>
      </c>
      <c r="J35" s="5">
        <f t="shared" si="1"/>
        <v>0.12152149241363977</v>
      </c>
    </row>
    <row r="36" spans="1:10" x14ac:dyDescent="0.2">
      <c r="A36" s="2">
        <v>1998</v>
      </c>
      <c r="B36" t="s">
        <v>90</v>
      </c>
      <c r="C36" s="15">
        <v>120629.77952835633</v>
      </c>
      <c r="D36" s="5">
        <v>0.15826576015946101</v>
      </c>
      <c r="E36" s="5">
        <f t="shared" si="13"/>
        <v>2.5034640083229536</v>
      </c>
      <c r="F36">
        <f>SUM(E32:E36)/5</f>
        <v>1</v>
      </c>
      <c r="G36" s="15">
        <f>AVERAGE(C$32:C$36)</f>
        <v>48185.146312195262</v>
      </c>
      <c r="H36" s="5">
        <f t="shared" si="4"/>
        <v>0.39621263430908349</v>
      </c>
      <c r="I36" s="5">
        <f>SUM(H$32:H$36)</f>
        <v>0.60760746206819882</v>
      </c>
      <c r="J36" s="5">
        <f t="shared" si="1"/>
        <v>0.12152149241363977</v>
      </c>
    </row>
    <row r="37" spans="1:10" x14ac:dyDescent="0.2">
      <c r="A37" s="2">
        <v>1999</v>
      </c>
      <c r="B37" t="s">
        <v>83</v>
      </c>
      <c r="C37" s="15">
        <v>8873.812809727151</v>
      </c>
      <c r="D37" s="5">
        <v>8.5662666527068377E-3</v>
      </c>
      <c r="E37" s="5">
        <f>C37/AVERAGE(C$37:C$41)</f>
        <v>0.17661095474190022</v>
      </c>
      <c r="G37" s="15">
        <f>AVERAGE(C$37:C$41)</f>
        <v>50244.973890183472</v>
      </c>
      <c r="H37" s="5">
        <f t="shared" si="4"/>
        <v>1.5128965321082564E-3</v>
      </c>
      <c r="I37" s="5">
        <f>SUM(H$37:H$41)</f>
        <v>0.60406127386534103</v>
      </c>
      <c r="J37" s="5">
        <f t="shared" si="1"/>
        <v>0.1208122547730682</v>
      </c>
    </row>
    <row r="38" spans="1:10" x14ac:dyDescent="0.2">
      <c r="A38" s="2">
        <v>1999</v>
      </c>
      <c r="B38" t="s">
        <v>84</v>
      </c>
      <c r="C38" s="15">
        <v>21210.977025007473</v>
      </c>
      <c r="D38" s="5">
        <v>4.1891708801652688E-2</v>
      </c>
      <c r="E38" s="5">
        <f t="shared" ref="E38:E41" si="14">C38/AVERAGE(C$37:C$41)</f>
        <v>0.42215121996812366</v>
      </c>
      <c r="G38" s="15">
        <f>AVERAGE(C$37:C$41)</f>
        <v>50244.973890183472</v>
      </c>
      <c r="H38" s="5">
        <f t="shared" si="4"/>
        <v>1.7684635977167067E-2</v>
      </c>
      <c r="I38" s="5">
        <f>SUM(H$37:H$41)</f>
        <v>0.60406127386534103</v>
      </c>
      <c r="J38" s="5">
        <f t="shared" si="1"/>
        <v>0.1208122547730682</v>
      </c>
    </row>
    <row r="39" spans="1:10" x14ac:dyDescent="0.2">
      <c r="A39" s="2">
        <v>1999</v>
      </c>
      <c r="B39" t="s">
        <v>85</v>
      </c>
      <c r="C39" s="15">
        <v>36608.752597717001</v>
      </c>
      <c r="D39" s="5">
        <v>8.1663700913719592E-2</v>
      </c>
      <c r="E39" s="5">
        <f t="shared" si="14"/>
        <v>0.7286052666228845</v>
      </c>
      <c r="G39" s="15">
        <f>AVERAGE(C$37:C$41)</f>
        <v>50244.973890183472</v>
      </c>
      <c r="H39" s="5">
        <f t="shared" si="4"/>
        <v>5.9500602577652162E-2</v>
      </c>
      <c r="I39" s="5">
        <f>SUM(H$37:H$41)</f>
        <v>0.60406127386534103</v>
      </c>
      <c r="J39" s="5">
        <f t="shared" si="1"/>
        <v>0.1208122547730682</v>
      </c>
    </row>
    <row r="40" spans="1:10" x14ac:dyDescent="0.2">
      <c r="A40" s="2">
        <v>1999</v>
      </c>
      <c r="B40" t="s">
        <v>86</v>
      </c>
      <c r="C40" s="15">
        <v>58116.676430267958</v>
      </c>
      <c r="D40" s="5">
        <v>0.11178386621108588</v>
      </c>
      <c r="E40" s="5">
        <f t="shared" si="14"/>
        <v>1.1566664669244142</v>
      </c>
      <c r="G40" s="15">
        <f>AVERAGE(C$37:C$41)</f>
        <v>50244.973890183472</v>
      </c>
      <c r="H40" s="5">
        <f t="shared" si="4"/>
        <v>0.12929664958952813</v>
      </c>
      <c r="I40" s="5">
        <f>SUM(H$37:H$41)</f>
        <v>0.60406127386534103</v>
      </c>
      <c r="J40" s="5">
        <f t="shared" si="1"/>
        <v>0.1208122547730682</v>
      </c>
    </row>
    <row r="41" spans="1:10" x14ac:dyDescent="0.2">
      <c r="A41" s="2">
        <v>1999</v>
      </c>
      <c r="B41" t="s">
        <v>90</v>
      </c>
      <c r="C41" s="15">
        <v>126414.65058819779</v>
      </c>
      <c r="D41" s="5">
        <v>0.15742123492393767</v>
      </c>
      <c r="E41" s="5">
        <f t="shared" si="14"/>
        <v>2.5159660917426776</v>
      </c>
      <c r="F41">
        <f>SUM( E37:E41)/5</f>
        <v>1</v>
      </c>
      <c r="G41" s="15">
        <f>AVERAGE(C$37:C$41)</f>
        <v>50244.973890183472</v>
      </c>
      <c r="H41" s="5">
        <f t="shared" si="4"/>
        <v>0.39606648918888537</v>
      </c>
      <c r="I41" s="5">
        <f>SUM(H$37:H$41)</f>
        <v>0.60406127386534103</v>
      </c>
      <c r="J41" s="5">
        <f t="shared" si="1"/>
        <v>0.1208122547730682</v>
      </c>
    </row>
    <row r="42" spans="1:10" x14ac:dyDescent="0.2">
      <c r="A42" s="2">
        <v>2000</v>
      </c>
      <c r="B42" t="s">
        <v>83</v>
      </c>
      <c r="C42" s="15">
        <v>9178.1140437982613</v>
      </c>
      <c r="D42" s="5">
        <v>8.7179130658339779E-3</v>
      </c>
      <c r="E42" s="5">
        <f>C42/AVERAGE(C$42:C$46)</f>
        <v>0.17000112298272538</v>
      </c>
      <c r="G42" s="15">
        <f>AVERAGE(C$42:C$46)</f>
        <v>53988.549503469418</v>
      </c>
      <c r="H42" s="5">
        <f t="shared" si="4"/>
        <v>1.4820550112575506E-3</v>
      </c>
      <c r="I42" s="5">
        <f>SUM(H$42:H$46)</f>
        <v>0.60236858725450959</v>
      </c>
      <c r="J42" s="5">
        <f t="shared" si="1"/>
        <v>0.12047371745090192</v>
      </c>
    </row>
    <row r="43" spans="1:10" x14ac:dyDescent="0.2">
      <c r="A43" s="2">
        <v>2000</v>
      </c>
      <c r="B43" t="s">
        <v>84</v>
      </c>
      <c r="C43" s="15">
        <v>22125.251388080596</v>
      </c>
      <c r="D43" s="5">
        <v>4.2326365240364733E-2</v>
      </c>
      <c r="E43" s="5">
        <f t="shared" ref="E43:E46" si="15">C43/AVERAGE(C$42:C$46)</f>
        <v>0.40981377702430738</v>
      </c>
      <c r="G43" s="15">
        <f>AVERAGE(C$42:C$46)</f>
        <v>53988.549503469418</v>
      </c>
      <c r="H43" s="5">
        <f t="shared" si="4"/>
        <v>1.7345927606864226E-2</v>
      </c>
      <c r="I43" s="5">
        <f>SUM(H$42:H$46)</f>
        <v>0.60236858725450959</v>
      </c>
      <c r="J43" s="5">
        <f t="shared" si="1"/>
        <v>0.12047371745090192</v>
      </c>
    </row>
    <row r="44" spans="1:10" x14ac:dyDescent="0.2">
      <c r="A44" s="2">
        <v>2000</v>
      </c>
      <c r="B44" t="s">
        <v>85</v>
      </c>
      <c r="C44" s="15">
        <v>38349.910772219446</v>
      </c>
      <c r="D44" s="5">
        <v>8.1767272352170836E-2</v>
      </c>
      <c r="E44" s="5">
        <f t="shared" si="15"/>
        <v>0.71033415650025933</v>
      </c>
      <c r="G44" s="15">
        <f>AVERAGE(C$42:C$46)</f>
        <v>53988.549503469418</v>
      </c>
      <c r="H44" s="5">
        <f t="shared" si="4"/>
        <v>5.8082086435606251E-2</v>
      </c>
      <c r="I44" s="5">
        <f>SUM(H$42:H$46)</f>
        <v>0.60236858725450959</v>
      </c>
      <c r="J44" s="5">
        <f t="shared" si="1"/>
        <v>0.12047371745090192</v>
      </c>
    </row>
    <row r="45" spans="1:10" x14ac:dyDescent="0.2">
      <c r="A45" s="2">
        <v>2000</v>
      </c>
      <c r="B45" t="s">
        <v>86</v>
      </c>
      <c r="C45" s="15">
        <v>61311.064695750654</v>
      </c>
      <c r="D45" s="5">
        <v>0.11076639922020314</v>
      </c>
      <c r="E45" s="5">
        <f t="shared" si="15"/>
        <v>1.1356308932102477</v>
      </c>
      <c r="G45" s="15">
        <f>AVERAGE(C$42:C$46)</f>
        <v>53988.549503469418</v>
      </c>
      <c r="H45" s="5">
        <f t="shared" si="4"/>
        <v>0.12578974488412217</v>
      </c>
      <c r="I45" s="5">
        <f>SUM(H$42:H$46)</f>
        <v>0.60236858725450959</v>
      </c>
      <c r="J45" s="5">
        <f t="shared" si="1"/>
        <v>0.12047371745090192</v>
      </c>
    </row>
    <row r="46" spans="1:10" x14ac:dyDescent="0.2">
      <c r="A46" s="2">
        <v>2000</v>
      </c>
      <c r="B46" t="s">
        <v>90</v>
      </c>
      <c r="C46" s="15">
        <v>138978.40661749814</v>
      </c>
      <c r="D46" s="5">
        <v>0.15525820074037772</v>
      </c>
      <c r="E46" s="5">
        <f t="shared" si="15"/>
        <v>2.5742200502824604</v>
      </c>
      <c r="F46">
        <f>SUM(E42:E46)/5</f>
        <v>1</v>
      </c>
      <c r="G46" s="15">
        <f>AVERAGE(C$42:C$46)</f>
        <v>53988.549503469418</v>
      </c>
      <c r="H46" s="5">
        <f t="shared" si="4"/>
        <v>0.3996687733166594</v>
      </c>
      <c r="I46" s="5">
        <f>SUM(H$42:H$46)</f>
        <v>0.60236858725450959</v>
      </c>
      <c r="J46" s="5">
        <f t="shared" si="1"/>
        <v>0.12047371745090192</v>
      </c>
    </row>
    <row r="47" spans="1:10" x14ac:dyDescent="0.2">
      <c r="A47" s="2">
        <v>2001</v>
      </c>
      <c r="B47" t="s">
        <v>83</v>
      </c>
      <c r="C47" s="15">
        <v>10100.570708058021</v>
      </c>
      <c r="D47" s="5">
        <v>9.5930787516377933E-3</v>
      </c>
      <c r="E47" s="5">
        <f>C47/AVERAGE(C$47:C$51)</f>
        <v>0.18035844689124542</v>
      </c>
      <c r="G47" s="15">
        <f>AVERAGE(C$47:C$51)</f>
        <v>56002.759405821329</v>
      </c>
      <c r="H47" s="5">
        <f t="shared" si="4"/>
        <v>1.7301927845507999E-3</v>
      </c>
      <c r="I47" s="5">
        <f>SUM(H$47:H$51)</f>
        <v>0.55283580301966651</v>
      </c>
      <c r="J47" s="5">
        <f t="shared" si="1"/>
        <v>0.1105671606039333</v>
      </c>
    </row>
    <row r="48" spans="1:10" x14ac:dyDescent="0.2">
      <c r="A48" s="2">
        <v>2001</v>
      </c>
      <c r="B48" t="s">
        <v>84</v>
      </c>
      <c r="C48" s="15">
        <v>23855.380155029667</v>
      </c>
      <c r="D48" s="5">
        <v>4.2317016657788101E-2</v>
      </c>
      <c r="E48" s="5">
        <f t="shared" ref="E48:E51" si="16">C48/AVERAGE(C$47:C$51)</f>
        <v>0.42596794172520663</v>
      </c>
      <c r="G48" s="15">
        <f>AVERAGE(C$47:C$51)</f>
        <v>56002.759405821329</v>
      </c>
      <c r="H48" s="5">
        <f t="shared" si="4"/>
        <v>1.8025692485669279E-2</v>
      </c>
      <c r="I48" s="5">
        <f>SUM(H$47:H$51)</f>
        <v>0.55283580301966651</v>
      </c>
      <c r="J48" s="5">
        <f t="shared" si="1"/>
        <v>0.1105671606039333</v>
      </c>
    </row>
    <row r="49" spans="1:10" x14ac:dyDescent="0.2">
      <c r="A49" s="2">
        <v>2001</v>
      </c>
      <c r="B49" t="s">
        <v>85</v>
      </c>
      <c r="C49" s="15">
        <v>40582.02959177889</v>
      </c>
      <c r="D49" s="5">
        <v>7.7328366060638559E-2</v>
      </c>
      <c r="E49" s="5">
        <f t="shared" si="16"/>
        <v>0.72464339297467728</v>
      </c>
      <c r="G49" s="15">
        <f>AVERAGE(C$47:C$51)</f>
        <v>56002.759405821329</v>
      </c>
      <c r="H49" s="5">
        <f t="shared" si="4"/>
        <v>5.6035489555369009E-2</v>
      </c>
      <c r="I49" s="5">
        <f>SUM(H$47:H$51)</f>
        <v>0.55283580301966651</v>
      </c>
      <c r="J49" s="5">
        <f t="shared" si="1"/>
        <v>0.1105671606039333</v>
      </c>
    </row>
    <row r="50" spans="1:10" x14ac:dyDescent="0.2">
      <c r="A50" s="2">
        <v>2001</v>
      </c>
      <c r="B50" t="s">
        <v>86</v>
      </c>
      <c r="C50" s="15">
        <v>63972.972746839427</v>
      </c>
      <c r="D50" s="5">
        <v>0.10149727452752513</v>
      </c>
      <c r="E50" s="5">
        <f t="shared" si="16"/>
        <v>1.1423182254871109</v>
      </c>
      <c r="G50" s="15">
        <f>AVERAGE(C$47:C$51)</f>
        <v>56002.759405821329</v>
      </c>
      <c r="H50" s="5">
        <f t="shared" si="4"/>
        <v>0.11594218653006064</v>
      </c>
      <c r="I50" s="5">
        <f>SUM(H$47:H$51)</f>
        <v>0.55283580301966651</v>
      </c>
      <c r="J50" s="5">
        <f t="shared" si="1"/>
        <v>0.1105671606039333</v>
      </c>
    </row>
    <row r="51" spans="1:10" x14ac:dyDescent="0.2">
      <c r="A51" s="2">
        <v>2001</v>
      </c>
      <c r="B51" t="s">
        <v>90</v>
      </c>
      <c r="C51" s="15">
        <v>141502.84382740062</v>
      </c>
      <c r="D51" s="5">
        <v>0.14291389073056035</v>
      </c>
      <c r="E51" s="5">
        <f t="shared" si="16"/>
        <v>2.5267119929217596</v>
      </c>
      <c r="F51">
        <f>SUM(E47:E51)/5</f>
        <v>1</v>
      </c>
      <c r="G51" s="15">
        <f>AVERAGE(C$47:C$51)</f>
        <v>56002.759405821329</v>
      </c>
      <c r="H51" s="5">
        <f t="shared" si="4"/>
        <v>0.36110224166401672</v>
      </c>
      <c r="I51" s="5">
        <f>SUM(H$47:H$51)</f>
        <v>0.55283580301966651</v>
      </c>
      <c r="J51" s="5">
        <f t="shared" si="1"/>
        <v>0.1105671606039333</v>
      </c>
    </row>
    <row r="52" spans="1:10" x14ac:dyDescent="0.2">
      <c r="A52" s="2">
        <v>2002</v>
      </c>
      <c r="B52" t="s">
        <v>83</v>
      </c>
      <c r="C52" s="15">
        <v>10229.360187485683</v>
      </c>
      <c r="D52" s="5">
        <v>8.5981157125171546E-3</v>
      </c>
      <c r="E52" s="5">
        <f>C52/AVERAGE(C$52:C$56)</f>
        <v>0.17880787072622895</v>
      </c>
      <c r="G52" s="15">
        <f>AVERAGE(C$52:C$56)</f>
        <v>57208.668421245064</v>
      </c>
      <c r="H52" s="5">
        <f t="shared" si="4"/>
        <v>1.5374107628129251E-3</v>
      </c>
      <c r="I52" s="5">
        <f>SUM(H$52:H$56)</f>
        <v>0.54997402460836931</v>
      </c>
      <c r="J52" s="5">
        <f t="shared" si="1"/>
        <v>0.10999480492167386</v>
      </c>
    </row>
    <row r="53" spans="1:10" x14ac:dyDescent="0.2">
      <c r="A53" s="2">
        <v>2002</v>
      </c>
      <c r="B53" t="s">
        <v>84</v>
      </c>
      <c r="C53" s="15">
        <v>24318.173268731953</v>
      </c>
      <c r="D53" s="5">
        <v>4.0905914173984578E-2</v>
      </c>
      <c r="E53" s="5">
        <f t="shared" ref="E53:E56" si="17">C53/AVERAGE(C$52:C$56)</f>
        <v>0.42507847044559305</v>
      </c>
      <c r="G53" s="15">
        <f>AVERAGE(C$52:C$56)</f>
        <v>57208.668421245064</v>
      </c>
      <c r="H53" s="5">
        <f t="shared" si="4"/>
        <v>1.7388223429256069E-2</v>
      </c>
      <c r="I53" s="5">
        <f>SUM(H$52:H$56)</f>
        <v>0.54997402460836931</v>
      </c>
      <c r="J53" s="5">
        <f t="shared" si="1"/>
        <v>0.10999480492167386</v>
      </c>
    </row>
    <row r="54" spans="1:10" x14ac:dyDescent="0.2">
      <c r="A54" s="2">
        <v>2002</v>
      </c>
      <c r="B54" t="s">
        <v>85</v>
      </c>
      <c r="C54" s="15">
        <v>41604.946484542481</v>
      </c>
      <c r="D54" s="5">
        <v>7.6337844308549382E-2</v>
      </c>
      <c r="E54" s="5">
        <f t="shared" si="17"/>
        <v>0.72724899272593502</v>
      </c>
      <c r="G54" s="15">
        <f>AVERAGE(C$52:C$56)</f>
        <v>57208.668421245064</v>
      </c>
      <c r="H54" s="5">
        <f t="shared" si="4"/>
        <v>5.551662038026179E-2</v>
      </c>
      <c r="I54" s="5">
        <f>SUM(H$52:H$56)</f>
        <v>0.54997402460836931</v>
      </c>
      <c r="J54" s="5">
        <f t="shared" si="1"/>
        <v>0.10999480492167386</v>
      </c>
    </row>
    <row r="55" spans="1:10" x14ac:dyDescent="0.2">
      <c r="A55" s="2">
        <v>2002</v>
      </c>
      <c r="B55" t="s">
        <v>86</v>
      </c>
      <c r="C55" s="15">
        <v>65933.926032074174</v>
      </c>
      <c r="D55" s="5">
        <v>0.10124361859311055</v>
      </c>
      <c r="E55" s="5">
        <f t="shared" si="17"/>
        <v>1.152516355503721</v>
      </c>
      <c r="G55" s="15">
        <f>AVERAGE(C$52:C$56)</f>
        <v>57208.668421245064</v>
      </c>
      <c r="H55" s="5">
        <f t="shared" si="4"/>
        <v>0.11668492631894055</v>
      </c>
      <c r="I55" s="5">
        <f>SUM(H$52:H$56)</f>
        <v>0.54997402460836931</v>
      </c>
      <c r="J55" s="5">
        <f t="shared" si="1"/>
        <v>0.10999480492167386</v>
      </c>
    </row>
    <row r="56" spans="1:10" x14ac:dyDescent="0.2">
      <c r="A56" s="2">
        <v>2002</v>
      </c>
      <c r="B56" t="s">
        <v>90</v>
      </c>
      <c r="C56" s="15">
        <v>143956.93613339102</v>
      </c>
      <c r="D56" s="5">
        <v>0.14260618937596323</v>
      </c>
      <c r="E56" s="5">
        <f t="shared" si="17"/>
        <v>2.5163483105985218</v>
      </c>
      <c r="F56">
        <f>SUM(E52:E56)/5</f>
        <v>1</v>
      </c>
      <c r="G56" s="15">
        <f>AVERAGE(C$52:C$56)</f>
        <v>57208.668421245064</v>
      </c>
      <c r="H56" s="5">
        <f t="shared" si="4"/>
        <v>0.35884684371709791</v>
      </c>
      <c r="I56" s="5">
        <f>SUM(H$52:H$56)</f>
        <v>0.54997402460836931</v>
      </c>
      <c r="J56" s="5">
        <f t="shared" si="1"/>
        <v>0.10999480492167386</v>
      </c>
    </row>
    <row r="57" spans="1:10" x14ac:dyDescent="0.2">
      <c r="A57" s="2">
        <v>2003</v>
      </c>
      <c r="B57" t="s">
        <v>83</v>
      </c>
      <c r="C57" s="15">
        <v>10243.273800410325</v>
      </c>
      <c r="D57" s="5">
        <v>8.5804963799897618E-3</v>
      </c>
      <c r="E57" s="5">
        <f>C57/AVERAGE(C$57:C$61)</f>
        <v>0.17578505504784558</v>
      </c>
      <c r="G57" s="15">
        <f>AVERAGE(C$57:C$61)</f>
        <v>58271.585133459084</v>
      </c>
      <c r="H57" s="5">
        <f t="shared" si="4"/>
        <v>1.5083230284943399E-3</v>
      </c>
      <c r="I57" s="5">
        <f>SUM(H$57:H$61)</f>
        <v>0.55030317087897584</v>
      </c>
      <c r="J57" s="5">
        <f t="shared" si="1"/>
        <v>0.11006063417579517</v>
      </c>
    </row>
    <row r="58" spans="1:10" x14ac:dyDescent="0.2">
      <c r="A58" s="2">
        <v>2003</v>
      </c>
      <c r="B58" t="s">
        <v>84</v>
      </c>
      <c r="C58" s="15">
        <v>24607.331473039132</v>
      </c>
      <c r="D58" s="5">
        <v>4.0803191624610831E-2</v>
      </c>
      <c r="E58" s="5">
        <f t="shared" ref="E58:E61" si="18">C58/AVERAGE(C$57:C$61)</f>
        <v>0.42228697600521936</v>
      </c>
      <c r="G58" s="15">
        <f>AVERAGE(C$57:C$61)</f>
        <v>58271.585133459084</v>
      </c>
      <c r="H58" s="5">
        <f t="shared" si="4"/>
        <v>1.7230656402518401E-2</v>
      </c>
      <c r="I58" s="5">
        <f>SUM(H$57:H$61)</f>
        <v>0.55030317087897584</v>
      </c>
      <c r="J58" s="5">
        <f t="shared" si="1"/>
        <v>0.11006063417579517</v>
      </c>
    </row>
    <row r="59" spans="1:10" x14ac:dyDescent="0.2">
      <c r="A59" s="2">
        <v>2003</v>
      </c>
      <c r="B59" t="s">
        <v>85</v>
      </c>
      <c r="C59" s="15">
        <v>42228.298727394511</v>
      </c>
      <c r="D59" s="5">
        <v>7.6303853404254135E-2</v>
      </c>
      <c r="E59" s="5">
        <f t="shared" si="18"/>
        <v>0.72468079649248041</v>
      </c>
      <c r="G59" s="15">
        <f>AVERAGE(C$57:C$61)</f>
        <v>58271.585133459084</v>
      </c>
      <c r="H59" s="5">
        <f t="shared" si="4"/>
        <v>5.5295937260440353E-2</v>
      </c>
      <c r="I59" s="5">
        <f>SUM(H$57:H$61)</f>
        <v>0.55030317087897584</v>
      </c>
      <c r="J59" s="5">
        <f t="shared" si="1"/>
        <v>0.11006063417579517</v>
      </c>
    </row>
    <row r="60" spans="1:10" x14ac:dyDescent="0.2">
      <c r="A60" s="2">
        <v>2003</v>
      </c>
      <c r="B60" t="s">
        <v>86</v>
      </c>
      <c r="C60" s="15">
        <v>67187.369655956412</v>
      </c>
      <c r="D60" s="5">
        <v>0.10142498278107658</v>
      </c>
      <c r="E60" s="5">
        <f t="shared" si="18"/>
        <v>1.1530039813071424</v>
      </c>
      <c r="G60" s="15">
        <f>AVERAGE(C$57:C$61)</f>
        <v>58271.585133459084</v>
      </c>
      <c r="H60" s="5">
        <f t="shared" si="4"/>
        <v>0.11694340895058965</v>
      </c>
      <c r="I60" s="5">
        <f>SUM(H$57:H$61)</f>
        <v>0.55030317087897584</v>
      </c>
      <c r="J60" s="5">
        <f t="shared" si="1"/>
        <v>0.11006063417579517</v>
      </c>
    </row>
    <row r="61" spans="1:10" x14ac:dyDescent="0.2">
      <c r="A61" s="2">
        <v>2003</v>
      </c>
      <c r="B61" t="s">
        <v>90</v>
      </c>
      <c r="C61" s="15">
        <v>147091.65201049502</v>
      </c>
      <c r="D61" s="5">
        <v>0.14234953529719688</v>
      </c>
      <c r="E61" s="5">
        <f t="shared" si="18"/>
        <v>2.524243191147312</v>
      </c>
      <c r="F61">
        <f>SUM(E57:E61)/5</f>
        <v>1</v>
      </c>
      <c r="G61" s="15">
        <f>AVERAGE(C$57:C$61)</f>
        <v>58271.585133459084</v>
      </c>
      <c r="H61" s="5">
        <f t="shared" si="4"/>
        <v>0.35932484523693314</v>
      </c>
      <c r="I61" s="5">
        <f>SUM(H$57:H$61)</f>
        <v>0.55030317087897584</v>
      </c>
      <c r="J61" s="5">
        <f t="shared" si="1"/>
        <v>0.11006063417579517</v>
      </c>
    </row>
    <row r="62" spans="1:10" x14ac:dyDescent="0.2">
      <c r="A62" s="2">
        <v>2004</v>
      </c>
      <c r="B62" t="s">
        <v>83</v>
      </c>
      <c r="C62" s="15">
        <v>10529.675124281504</v>
      </c>
      <c r="D62" s="5">
        <v>8.658738537577931E-3</v>
      </c>
      <c r="E62" s="5">
        <f>C62/AVERAGE(C$62:C$66)</f>
        <v>0.17247541490992971</v>
      </c>
      <c r="G62" s="15">
        <f>AVERAGE(C$62:C$66)</f>
        <v>61050.295949601408</v>
      </c>
      <c r="H62" s="5">
        <f t="shared" si="4"/>
        <v>1.4934195218653517E-3</v>
      </c>
      <c r="I62" s="5">
        <f>SUM(H$62:H$66)</f>
        <v>0.54448329937418138</v>
      </c>
      <c r="J62" s="5">
        <f t="shared" si="1"/>
        <v>0.10889665987483628</v>
      </c>
    </row>
    <row r="63" spans="1:10" x14ac:dyDescent="0.2">
      <c r="A63" s="2">
        <v>2004</v>
      </c>
      <c r="B63" t="s">
        <v>84</v>
      </c>
      <c r="C63" s="15">
        <v>25434.968566500465</v>
      </c>
      <c r="D63" s="5">
        <v>4.0831223348468962E-2</v>
      </c>
      <c r="E63" s="5">
        <f t="shared" ref="E63:E65" si="19">C63/AVERAGE(C$62:C$66)</f>
        <v>0.41662318209722826</v>
      </c>
      <c r="G63" s="15">
        <f>AVERAGE(C$62:C$66)</f>
        <v>61050.295949601408</v>
      </c>
      <c r="H63" s="5">
        <f t="shared" si="4"/>
        <v>1.7011234200361783E-2</v>
      </c>
      <c r="I63" s="5">
        <f>SUM(H$62:H$66)</f>
        <v>0.54448329937418138</v>
      </c>
      <c r="J63" s="5">
        <f t="shared" si="1"/>
        <v>0.10889665987483628</v>
      </c>
    </row>
    <row r="64" spans="1:10" x14ac:dyDescent="0.2">
      <c r="A64" s="2">
        <v>2004</v>
      </c>
      <c r="B64" t="s">
        <v>85</v>
      </c>
      <c r="C64" s="15">
        <v>43741.099080486638</v>
      </c>
      <c r="D64" s="5">
        <v>7.5041826316319254E-2</v>
      </c>
      <c r="E64" s="5">
        <f t="shared" si="19"/>
        <v>0.71647644618456952</v>
      </c>
      <c r="G64" s="15">
        <f>AVERAGE(C$62:C$66)</f>
        <v>61050.295949601408</v>
      </c>
      <c r="H64" s="5">
        <f t="shared" si="4"/>
        <v>5.3765701034316132E-2</v>
      </c>
      <c r="I64" s="5">
        <f>SUM(H$62:H$66)</f>
        <v>0.54448329937418138</v>
      </c>
      <c r="J64" s="5">
        <f t="shared" si="1"/>
        <v>0.10889665987483628</v>
      </c>
    </row>
    <row r="65" spans="1:10" x14ac:dyDescent="0.2">
      <c r="A65" s="2">
        <v>2004</v>
      </c>
      <c r="B65" t="s">
        <v>86</v>
      </c>
      <c r="C65" s="15">
        <v>69767.463198632191</v>
      </c>
      <c r="D65" s="5">
        <v>9.9862606978215876E-2</v>
      </c>
      <c r="E65" s="5">
        <f t="shared" si="19"/>
        <v>1.1427866501454313</v>
      </c>
      <c r="G65" s="15">
        <f>AVERAGE(C$62:C$66)</f>
        <v>61050.295949601408</v>
      </c>
      <c r="H65" s="5">
        <f t="shared" si="4"/>
        <v>0.11412165410342509</v>
      </c>
      <c r="I65" s="5">
        <f>SUM(H$62:H$66)</f>
        <v>0.54448329937418138</v>
      </c>
      <c r="J65" s="5">
        <f t="shared" si="1"/>
        <v>0.10889665987483628</v>
      </c>
    </row>
    <row r="66" spans="1:10" x14ac:dyDescent="0.2">
      <c r="A66" s="2">
        <v>2004</v>
      </c>
      <c r="B66" t="s">
        <v>90</v>
      </c>
      <c r="C66" s="15">
        <v>155778.2737781062</v>
      </c>
      <c r="D66" s="5">
        <v>0.14033779379278194</v>
      </c>
      <c r="E66" s="5">
        <f>C66/AVERAGE(C$62:C$66)</f>
        <v>2.5516383066628405</v>
      </c>
      <c r="F66">
        <f>SUM(E62:E66)/5</f>
        <v>0.99999999999999978</v>
      </c>
      <c r="G66" s="15">
        <f>AVERAGE(C$62:C$66)</f>
        <v>61050.295949601408</v>
      </c>
      <c r="H66" s="5">
        <f t="shared" si="4"/>
        <v>0.35809129051421301</v>
      </c>
      <c r="I66" s="5">
        <f>SUM(H$62:H$66)</f>
        <v>0.54448329937418138</v>
      </c>
      <c r="J66" s="5">
        <f t="shared" si="1"/>
        <v>0.10889665987483628</v>
      </c>
    </row>
    <row r="67" spans="1:10" x14ac:dyDescent="0.2">
      <c r="A67" s="2">
        <v>2005</v>
      </c>
      <c r="B67" t="s">
        <v>83</v>
      </c>
      <c r="C67" s="15">
        <v>10742.923480136205</v>
      </c>
      <c r="D67" s="5">
        <v>7.5216251772710959E-3</v>
      </c>
      <c r="E67" s="5">
        <f>C67/AVERAGE(C$67:C$71)</f>
        <v>0.16801483495701153</v>
      </c>
      <c r="G67" s="15">
        <f>AVERAGE(C$67:C$71)</f>
        <v>63940.326953181859</v>
      </c>
      <c r="H67" s="5">
        <f t="shared" si="4"/>
        <v>1.2637446127677057E-3</v>
      </c>
      <c r="I67" s="5">
        <f>SUM(H$67:H$71)</f>
        <v>0.52914526232966497</v>
      </c>
      <c r="J67" s="5">
        <f t="shared" ref="J67:J130" si="20">I67/5</f>
        <v>0.10582905246593299</v>
      </c>
    </row>
    <row r="68" spans="1:10" x14ac:dyDescent="0.2">
      <c r="A68" s="2">
        <v>2005</v>
      </c>
      <c r="B68" t="s">
        <v>84</v>
      </c>
      <c r="C68" s="15">
        <v>26125.318117925573</v>
      </c>
      <c r="D68" s="5">
        <v>3.6647044618867371E-2</v>
      </c>
      <c r="E68" s="5">
        <f t="shared" ref="E68:E71" si="21">C68/AVERAGE(C$67:C$71)</f>
        <v>0.40858906050097232</v>
      </c>
      <c r="G68" s="15">
        <f>AVERAGE(C$67:C$71)</f>
        <v>63940.326953181859</v>
      </c>
      <c r="H68" s="5">
        <f t="shared" si="4"/>
        <v>1.4973581530960232E-2</v>
      </c>
      <c r="I68" s="5">
        <f>SUM(H$67:H$71)</f>
        <v>0.52914526232966497</v>
      </c>
      <c r="J68" s="5">
        <f t="shared" si="20"/>
        <v>0.10582905246593299</v>
      </c>
    </row>
    <row r="69" spans="1:10" x14ac:dyDescent="0.2">
      <c r="A69" s="2">
        <v>2005</v>
      </c>
      <c r="B69" t="s">
        <v>85</v>
      </c>
      <c r="C69" s="15">
        <v>45112.615463147224</v>
      </c>
      <c r="D69" s="5">
        <v>6.9402406465034941E-2</v>
      </c>
      <c r="E69" s="5">
        <f t="shared" si="21"/>
        <v>0.705542458301463</v>
      </c>
      <c r="G69" s="15">
        <f>AVERAGE(C$67:C$71)</f>
        <v>63940.326953181859</v>
      </c>
      <c r="H69" s="5">
        <f t="shared" si="4"/>
        <v>4.8966344469378101E-2</v>
      </c>
      <c r="I69" s="5">
        <f>SUM(H$67:H$71)</f>
        <v>0.52914526232966497</v>
      </c>
      <c r="J69" s="5">
        <f t="shared" si="20"/>
        <v>0.10582905246593299</v>
      </c>
    </row>
    <row r="70" spans="1:10" x14ac:dyDescent="0.2">
      <c r="A70" s="2">
        <v>2005</v>
      </c>
      <c r="B70" t="s">
        <v>86</v>
      </c>
      <c r="C70" s="15">
        <v>72265.13036192843</v>
      </c>
      <c r="D70" s="5">
        <v>9.4779956704907672E-2</v>
      </c>
      <c r="E70" s="5">
        <f t="shared" si="21"/>
        <v>1.1301964473037827</v>
      </c>
      <c r="G70" s="15">
        <f>AVERAGE(C$67:C$71)</f>
        <v>63940.326953181859</v>
      </c>
      <c r="H70" s="5">
        <f t="shared" si="4"/>
        <v>0.10711997034349298</v>
      </c>
      <c r="I70" s="5">
        <f>SUM(H$67:H$71)</f>
        <v>0.52914526232966497</v>
      </c>
      <c r="J70" s="5">
        <f t="shared" si="20"/>
        <v>0.10582905246593299</v>
      </c>
    </row>
    <row r="71" spans="1:10" x14ac:dyDescent="0.2">
      <c r="A71" s="2">
        <v>2005</v>
      </c>
      <c r="B71" t="s">
        <v>90</v>
      </c>
      <c r="C71" s="15">
        <v>165455.64734277182</v>
      </c>
      <c r="D71" s="5">
        <v>0.13789369840784116</v>
      </c>
      <c r="E71" s="5">
        <f t="shared" si="21"/>
        <v>2.5876571989367698</v>
      </c>
      <c r="F71">
        <f>SUM(E67:E71)/5</f>
        <v>1</v>
      </c>
      <c r="G71" s="15">
        <f>AVERAGE(C$67:C$71)</f>
        <v>63940.326953181859</v>
      </c>
      <c r="H71" s="5">
        <f t="shared" ref="H71:H133" si="22">(D71*C71)/G71</f>
        <v>0.35682162137306594</v>
      </c>
      <c r="I71" s="5">
        <f>SUM(H$67:H$71)</f>
        <v>0.52914526232966497</v>
      </c>
      <c r="J71" s="5">
        <f t="shared" si="20"/>
        <v>0.10582905246593299</v>
      </c>
    </row>
    <row r="72" spans="1:10" x14ac:dyDescent="0.2">
      <c r="A72" s="2">
        <v>2006</v>
      </c>
      <c r="B72" t="s">
        <v>83</v>
      </c>
      <c r="C72" s="15">
        <v>11401.976080222914</v>
      </c>
      <c r="D72" s="5">
        <v>7.4370554466031379E-3</v>
      </c>
      <c r="E72" s="5">
        <f>C72/AVERAGE(C$72:C$76)</f>
        <v>0.1680333542955898</v>
      </c>
      <c r="G72" s="15">
        <f>AVERAGE(C$72:C$76)</f>
        <v>67855.433393096115</v>
      </c>
      <c r="H72" s="5">
        <f t="shared" si="22"/>
        <v>1.2496733727750109E-3</v>
      </c>
      <c r="I72" s="5">
        <f>SUM(H$72:H$76)</f>
        <v>0.53192196150623205</v>
      </c>
      <c r="J72" s="5">
        <f t="shared" si="20"/>
        <v>0.10638439230124641</v>
      </c>
    </row>
    <row r="73" spans="1:10" x14ac:dyDescent="0.2">
      <c r="A73" s="2">
        <v>2006</v>
      </c>
      <c r="B73" t="s">
        <v>84</v>
      </c>
      <c r="C73" s="15">
        <v>27475.442163926509</v>
      </c>
      <c r="D73" s="5">
        <v>3.5421280186311535E-2</v>
      </c>
      <c r="E73" s="5">
        <f t="shared" ref="E73:E76" si="23">C73/AVERAGE(C$72:C$76)</f>
        <v>0.40491145351260804</v>
      </c>
      <c r="G73" s="15">
        <f>AVERAGE(C$72:C$76)</f>
        <v>67855.433393096115</v>
      </c>
      <c r="H73" s="5">
        <f t="shared" si="22"/>
        <v>1.4342482045516749E-2</v>
      </c>
      <c r="I73" s="5">
        <f>SUM(H$72:H$76)</f>
        <v>0.53192196150623205</v>
      </c>
      <c r="J73" s="5">
        <f t="shared" si="20"/>
        <v>0.10638439230124641</v>
      </c>
    </row>
    <row r="74" spans="1:10" x14ac:dyDescent="0.2">
      <c r="A74" s="2">
        <v>2006</v>
      </c>
      <c r="B74" t="s">
        <v>85</v>
      </c>
      <c r="C74" s="15">
        <v>47231.625255446947</v>
      </c>
      <c r="D74" s="5">
        <v>6.8831726674901353E-2</v>
      </c>
      <c r="E74" s="5">
        <f t="shared" si="23"/>
        <v>0.69606253904278326</v>
      </c>
      <c r="G74" s="15">
        <f>AVERAGE(C$72:C$76)</f>
        <v>67855.433393096115</v>
      </c>
      <c r="H74" s="5">
        <f t="shared" si="22"/>
        <v>4.7911186436030713E-2</v>
      </c>
      <c r="I74" s="5">
        <f>SUM(H$72:H$76)</f>
        <v>0.53192196150623205</v>
      </c>
      <c r="J74" s="5">
        <f t="shared" si="20"/>
        <v>0.10638439230124641</v>
      </c>
    </row>
    <row r="75" spans="1:10" x14ac:dyDescent="0.2">
      <c r="A75" s="2">
        <v>2006</v>
      </c>
      <c r="B75" t="s">
        <v>86</v>
      </c>
      <c r="C75" s="15">
        <v>75758.169241098949</v>
      </c>
      <c r="D75" s="5">
        <v>9.4856597080554092E-2</v>
      </c>
      <c r="E75" s="5">
        <f t="shared" si="23"/>
        <v>1.1164643043722258</v>
      </c>
      <c r="G75" s="15">
        <f>AVERAGE(C$72:C$76)</f>
        <v>67855.433393096115</v>
      </c>
      <c r="H75" s="5">
        <f t="shared" si="22"/>
        <v>0.10590400467465731</v>
      </c>
      <c r="I75" s="5">
        <f>SUM(H$72:H$76)</f>
        <v>0.53192196150623205</v>
      </c>
      <c r="J75" s="5">
        <f t="shared" si="20"/>
        <v>0.10638439230124641</v>
      </c>
    </row>
    <row r="76" spans="1:10" x14ac:dyDescent="0.2">
      <c r="A76" s="2">
        <v>2006</v>
      </c>
      <c r="B76" t="s">
        <v>90</v>
      </c>
      <c r="C76" s="15">
        <v>177409.95422478521</v>
      </c>
      <c r="D76" s="5">
        <v>0.13865392400386661</v>
      </c>
      <c r="E76" s="5">
        <f t="shared" si="23"/>
        <v>2.6145283487767923</v>
      </c>
      <c r="F76">
        <f>SUM(E72:E76)/5</f>
        <v>0.99999999999999978</v>
      </c>
      <c r="G76" s="15">
        <f>AVERAGE(C$72:C$76)</f>
        <v>67855.433393096115</v>
      </c>
      <c r="H76" s="5">
        <f t="shared" si="22"/>
        <v>0.36251461497725224</v>
      </c>
      <c r="I76" s="5">
        <f>SUM(H$72:H$76)</f>
        <v>0.53192196150623205</v>
      </c>
      <c r="J76" s="5">
        <f t="shared" si="20"/>
        <v>0.10638439230124641</v>
      </c>
    </row>
    <row r="77" spans="1:10" x14ac:dyDescent="0.2">
      <c r="A77" s="2">
        <v>2007</v>
      </c>
      <c r="B77" t="s">
        <v>83</v>
      </c>
      <c r="C77" s="15">
        <v>12015.9501350749</v>
      </c>
      <c r="D77" s="5">
        <v>5.9929840831482182E-3</v>
      </c>
      <c r="E77" s="5">
        <f>C77/AVERAGE(C$77:C$81)</f>
        <v>0.16834769183454781</v>
      </c>
      <c r="G77" s="15">
        <f>AVERAGE(C$77:C$81)</f>
        <v>71375.793776158098</v>
      </c>
      <c r="H77" s="5">
        <f t="shared" si="22"/>
        <v>1.0089050375991864E-3</v>
      </c>
      <c r="I77" s="5">
        <f>SUM(H$77:H$81)</f>
        <v>0.51063806364590736</v>
      </c>
      <c r="J77" s="5">
        <f t="shared" si="20"/>
        <v>0.10212761272918147</v>
      </c>
    </row>
    <row r="78" spans="1:10" x14ac:dyDescent="0.2">
      <c r="A78" s="2">
        <v>2007</v>
      </c>
      <c r="B78" t="s">
        <v>84</v>
      </c>
      <c r="C78" s="15">
        <v>28909.095719338773</v>
      </c>
      <c r="D78" s="5">
        <v>3.1337968146506273E-2</v>
      </c>
      <c r="E78" s="5">
        <f t="shared" ref="E78:E81" si="24">C78/AVERAGE(C$77:C$81)</f>
        <v>0.40502660902098964</v>
      </c>
      <c r="G78" s="15">
        <f>AVERAGE(C$77:C$81)</f>
        <v>71375.793776158098</v>
      </c>
      <c r="H78" s="5">
        <f t="shared" si="22"/>
        <v>1.2692710971987224E-2</v>
      </c>
      <c r="I78" s="5">
        <f>SUM(H$77:H$81)</f>
        <v>0.51063806364590736</v>
      </c>
      <c r="J78" s="5">
        <f t="shared" si="20"/>
        <v>0.10212761272918147</v>
      </c>
    </row>
    <row r="79" spans="1:10" x14ac:dyDescent="0.2">
      <c r="A79" s="2">
        <v>2007</v>
      </c>
      <c r="B79" t="s">
        <v>85</v>
      </c>
      <c r="C79" s="15">
        <v>49452.531981586115</v>
      </c>
      <c r="D79" s="5">
        <v>6.2291554123979798E-2</v>
      </c>
      <c r="E79" s="5">
        <f t="shared" si="24"/>
        <v>0.69284738375974342</v>
      </c>
      <c r="G79" s="15">
        <f>AVERAGE(C$77:C$81)</f>
        <v>71375.793776158098</v>
      </c>
      <c r="H79" s="5">
        <f t="shared" si="22"/>
        <v>4.3158540305127856E-2</v>
      </c>
      <c r="I79" s="5">
        <f>SUM(H$77:H$81)</f>
        <v>0.51063806364590736</v>
      </c>
      <c r="J79" s="5">
        <f t="shared" si="20"/>
        <v>0.10212761272918147</v>
      </c>
    </row>
    <row r="80" spans="1:10" x14ac:dyDescent="0.2">
      <c r="A80" s="2">
        <v>2007</v>
      </c>
      <c r="B80" t="s">
        <v>86</v>
      </c>
      <c r="C80" s="15">
        <v>79280.366406923902</v>
      </c>
      <c r="D80" s="5">
        <v>8.855271716333285E-2</v>
      </c>
      <c r="E80" s="5">
        <f t="shared" si="24"/>
        <v>1.1107458455110897</v>
      </c>
      <c r="G80" s="15">
        <f>AVERAGE(C$77:C$81)</f>
        <v>71375.793776158098</v>
      </c>
      <c r="H80" s="5">
        <f t="shared" si="22"/>
        <v>9.8359562697890535E-2</v>
      </c>
      <c r="I80" s="5">
        <f>SUM(H$77:H$81)</f>
        <v>0.51063806364590736</v>
      </c>
      <c r="J80" s="5">
        <f t="shared" si="20"/>
        <v>0.10212761272918147</v>
      </c>
    </row>
    <row r="81" spans="1:10" x14ac:dyDescent="0.2">
      <c r="A81" s="2">
        <v>2007</v>
      </c>
      <c r="B81" t="s">
        <v>90</v>
      </c>
      <c r="C81" s="15">
        <v>187221.02463786685</v>
      </c>
      <c r="D81" s="5">
        <v>0.13549902592339072</v>
      </c>
      <c r="E81" s="5">
        <f t="shared" si="24"/>
        <v>2.62303246987363</v>
      </c>
      <c r="F81">
        <f>SUM(E77:E81)/5</f>
        <v>1</v>
      </c>
      <c r="G81" s="15">
        <f>AVERAGE(C$77:C$81)</f>
        <v>71375.793776158098</v>
      </c>
      <c r="H81" s="5">
        <f t="shared" si="22"/>
        <v>0.35541834463330257</v>
      </c>
      <c r="I81" s="5">
        <f>SUM(H$77:H$81)</f>
        <v>0.51063806364590736</v>
      </c>
      <c r="J81" s="5">
        <f t="shared" si="20"/>
        <v>0.10212761272918147</v>
      </c>
    </row>
    <row r="82" spans="1:10" x14ac:dyDescent="0.2">
      <c r="A82" s="2">
        <v>2008</v>
      </c>
      <c r="B82" t="s">
        <v>83</v>
      </c>
      <c r="C82" s="15">
        <v>12273.685750862345</v>
      </c>
      <c r="D82" s="5">
        <v>6.1715844901541264E-3</v>
      </c>
      <c r="E82" s="5">
        <f>C82/AVERAGE(C$82:C$86)</f>
        <v>0.17075454072119428</v>
      </c>
      <c r="G82" s="15">
        <f>AVERAGE(C$82:C$86)</f>
        <v>71879.117820372659</v>
      </c>
      <c r="H82" s="5">
        <f t="shared" si="22"/>
        <v>1.0538260751383139E-3</v>
      </c>
      <c r="I82" s="5">
        <f>SUM(H$82:H$86)</f>
        <v>0.51694529375389875</v>
      </c>
      <c r="J82" s="5">
        <f t="shared" si="20"/>
        <v>0.10338905875077975</v>
      </c>
    </row>
    <row r="83" spans="1:10" x14ac:dyDescent="0.2">
      <c r="A83" s="2">
        <v>2008</v>
      </c>
      <c r="B83" t="s">
        <v>84</v>
      </c>
      <c r="C83" s="15">
        <v>29577.503826877572</v>
      </c>
      <c r="D83" s="5">
        <v>3.2171728680475839E-2</v>
      </c>
      <c r="E83" s="5">
        <f t="shared" ref="E83:E86" si="25">C83/AVERAGE(C$82:C$86)</f>
        <v>0.41148952190526794</v>
      </c>
      <c r="G83" s="15">
        <f>AVERAGE(C$82:C$86)</f>
        <v>71879.117820372659</v>
      </c>
      <c r="H83" s="5">
        <f t="shared" si="22"/>
        <v>1.3238329253594999E-2</v>
      </c>
      <c r="I83" s="5">
        <f>SUM(H$82:H$86)</f>
        <v>0.51694529375389875</v>
      </c>
      <c r="J83" s="5">
        <f t="shared" si="20"/>
        <v>0.10338905875077975</v>
      </c>
    </row>
    <row r="84" spans="1:10" x14ac:dyDescent="0.2">
      <c r="A84" s="2">
        <v>2008</v>
      </c>
      <c r="B84" t="s">
        <v>85</v>
      </c>
      <c r="C84" s="15">
        <v>50516.337068104156</v>
      </c>
      <c r="D84" s="5">
        <v>6.328809388156631E-2</v>
      </c>
      <c r="E84" s="5">
        <f t="shared" si="25"/>
        <v>0.70279572982998317</v>
      </c>
      <c r="G84" s="15">
        <f>AVERAGE(C$82:C$86)</f>
        <v>71879.117820372659</v>
      </c>
      <c r="H84" s="5">
        <f t="shared" si="22"/>
        <v>4.4478602129043893E-2</v>
      </c>
      <c r="I84" s="5">
        <f>SUM(H$82:H$86)</f>
        <v>0.51694529375389875</v>
      </c>
      <c r="J84" s="5">
        <f t="shared" si="20"/>
        <v>0.10338905875077975</v>
      </c>
    </row>
    <row r="85" spans="1:10" x14ac:dyDescent="0.2">
      <c r="A85" s="2">
        <v>2008</v>
      </c>
      <c r="B85" t="s">
        <v>86</v>
      </c>
      <c r="C85" s="15">
        <v>81135.899954130233</v>
      </c>
      <c r="D85" s="5">
        <v>9.0100171434128865E-2</v>
      </c>
      <c r="E85" s="5">
        <f t="shared" si="25"/>
        <v>1.1287826341565634</v>
      </c>
      <c r="G85" s="15">
        <f>AVERAGE(C$82:C$86)</f>
        <v>71879.117820372659</v>
      </c>
      <c r="H85" s="5">
        <f t="shared" si="22"/>
        <v>0.10170350884937393</v>
      </c>
      <c r="I85" s="5">
        <f>SUM(H$82:H$86)</f>
        <v>0.51694529375389875</v>
      </c>
      <c r="J85" s="5">
        <f t="shared" si="20"/>
        <v>0.10338905875077975</v>
      </c>
    </row>
    <row r="86" spans="1:10" x14ac:dyDescent="0.2">
      <c r="A86" s="2">
        <v>2008</v>
      </c>
      <c r="B86" t="s">
        <v>90</v>
      </c>
      <c r="C86" s="15">
        <v>185892.16250188905</v>
      </c>
      <c r="D86" s="5">
        <v>0.13783702678230819</v>
      </c>
      <c r="E86" s="5">
        <f t="shared" si="25"/>
        <v>2.5861775733869918</v>
      </c>
      <c r="F86">
        <f>SUM(E82:E86)/5</f>
        <v>1</v>
      </c>
      <c r="G86" s="15">
        <f>AVERAGE(C$82:C$86)</f>
        <v>71879.117820372659</v>
      </c>
      <c r="H86" s="5">
        <f t="shared" si="22"/>
        <v>0.35647102744674758</v>
      </c>
      <c r="I86" s="5">
        <f>SUM(H$82:H$86)</f>
        <v>0.51694529375389875</v>
      </c>
      <c r="J86" s="5">
        <f t="shared" si="20"/>
        <v>0.10338905875077975</v>
      </c>
    </row>
    <row r="87" spans="1:10" x14ac:dyDescent="0.2">
      <c r="A87" s="2">
        <v>2009</v>
      </c>
      <c r="B87" t="s">
        <v>83</v>
      </c>
      <c r="C87" s="15">
        <v>12262.212610524282</v>
      </c>
      <c r="D87" s="5">
        <v>4.8918035863736121E-3</v>
      </c>
      <c r="E87" s="5">
        <f>C87/AVERAGE(C$87:C$91)</f>
        <v>0.17344127882786453</v>
      </c>
      <c r="G87" s="16">
        <f>AVERAGE(C$87:C$91)</f>
        <v>70699.5052930518</v>
      </c>
      <c r="H87" s="5">
        <f t="shared" si="22"/>
        <v>8.4844066979537346E-4</v>
      </c>
      <c r="I87" s="5">
        <f>SUM(H$87:H$91)</f>
        <v>0.47772035628573678</v>
      </c>
      <c r="J87" s="5">
        <f t="shared" si="20"/>
        <v>9.5544071257147353E-2</v>
      </c>
    </row>
    <row r="88" spans="1:10" x14ac:dyDescent="0.2">
      <c r="A88" s="2">
        <v>2009</v>
      </c>
      <c r="B88" t="s">
        <v>84</v>
      </c>
      <c r="C88" s="15">
        <v>29546.364207871935</v>
      </c>
      <c r="D88" s="5">
        <v>2.7228844315471623E-2</v>
      </c>
      <c r="E88" s="5">
        <f t="shared" ref="E88:E91" si="26">C88/AVERAGE(C$87:C$91)</f>
        <v>0.41791472352460279</v>
      </c>
      <c r="G88" s="15">
        <f>AVERAGE(C$87:C$91)</f>
        <v>70699.5052930518</v>
      </c>
      <c r="H88" s="5">
        <f t="shared" si="22"/>
        <v>1.1379334943994776E-2</v>
      </c>
      <c r="I88" s="5">
        <f>SUM(H$87:H$91)</f>
        <v>0.47772035628573678</v>
      </c>
      <c r="J88" s="5">
        <f t="shared" si="20"/>
        <v>9.5544071257147353E-2</v>
      </c>
    </row>
    <row r="89" spans="1:10" x14ac:dyDescent="0.2">
      <c r="A89" s="2">
        <v>2009</v>
      </c>
      <c r="B89" t="s">
        <v>85</v>
      </c>
      <c r="C89" s="15">
        <v>50269.210956527539</v>
      </c>
      <c r="D89" s="5">
        <v>5.4973899450945524E-2</v>
      </c>
      <c r="E89" s="5">
        <f t="shared" si="26"/>
        <v>0.71102634662237008</v>
      </c>
      <c r="G89" s="15">
        <f>AVERAGE(C$87:C$91)</f>
        <v>70699.5052930518</v>
      </c>
      <c r="H89" s="5">
        <f t="shared" si="22"/>
        <v>3.9087890886191315E-2</v>
      </c>
      <c r="I89" s="5">
        <f>SUM(H$87:H$91)</f>
        <v>0.47772035628573678</v>
      </c>
      <c r="J89" s="5">
        <f t="shared" si="20"/>
        <v>9.5544071257147353E-2</v>
      </c>
    </row>
    <row r="90" spans="1:10" x14ac:dyDescent="0.2">
      <c r="A90" s="2">
        <v>2009</v>
      </c>
      <c r="B90" t="s">
        <v>86</v>
      </c>
      <c r="C90" s="15">
        <v>80664.007396325018</v>
      </c>
      <c r="D90" s="5">
        <v>8.1966610493034317E-2</v>
      </c>
      <c r="E90" s="5">
        <f t="shared" si="26"/>
        <v>1.1409416100150918</v>
      </c>
      <c r="G90" s="15">
        <f>AVERAGE(C$87:C$91)</f>
        <v>70699.5052930518</v>
      </c>
      <c r="H90" s="5">
        <f t="shared" si="22"/>
        <v>9.3519116543402475E-2</v>
      </c>
      <c r="I90" s="5">
        <f>SUM(H$87:H$91)</f>
        <v>0.47772035628573678</v>
      </c>
      <c r="J90" s="5">
        <f t="shared" si="20"/>
        <v>9.5544071257147353E-2</v>
      </c>
    </row>
    <row r="91" spans="1:10" x14ac:dyDescent="0.2">
      <c r="A91" s="2">
        <v>2009</v>
      </c>
      <c r="B91" t="s">
        <v>90</v>
      </c>
      <c r="C91" s="15">
        <v>180755.73129401021</v>
      </c>
      <c r="D91" s="5">
        <v>0.13020248475080134</v>
      </c>
      <c r="E91" s="5">
        <f t="shared" si="26"/>
        <v>2.5566760410100708</v>
      </c>
      <c r="F91">
        <f>SUM(E87:E91)/5</f>
        <v>1</v>
      </c>
      <c r="G91" s="15">
        <f>AVERAGE(C$87:C$91)</f>
        <v>70699.5052930518</v>
      </c>
      <c r="H91" s="5">
        <f t="shared" si="22"/>
        <v>0.33288557324235285</v>
      </c>
      <c r="I91" s="5">
        <f>SUM(H$87:H$91)</f>
        <v>0.47772035628573678</v>
      </c>
      <c r="J91" s="5">
        <f t="shared" si="20"/>
        <v>9.5544071257147353E-2</v>
      </c>
    </row>
    <row r="92" spans="1:10" x14ac:dyDescent="0.2">
      <c r="A92" s="2">
        <v>2010</v>
      </c>
      <c r="B92" t="s">
        <v>83</v>
      </c>
      <c r="C92" s="15">
        <v>12429.944614657392</v>
      </c>
      <c r="D92" s="5">
        <v>4.5549149565691236E-3</v>
      </c>
      <c r="E92" s="5">
        <f>C92/AVERAGE(C$92:C$96)</f>
        <v>0.17168714885157882</v>
      </c>
      <c r="G92" s="15">
        <f>AVERAGE(C$92:C$96)</f>
        <v>72398.806187893002</v>
      </c>
      <c r="H92" s="5">
        <f t="shared" si="22"/>
        <v>7.8202036215476584E-4</v>
      </c>
      <c r="I92" s="5">
        <f>SUM(H$92:H$96)</f>
        <v>0.48561686442427637</v>
      </c>
      <c r="J92" s="5">
        <f t="shared" si="20"/>
        <v>9.7123372884855272E-2</v>
      </c>
    </row>
    <row r="93" spans="1:10" x14ac:dyDescent="0.2">
      <c r="A93" s="2">
        <v>2010</v>
      </c>
      <c r="B93" t="s">
        <v>84</v>
      </c>
      <c r="C93" s="15">
        <v>29776.34810264075</v>
      </c>
      <c r="D93" s="5">
        <v>2.7529527110251018E-2</v>
      </c>
      <c r="E93" s="5">
        <f t="shared" ref="E93:E96" si="27">C93/AVERAGE(C$92:C$96)</f>
        <v>0.41128230796186999</v>
      </c>
      <c r="G93" s="15">
        <f>AVERAGE(C$92:C$96)</f>
        <v>72398.806187893002</v>
      </c>
      <c r="H93" s="5">
        <f t="shared" si="22"/>
        <v>1.1322407447002908E-2</v>
      </c>
      <c r="I93" s="5">
        <f>SUM(H$92:H$96)</f>
        <v>0.48561686442427637</v>
      </c>
      <c r="J93" s="5">
        <f t="shared" si="20"/>
        <v>9.7123372884855272E-2</v>
      </c>
    </row>
    <row r="94" spans="1:10" x14ac:dyDescent="0.2">
      <c r="A94" s="2">
        <v>2010</v>
      </c>
      <c r="B94" t="s">
        <v>85</v>
      </c>
      <c r="C94" s="15">
        <v>51078.265646233674</v>
      </c>
      <c r="D94" s="5">
        <v>5.6670859700059251E-2</v>
      </c>
      <c r="E94" s="5">
        <f t="shared" si="27"/>
        <v>0.70551253999510444</v>
      </c>
      <c r="G94" s="15">
        <f>AVERAGE(C$92:C$96)</f>
        <v>72398.806187893002</v>
      </c>
      <c r="H94" s="5">
        <f t="shared" si="22"/>
        <v>3.9982002170695002E-2</v>
      </c>
      <c r="I94" s="5">
        <f>SUM(H$92:H$96)</f>
        <v>0.48561686442427637</v>
      </c>
      <c r="J94" s="5">
        <f t="shared" si="20"/>
        <v>9.7123372884855272E-2</v>
      </c>
    </row>
    <row r="95" spans="1:10" x14ac:dyDescent="0.2">
      <c r="A95" s="2">
        <v>2010</v>
      </c>
      <c r="B95" t="s">
        <v>86</v>
      </c>
      <c r="C95" s="15">
        <v>82397.278697584217</v>
      </c>
      <c r="D95" s="5">
        <v>8.4736577852235193E-2</v>
      </c>
      <c r="E95" s="5">
        <f t="shared" si="27"/>
        <v>1.138102726220964</v>
      </c>
      <c r="G95" s="15">
        <f>AVERAGE(C$92:C$96)</f>
        <v>72398.806187893002</v>
      </c>
      <c r="H95" s="5">
        <f t="shared" si="22"/>
        <v>9.6438930264263825E-2</v>
      </c>
      <c r="I95" s="5">
        <f>SUM(H$92:H$96)</f>
        <v>0.48561686442427637</v>
      </c>
      <c r="J95" s="5">
        <f t="shared" si="20"/>
        <v>9.7123372884855272E-2</v>
      </c>
    </row>
    <row r="96" spans="1:10" x14ac:dyDescent="0.2">
      <c r="A96" s="2">
        <v>2010</v>
      </c>
      <c r="B96" t="s">
        <v>90</v>
      </c>
      <c r="C96" s="15">
        <v>186312.193878349</v>
      </c>
      <c r="D96" s="5">
        <v>0.13098993667939832</v>
      </c>
      <c r="E96" s="5">
        <f t="shared" si="27"/>
        <v>2.5734152769704832</v>
      </c>
      <c r="F96">
        <f>SUM(E92:E96)/5</f>
        <v>1</v>
      </c>
      <c r="G96" s="15">
        <f>AVERAGE(C$92:C$96)</f>
        <v>72398.806187893002</v>
      </c>
      <c r="H96" s="5">
        <f t="shared" si="22"/>
        <v>0.33709150418015987</v>
      </c>
      <c r="I96" s="5">
        <f>SUM(H$92:H$96)</f>
        <v>0.48561686442427637</v>
      </c>
      <c r="J96" s="5">
        <f t="shared" si="20"/>
        <v>9.7123372884855272E-2</v>
      </c>
    </row>
    <row r="97" spans="1:10" x14ac:dyDescent="0.2">
      <c r="A97" s="2">
        <v>2011</v>
      </c>
      <c r="B97" t="s">
        <v>83</v>
      </c>
      <c r="C97" s="15">
        <v>12874.489379008022</v>
      </c>
      <c r="D97" s="5">
        <v>4.6173890963706384E-3</v>
      </c>
      <c r="E97" s="5">
        <f>C97/AVERAGE(C$97:C$101)</f>
        <v>0.17198831179667692</v>
      </c>
      <c r="G97" s="15">
        <f>AVERAGE(C$97:C$101)</f>
        <v>74856.76930318457</v>
      </c>
      <c r="H97" s="5">
        <f t="shared" si="22"/>
        <v>7.9413695559316967E-4</v>
      </c>
      <c r="I97" s="5">
        <f>SUM(H$97:H$101)</f>
        <v>0.49312624915000236</v>
      </c>
      <c r="J97" s="5">
        <f t="shared" si="20"/>
        <v>9.8625249830000469E-2</v>
      </c>
    </row>
    <row r="98" spans="1:10" x14ac:dyDescent="0.2">
      <c r="A98" s="2">
        <v>2011</v>
      </c>
      <c r="B98" t="s">
        <v>84</v>
      </c>
      <c r="C98" s="15">
        <v>30669.922838766241</v>
      </c>
      <c r="D98" s="5">
        <v>2.7948359932214444E-2</v>
      </c>
      <c r="E98" s="5">
        <f t="shared" ref="E98:E101" si="28">C98/AVERAGE(C$97:C$101)</f>
        <v>0.40971475424683435</v>
      </c>
      <c r="G98" s="15">
        <f>AVERAGE(C$97:C$101)</f>
        <v>74856.76930318457</v>
      </c>
      <c r="H98" s="5">
        <f t="shared" si="22"/>
        <v>1.1450855421229313E-2</v>
      </c>
      <c r="I98" s="5">
        <f>SUM(H$97:H$101)</f>
        <v>0.49312624915000236</v>
      </c>
      <c r="J98" s="5">
        <f t="shared" si="20"/>
        <v>9.8625249830000469E-2</v>
      </c>
    </row>
    <row r="99" spans="1:10" x14ac:dyDescent="0.2">
      <c r="A99" s="2">
        <v>2011</v>
      </c>
      <c r="B99" t="s">
        <v>85</v>
      </c>
      <c r="C99" s="15">
        <v>52591.843874840968</v>
      </c>
      <c r="D99" s="5">
        <v>5.7999990771415343E-2</v>
      </c>
      <c r="E99" s="5">
        <f t="shared" si="28"/>
        <v>0.70256630581843182</v>
      </c>
      <c r="G99" s="15">
        <f>AVERAGE(C$97:C$101)</f>
        <v>74856.76930318457</v>
      </c>
      <c r="H99" s="5">
        <f t="shared" si="22"/>
        <v>4.0748839253776412E-2</v>
      </c>
      <c r="I99" s="5">
        <f>SUM(H$97:H$101)</f>
        <v>0.49312624915000236</v>
      </c>
      <c r="J99" s="5">
        <f t="shared" si="20"/>
        <v>9.8625249830000469E-2</v>
      </c>
    </row>
    <row r="100" spans="1:10" x14ac:dyDescent="0.2">
      <c r="A100" s="2">
        <v>2011</v>
      </c>
      <c r="B100" t="s">
        <v>86</v>
      </c>
      <c r="C100" s="15">
        <v>85068.055048982089</v>
      </c>
      <c r="D100" s="5">
        <v>8.6416886359939341E-2</v>
      </c>
      <c r="E100" s="5">
        <f t="shared" si="28"/>
        <v>1.1364109864859357</v>
      </c>
      <c r="G100" s="15">
        <f>AVERAGE(C$97:C$101)</f>
        <v>74856.76930318457</v>
      </c>
      <c r="H100" s="5">
        <f t="shared" si="22"/>
        <v>9.8205099077341665E-2</v>
      </c>
      <c r="I100" s="5">
        <f>SUM(H$97:H$101)</f>
        <v>0.49312624915000236</v>
      </c>
      <c r="J100" s="5">
        <f t="shared" si="20"/>
        <v>9.8625249830000469E-2</v>
      </c>
    </row>
    <row r="101" spans="1:10" x14ac:dyDescent="0.2">
      <c r="A101" s="2">
        <v>2011</v>
      </c>
      <c r="B101" t="s">
        <v>90</v>
      </c>
      <c r="C101" s="15">
        <v>193079.53537432555</v>
      </c>
      <c r="D101" s="5">
        <v>0.1325649263939418</v>
      </c>
      <c r="E101" s="5">
        <f t="shared" si="28"/>
        <v>2.5793196416521216</v>
      </c>
      <c r="F101">
        <f>SUM(E97:E101)/5</f>
        <v>1</v>
      </c>
      <c r="G101" s="15">
        <f>AVERAGE(C$97:C$101)</f>
        <v>74856.76930318457</v>
      </c>
      <c r="H101" s="5">
        <f t="shared" si="22"/>
        <v>0.34192731844206181</v>
      </c>
      <c r="I101" s="5">
        <f>SUM(H$97:H$101)</f>
        <v>0.49312624915000236</v>
      </c>
      <c r="J101" s="5">
        <f t="shared" si="20"/>
        <v>9.8625249830000469E-2</v>
      </c>
    </row>
    <row r="102" spans="1:10" x14ac:dyDescent="0.2">
      <c r="A102" s="2">
        <v>2012</v>
      </c>
      <c r="B102" t="s">
        <v>83</v>
      </c>
      <c r="C102" s="15">
        <v>13313.866179777933</v>
      </c>
      <c r="D102" s="5">
        <v>4.5870085525212849E-3</v>
      </c>
      <c r="E102" s="5">
        <f>C102/AVERAGE(C$102:C$106)</f>
        <v>0.17375672620259849</v>
      </c>
      <c r="G102" s="15">
        <f>AVERAGE(C$102:C$106)</f>
        <v>76623.601691563337</v>
      </c>
      <c r="H102" s="5">
        <f t="shared" si="22"/>
        <v>7.9702358914941849E-4</v>
      </c>
      <c r="I102" s="5">
        <f>SUM(H$102:H$106)</f>
        <v>0.49394838446710765</v>
      </c>
      <c r="J102" s="5">
        <f t="shared" si="20"/>
        <v>9.8789676893421524E-2</v>
      </c>
    </row>
    <row r="103" spans="1:10" x14ac:dyDescent="0.2">
      <c r="A103" s="2">
        <v>2012</v>
      </c>
      <c r="B103" t="s">
        <v>84</v>
      </c>
      <c r="C103" s="15">
        <v>31574.54354195395</v>
      </c>
      <c r="D103" s="5">
        <v>2.7971801843114628E-2</v>
      </c>
      <c r="E103" s="5">
        <f t="shared" ref="E103:E106" si="29">C103/AVERAGE(C$102:C$106)</f>
        <v>0.41207334091462416</v>
      </c>
      <c r="G103" s="15">
        <f>AVERAGE(C$102:C$106)</f>
        <v>76623.601691563337</v>
      </c>
      <c r="H103" s="5">
        <f t="shared" si="22"/>
        <v>1.1526433836894086E-2</v>
      </c>
      <c r="I103" s="5">
        <f>SUM(H$102:H$106)</f>
        <v>0.49394838446710765</v>
      </c>
      <c r="J103" s="5">
        <f t="shared" si="20"/>
        <v>9.8789676893421524E-2</v>
      </c>
    </row>
    <row r="104" spans="1:10" x14ac:dyDescent="0.2">
      <c r="A104" s="2">
        <v>2012</v>
      </c>
      <c r="B104" t="s">
        <v>85</v>
      </c>
      <c r="C104" s="15">
        <v>53974.940584061456</v>
      </c>
      <c r="D104" s="5">
        <v>5.8130385751925702E-2</v>
      </c>
      <c r="E104" s="5">
        <f t="shared" si="29"/>
        <v>0.70441664699252038</v>
      </c>
      <c r="G104" s="15">
        <f>AVERAGE(C$102:C$106)</f>
        <v>76623.601691563337</v>
      </c>
      <c r="H104" s="5">
        <f t="shared" si="22"/>
        <v>4.094801141975328E-2</v>
      </c>
      <c r="I104" s="5">
        <f>SUM(H$102:H$106)</f>
        <v>0.49394838446710765</v>
      </c>
      <c r="J104" s="5">
        <f t="shared" si="20"/>
        <v>9.8789676893421524E-2</v>
      </c>
    </row>
    <row r="105" spans="1:10" x14ac:dyDescent="0.2">
      <c r="A105" s="2">
        <v>2012</v>
      </c>
      <c r="B105" t="s">
        <v>86</v>
      </c>
      <c r="C105" s="15">
        <v>87322.459935600244</v>
      </c>
      <c r="D105" s="5">
        <v>8.6607218086862531E-2</v>
      </c>
      <c r="E105" s="5">
        <f t="shared" si="29"/>
        <v>1.139628756777886</v>
      </c>
      <c r="G105" s="15">
        <f>AVERAGE(C$102:C$106)</f>
        <v>76623.601691563337</v>
      </c>
      <c r="H105" s="5">
        <f t="shared" si="22"/>
        <v>9.8700076276322393E-2</v>
      </c>
      <c r="I105" s="5">
        <f>SUM(H$102:H$106)</f>
        <v>0.49394838446710765</v>
      </c>
      <c r="J105" s="5">
        <f t="shared" si="20"/>
        <v>9.8789676893421524E-2</v>
      </c>
    </row>
    <row r="106" spans="1:10" x14ac:dyDescent="0.2">
      <c r="A106" s="2">
        <v>2012</v>
      </c>
      <c r="B106" t="s">
        <v>90</v>
      </c>
      <c r="C106" s="15">
        <v>196932.19821642307</v>
      </c>
      <c r="D106" s="5">
        <v>0.13305847069717477</v>
      </c>
      <c r="E106" s="5">
        <f t="shared" si="29"/>
        <v>2.5701245291123707</v>
      </c>
      <c r="F106">
        <f>SUM(E102:E106)/5</f>
        <v>1</v>
      </c>
      <c r="G106" s="15">
        <f>AVERAGE(C$102:C$106)</f>
        <v>76623.601691563337</v>
      </c>
      <c r="H106" s="5">
        <f t="shared" si="22"/>
        <v>0.34197683934498846</v>
      </c>
      <c r="I106" s="5">
        <f>SUM(H$102:H$106)</f>
        <v>0.49394838446710765</v>
      </c>
      <c r="J106" s="5">
        <f t="shared" si="20"/>
        <v>9.8789676893421524E-2</v>
      </c>
    </row>
    <row r="107" spans="1:10" x14ac:dyDescent="0.2">
      <c r="A107" s="2">
        <v>2013</v>
      </c>
      <c r="B107" t="s">
        <v>83</v>
      </c>
      <c r="C107" s="15">
        <v>13491.414236396078</v>
      </c>
      <c r="D107" s="5">
        <v>4.4676625015030577E-3</v>
      </c>
      <c r="E107" s="5">
        <f>C107/AVERAGE(C$107:C$111)</f>
        <v>0.17125285951838368</v>
      </c>
      <c r="G107" s="15">
        <f>AVERAGE(C$107:C$111)</f>
        <v>78780.665469400818</v>
      </c>
      <c r="H107" s="5">
        <f t="shared" si="22"/>
        <v>7.650999787454537E-4</v>
      </c>
      <c r="I107" s="5">
        <f>SUM(H$107:H$111)</f>
        <v>0.49539673060692413</v>
      </c>
      <c r="J107" s="5">
        <f t="shared" si="20"/>
        <v>9.9079346121384831E-2</v>
      </c>
    </row>
    <row r="108" spans="1:10" x14ac:dyDescent="0.2">
      <c r="A108" s="2">
        <v>2013</v>
      </c>
      <c r="B108" t="s">
        <v>84</v>
      </c>
      <c r="C108" s="15">
        <v>32184.063719472182</v>
      </c>
      <c r="D108" s="5">
        <v>2.79268051033148E-2</v>
      </c>
      <c r="E108" s="5">
        <f t="shared" ref="E108:E111" si="30">C108/AVERAGE(C$107:C$111)</f>
        <v>0.40852744169789718</v>
      </c>
      <c r="G108" s="15">
        <f>AVERAGE(C$107:C$111)</f>
        <v>78780.665469400818</v>
      </c>
      <c r="H108" s="5">
        <f t="shared" si="22"/>
        <v>1.1408866243652973E-2</v>
      </c>
      <c r="I108" s="5">
        <f>SUM(H$107:H$111)</f>
        <v>0.49539673060692413</v>
      </c>
      <c r="J108" s="5">
        <f t="shared" si="20"/>
        <v>9.9079346121384831E-2</v>
      </c>
    </row>
    <row r="109" spans="1:10" x14ac:dyDescent="0.2">
      <c r="A109" s="2">
        <v>2013</v>
      </c>
      <c r="B109" t="s">
        <v>85</v>
      </c>
      <c r="C109" s="15">
        <v>55270.692530807384</v>
      </c>
      <c r="D109" s="5">
        <v>5.8372028628336257E-2</v>
      </c>
      <c r="E109" s="5">
        <f t="shared" si="30"/>
        <v>0.70157686789628682</v>
      </c>
      <c r="G109" s="15">
        <f>AVERAGE(C$107:C$111)</f>
        <v>78780.665469400818</v>
      </c>
      <c r="H109" s="5">
        <f t="shared" si="22"/>
        <v>4.0952465017820537E-2</v>
      </c>
      <c r="I109" s="5">
        <f>SUM(H$107:H$111)</f>
        <v>0.49539673060692413</v>
      </c>
      <c r="J109" s="5">
        <f t="shared" si="20"/>
        <v>9.9079346121384831E-2</v>
      </c>
    </row>
    <row r="110" spans="1:10" x14ac:dyDescent="0.2">
      <c r="A110" s="2">
        <v>2013</v>
      </c>
      <c r="B110" t="s">
        <v>86</v>
      </c>
      <c r="C110" s="15">
        <v>89694.386017373618</v>
      </c>
      <c r="D110" s="5">
        <v>8.694579507677111E-2</v>
      </c>
      <c r="E110" s="5">
        <f t="shared" si="30"/>
        <v>1.1385329824639752</v>
      </c>
      <c r="G110" s="15">
        <f>AVERAGE(C$107:C$111)</f>
        <v>78780.665469400818</v>
      </c>
      <c r="H110" s="5">
        <f t="shared" si="22"/>
        <v>9.8990655381457821E-2</v>
      </c>
      <c r="I110" s="5">
        <f>SUM(H$107:H$111)</f>
        <v>0.49539673060692413</v>
      </c>
      <c r="J110" s="5">
        <f t="shared" si="20"/>
        <v>9.9079346121384831E-2</v>
      </c>
    </row>
    <row r="111" spans="1:10" x14ac:dyDescent="0.2">
      <c r="A111" s="2">
        <v>2013</v>
      </c>
      <c r="B111" t="s">
        <v>90</v>
      </c>
      <c r="C111" s="15">
        <v>203262.77084295478</v>
      </c>
      <c r="D111" s="5">
        <v>0.13304846078356083</v>
      </c>
      <c r="E111" s="5">
        <f t="shared" si="30"/>
        <v>2.5801098484234566</v>
      </c>
      <c r="F111">
        <f>SUM(E107:E111)/5</f>
        <v>1</v>
      </c>
      <c r="G111" s="15">
        <f>AVERAGE(C$107:C$111)</f>
        <v>78780.665469400818</v>
      </c>
      <c r="H111" s="5">
        <f t="shared" si="22"/>
        <v>0.34327964398524735</v>
      </c>
      <c r="I111" s="5">
        <f>SUM(H$107:H$111)</f>
        <v>0.49539673060692413</v>
      </c>
      <c r="J111" s="5">
        <f t="shared" si="20"/>
        <v>9.9079346121384831E-2</v>
      </c>
    </row>
    <row r="112" spans="1:10" x14ac:dyDescent="0.2">
      <c r="A112" s="2">
        <v>2014</v>
      </c>
      <c r="B112" t="s">
        <v>83</v>
      </c>
      <c r="C112" s="15">
        <v>13813.151837712821</v>
      </c>
      <c r="D112" s="5">
        <v>4.4866107932235765E-3</v>
      </c>
      <c r="E112" s="5">
        <f>C112/AVERAGE(C$112:C$116)</f>
        <v>0.16955455694966354</v>
      </c>
      <c r="G112" s="15">
        <f>AVERAGE(C$112:C$116)</f>
        <v>81467.299294194716</v>
      </c>
      <c r="H112" s="5">
        <f t="shared" si="22"/>
        <v>7.6072530525060199E-4</v>
      </c>
      <c r="I112" s="5">
        <f>SUM(H$112:H$116)</f>
        <v>0.49510017640932275</v>
      </c>
      <c r="J112" s="5">
        <f t="shared" si="20"/>
        <v>9.9020035281864552E-2</v>
      </c>
    </row>
    <row r="113" spans="1:10" x14ac:dyDescent="0.2">
      <c r="A113" s="2">
        <v>2014</v>
      </c>
      <c r="B113" t="s">
        <v>84</v>
      </c>
      <c r="C113" s="15">
        <v>33102.188954255544</v>
      </c>
      <c r="D113" s="5">
        <v>2.8993896319095699E-2</v>
      </c>
      <c r="E113" s="5">
        <f t="shared" ref="E113:E116" si="31">C113/AVERAGE(C$112:C$116)</f>
        <v>0.40632485968040893</v>
      </c>
      <c r="G113" s="15">
        <f>AVERAGE(C$112:C$116)</f>
        <v>81467.299294194716</v>
      </c>
      <c r="H113" s="5">
        <f t="shared" si="22"/>
        <v>1.1780940853444884E-2</v>
      </c>
      <c r="I113" s="5">
        <f>SUM(H$112:H$116)</f>
        <v>0.49510017640932275</v>
      </c>
      <c r="J113" s="5">
        <f t="shared" si="20"/>
        <v>9.9020035281864552E-2</v>
      </c>
    </row>
    <row r="114" spans="1:10" x14ac:dyDescent="0.2">
      <c r="A114" s="2">
        <v>2014</v>
      </c>
      <c r="B114" t="s">
        <v>85</v>
      </c>
      <c r="C114" s="15">
        <v>56955.830818681148</v>
      </c>
      <c r="D114" s="5">
        <v>5.9493349680114355E-2</v>
      </c>
      <c r="E114" s="5">
        <f t="shared" si="31"/>
        <v>0.69912506382471629</v>
      </c>
      <c r="G114" s="15">
        <f>AVERAGE(C$112:C$116)</f>
        <v>81467.299294194716</v>
      </c>
      <c r="H114" s="5">
        <f t="shared" si="22"/>
        <v>4.1593291892256114E-2</v>
      </c>
      <c r="I114" s="5">
        <f>SUM(H$112:H$116)</f>
        <v>0.49510017640932275</v>
      </c>
      <c r="J114" s="5">
        <f t="shared" si="20"/>
        <v>9.9020035281864552E-2</v>
      </c>
    </row>
    <row r="115" spans="1:10" x14ac:dyDescent="0.2">
      <c r="A115" s="2">
        <v>2014</v>
      </c>
      <c r="B115" t="s">
        <v>86</v>
      </c>
      <c r="C115" s="15">
        <v>92493.322919620448</v>
      </c>
      <c r="D115" s="5">
        <v>8.6187368887417654E-2</v>
      </c>
      <c r="E115" s="5">
        <f t="shared" si="31"/>
        <v>1.1353429378529973</v>
      </c>
      <c r="G115" s="15">
        <f>AVERAGE(C$112:C$116)</f>
        <v>81467.299294194716</v>
      </c>
      <c r="H115" s="5">
        <f t="shared" si="22"/>
        <v>9.7852220598460771E-2</v>
      </c>
      <c r="I115" s="5">
        <f>SUM(H$112:H$116)</f>
        <v>0.49510017640932275</v>
      </c>
      <c r="J115" s="5">
        <f t="shared" si="20"/>
        <v>9.9020035281864552E-2</v>
      </c>
    </row>
    <row r="116" spans="1:10" x14ac:dyDescent="0.2">
      <c r="A116" s="2">
        <v>2014</v>
      </c>
      <c r="B116" t="s">
        <v>90</v>
      </c>
      <c r="C116" s="15">
        <v>210972.00194070363</v>
      </c>
      <c r="D116" s="5">
        <v>0.13249383341440438</v>
      </c>
      <c r="E116" s="5">
        <f t="shared" si="31"/>
        <v>2.589652581692214</v>
      </c>
      <c r="F116">
        <f>SUM(E112:E116)/5</f>
        <v>1</v>
      </c>
      <c r="G116" s="15">
        <f>AVERAGE(C$112:C$116)</f>
        <v>81467.299294194716</v>
      </c>
      <c r="H116" s="5">
        <f t="shared" si="22"/>
        <v>0.34311299775991039</v>
      </c>
      <c r="I116" s="5">
        <f>SUM(H$112:H$116)</f>
        <v>0.49510017640932275</v>
      </c>
      <c r="J116" s="5">
        <f t="shared" si="20"/>
        <v>9.9020035281864552E-2</v>
      </c>
    </row>
    <row r="117" spans="1:10" x14ac:dyDescent="0.2">
      <c r="A117" s="2">
        <v>2015</v>
      </c>
      <c r="B117" t="s">
        <v>83</v>
      </c>
      <c r="C117" s="15">
        <v>14199.824506251662</v>
      </c>
      <c r="D117" s="5">
        <v>4.7802752567406345E-3</v>
      </c>
      <c r="E117" s="5">
        <f>C117/AVERAGE(C$117:C$121)</f>
        <v>0.16883447264979512</v>
      </c>
      <c r="G117" s="15">
        <f>AVERAGE(C$117:C$121)</f>
        <v>84105.007013026567</v>
      </c>
      <c r="H117" s="5">
        <f t="shared" si="22"/>
        <v>8.0707525209266909E-4</v>
      </c>
      <c r="I117" s="5">
        <f>SUM(H$117:H$121)</f>
        <v>0.50823878067350803</v>
      </c>
      <c r="J117" s="5">
        <f t="shared" si="20"/>
        <v>0.1016477561347016</v>
      </c>
    </row>
    <row r="118" spans="1:10" x14ac:dyDescent="0.2">
      <c r="A118" s="2">
        <v>2015</v>
      </c>
      <c r="B118" t="s">
        <v>84</v>
      </c>
      <c r="C118" s="15">
        <v>34086.344515144294</v>
      </c>
      <c r="D118" s="5">
        <v>3.0115048737208452E-2</v>
      </c>
      <c r="E118" s="5">
        <f t="shared" ref="E118:E121" si="32">C118/AVERAGE(C$117:C$121)</f>
        <v>0.40528317784772133</v>
      </c>
      <c r="G118" s="15">
        <f>AVERAGE(C$117:C$121)</f>
        <v>84105.007013026567</v>
      </c>
      <c r="H118" s="5">
        <f t="shared" si="22"/>
        <v>1.2205122653254848E-2</v>
      </c>
      <c r="I118" s="5">
        <f>SUM(H$117:H$121)</f>
        <v>0.50823878067350803</v>
      </c>
      <c r="J118" s="5">
        <f t="shared" si="20"/>
        <v>0.1016477561347016</v>
      </c>
    </row>
    <row r="119" spans="1:10" x14ac:dyDescent="0.2">
      <c r="A119" s="2">
        <v>2015</v>
      </c>
      <c r="B119" t="s">
        <v>85</v>
      </c>
      <c r="C119" s="15">
        <v>58290.9217295493</v>
      </c>
      <c r="D119" s="5">
        <v>6.1356056266669394E-2</v>
      </c>
      <c r="E119" s="5">
        <f t="shared" si="32"/>
        <v>0.69307314510443996</v>
      </c>
      <c r="G119" s="15">
        <f>AVERAGE(C$117:C$121)</f>
        <v>84105.007013026567</v>
      </c>
      <c r="H119" s="5">
        <f t="shared" si="22"/>
        <v>4.2524234887945538E-2</v>
      </c>
      <c r="I119" s="5">
        <f>SUM(H$117:H$121)</f>
        <v>0.50823878067350803</v>
      </c>
      <c r="J119" s="5">
        <f t="shared" si="20"/>
        <v>0.1016477561347016</v>
      </c>
    </row>
    <row r="120" spans="1:10" x14ac:dyDescent="0.2">
      <c r="A120" s="2">
        <v>2015</v>
      </c>
      <c r="B120" t="s">
        <v>86</v>
      </c>
      <c r="C120" s="15">
        <v>94239.710964488724</v>
      </c>
      <c r="D120" s="5">
        <v>8.7773913463957118E-2</v>
      </c>
      <c r="E120" s="5">
        <f t="shared" si="32"/>
        <v>1.1205006017048718</v>
      </c>
      <c r="G120" s="15">
        <f>AVERAGE(C$117:C$121)</f>
        <v>84105.007013026567</v>
      </c>
      <c r="H120" s="5">
        <f t="shared" si="22"/>
        <v>9.8350722850355288E-2</v>
      </c>
      <c r="I120" s="5">
        <f>SUM(H$117:H$121)</f>
        <v>0.50823878067350803</v>
      </c>
      <c r="J120" s="5">
        <f t="shared" si="20"/>
        <v>0.1016477561347016</v>
      </c>
    </row>
    <row r="121" spans="1:10" x14ac:dyDescent="0.2">
      <c r="A121" s="2">
        <v>2015</v>
      </c>
      <c r="B121" t="s">
        <v>90</v>
      </c>
      <c r="C121" s="15">
        <v>219708.23334969886</v>
      </c>
      <c r="D121" s="5">
        <v>0.13564692343949686</v>
      </c>
      <c r="E121" s="5">
        <f t="shared" si="32"/>
        <v>2.6123086026931719</v>
      </c>
      <c r="F121">
        <f>SUM(E117:E121)/5</f>
        <v>1</v>
      </c>
      <c r="G121" s="15">
        <f>AVERAGE(C$117:C$121)</f>
        <v>84105.007013026567</v>
      </c>
      <c r="H121" s="5">
        <f t="shared" si="22"/>
        <v>0.35435162502985967</v>
      </c>
      <c r="I121" s="5">
        <f>SUM(H$117:H$121)</f>
        <v>0.50823878067350803</v>
      </c>
      <c r="J121" s="5">
        <f t="shared" si="20"/>
        <v>0.1016477561347016</v>
      </c>
    </row>
    <row r="122" spans="1:10" x14ac:dyDescent="0.2">
      <c r="A122" s="2">
        <v>2016</v>
      </c>
      <c r="B122" t="s">
        <v>83</v>
      </c>
      <c r="C122" s="15">
        <v>14494.815768900509</v>
      </c>
      <c r="D122" s="5">
        <v>4.7062499808242708E-3</v>
      </c>
      <c r="E122" s="5">
        <f>C122/AVERAGE(C$122:C$126)</f>
        <v>0.17479924235923069</v>
      </c>
      <c r="G122" s="15">
        <f>AVERAGE(C$122:C$126)</f>
        <v>82922.646421499638</v>
      </c>
      <c r="H122" s="5">
        <f t="shared" si="22"/>
        <v>8.2264893100122657E-4</v>
      </c>
      <c r="I122" s="5">
        <f>SUM(H$122:H$126)</f>
        <v>0.4889429715294753</v>
      </c>
      <c r="J122" s="5">
        <f t="shared" si="20"/>
        <v>9.7788594305895066E-2</v>
      </c>
    </row>
    <row r="123" spans="1:10" x14ac:dyDescent="0.2">
      <c r="A123" s="2">
        <v>2016</v>
      </c>
      <c r="B123" t="s">
        <v>84</v>
      </c>
      <c r="C123" s="15">
        <v>34460.011373065376</v>
      </c>
      <c r="D123" s="5">
        <v>2.9846615503511097E-2</v>
      </c>
      <c r="E123" s="5">
        <f t="shared" ref="E123:E126" si="33">C123/AVERAGE(C$122:C$126)</f>
        <v>0.41556815731499386</v>
      </c>
      <c r="G123" s="15">
        <f>AVERAGE(C$122:C$126)</f>
        <v>82922.646421499638</v>
      </c>
      <c r="H123" s="5">
        <f t="shared" si="22"/>
        <v>1.2403303006883235E-2</v>
      </c>
      <c r="I123" s="5">
        <f>SUM(H$122:H$126)</f>
        <v>0.4889429715294753</v>
      </c>
      <c r="J123" s="5">
        <f t="shared" si="20"/>
        <v>9.7788594305895066E-2</v>
      </c>
    </row>
    <row r="124" spans="1:10" x14ac:dyDescent="0.2">
      <c r="A124" s="2">
        <v>2016</v>
      </c>
      <c r="B124" t="s">
        <v>85</v>
      </c>
      <c r="C124" s="15">
        <v>58876.93151290591</v>
      </c>
      <c r="D124" s="5">
        <v>5.9468959880253268E-2</v>
      </c>
      <c r="E124" s="5">
        <f t="shared" si="33"/>
        <v>0.71002234074430948</v>
      </c>
      <c r="G124" s="15">
        <f>AVERAGE(C$122:C$126)</f>
        <v>82922.646421499638</v>
      </c>
      <c r="H124" s="5">
        <f t="shared" si="22"/>
        <v>4.2224290095806853E-2</v>
      </c>
      <c r="I124" s="5">
        <f>SUM(H$122:H$126)</f>
        <v>0.4889429715294753</v>
      </c>
      <c r="J124" s="5">
        <f t="shared" si="20"/>
        <v>9.7788594305895066E-2</v>
      </c>
    </row>
    <row r="125" spans="1:10" x14ac:dyDescent="0.2">
      <c r="A125" s="2">
        <v>2016</v>
      </c>
      <c r="B125" t="s">
        <v>86</v>
      </c>
      <c r="C125" s="15">
        <v>94944.71815835801</v>
      </c>
      <c r="D125" s="5">
        <v>8.5641284768550166E-2</v>
      </c>
      <c r="E125" s="5">
        <f t="shared" si="33"/>
        <v>1.1449793543219742</v>
      </c>
      <c r="G125" s="15">
        <f>AVERAGE(C$122:C$126)</f>
        <v>82922.646421499638</v>
      </c>
      <c r="H125" s="5">
        <f t="shared" si="22"/>
        <v>9.8057502937598892E-2</v>
      </c>
      <c r="I125" s="5">
        <f>SUM(H$122:H$126)</f>
        <v>0.4889429715294753</v>
      </c>
      <c r="J125" s="5">
        <f t="shared" si="20"/>
        <v>9.7788594305895066E-2</v>
      </c>
    </row>
    <row r="126" spans="1:10" x14ac:dyDescent="0.2">
      <c r="A126" s="2">
        <v>2016</v>
      </c>
      <c r="B126" t="s">
        <v>90</v>
      </c>
      <c r="C126" s="15">
        <v>211836.75529426843</v>
      </c>
      <c r="D126" s="5">
        <v>0.13130477121669071</v>
      </c>
      <c r="E126" s="5">
        <f t="shared" si="33"/>
        <v>2.5546309052594922</v>
      </c>
      <c r="F126">
        <f>SUM(E122:E126)/5</f>
        <v>1</v>
      </c>
      <c r="G126" s="15">
        <f>AVERAGE(C$122:C$126)</f>
        <v>82922.646421499638</v>
      </c>
      <c r="H126" s="5">
        <f t="shared" si="22"/>
        <v>0.33543522655818508</v>
      </c>
      <c r="I126" s="5">
        <f>SUM(H$122:H$126)</f>
        <v>0.4889429715294753</v>
      </c>
      <c r="J126" s="5">
        <f t="shared" si="20"/>
        <v>9.7788594305895066E-2</v>
      </c>
    </row>
    <row r="127" spans="1:10" x14ac:dyDescent="0.2">
      <c r="A127" s="2">
        <v>2017</v>
      </c>
      <c r="B127" t="s">
        <v>83</v>
      </c>
      <c r="C127" s="15">
        <v>14780.036064589258</v>
      </c>
      <c r="D127" s="5">
        <v>5.0166359331160256E-3</v>
      </c>
      <c r="E127" s="5">
        <f>C127/AVERAGE(C$127:C$131)</f>
        <v>0.17043754550546814</v>
      </c>
      <c r="G127" s="15">
        <f>AVERAGE(C$127:C$131)</f>
        <v>86718.193580856692</v>
      </c>
      <c r="H127" s="5">
        <f t="shared" si="22"/>
        <v>8.5502311513482919E-4</v>
      </c>
      <c r="I127" s="5">
        <f>SUM(H$127:H$131)</f>
        <v>0.49740854707777177</v>
      </c>
      <c r="J127" s="5">
        <f t="shared" si="20"/>
        <v>9.9481709415554356E-2</v>
      </c>
    </row>
    <row r="128" spans="1:10" x14ac:dyDescent="0.2">
      <c r="A128" s="2">
        <v>2017</v>
      </c>
      <c r="B128" t="s">
        <v>84</v>
      </c>
      <c r="C128" s="15">
        <v>35339.932778816212</v>
      </c>
      <c r="D128" s="5">
        <v>3.058427189481297E-2</v>
      </c>
      <c r="E128" s="5">
        <f t="shared" ref="E128:E131" si="34">C128/AVERAGE(C$127:C$131)</f>
        <v>0.4075261639976967</v>
      </c>
      <c r="G128" s="15">
        <f>AVERAGE(C$127:C$131)</f>
        <v>86718.193580856692</v>
      </c>
      <c r="H128" s="5">
        <f t="shared" si="22"/>
        <v>1.2463891003955696E-2</v>
      </c>
      <c r="I128" s="5">
        <f>SUM(H$127:H$131)</f>
        <v>0.49740854707777177</v>
      </c>
      <c r="J128" s="5">
        <f t="shared" si="20"/>
        <v>9.9481709415554356E-2</v>
      </c>
    </row>
    <row r="129" spans="1:10" x14ac:dyDescent="0.2">
      <c r="A129" s="2">
        <v>2017</v>
      </c>
      <c r="B129" t="s">
        <v>85</v>
      </c>
      <c r="C129" s="15">
        <v>60631.286968086359</v>
      </c>
      <c r="D129" s="5">
        <v>6.0087373129467658E-2</v>
      </c>
      <c r="E129" s="5">
        <f t="shared" si="34"/>
        <v>0.69917608363870376</v>
      </c>
      <c r="G129" s="15">
        <f>AVERAGE(C$127:C$131)</f>
        <v>86718.193580856692</v>
      </c>
      <c r="H129" s="5">
        <f t="shared" si="22"/>
        <v>4.201165422079868E-2</v>
      </c>
      <c r="I129" s="5">
        <f>SUM(H$127:H$131)</f>
        <v>0.49740854707777177</v>
      </c>
      <c r="J129" s="5">
        <f t="shared" si="20"/>
        <v>9.9481709415554356E-2</v>
      </c>
    </row>
    <row r="130" spans="1:10" x14ac:dyDescent="0.2">
      <c r="A130" s="2">
        <v>2017</v>
      </c>
      <c r="B130" t="s">
        <v>86</v>
      </c>
      <c r="C130" s="15">
        <v>97950.091603221445</v>
      </c>
      <c r="D130" s="5">
        <v>8.6157163711094872E-2</v>
      </c>
      <c r="E130" s="5">
        <f t="shared" si="34"/>
        <v>1.1295218172630874</v>
      </c>
      <c r="G130" s="15">
        <f>AVERAGE(C$127:C$131)</f>
        <v>86718.193580856692</v>
      </c>
      <c r="H130" s="5">
        <f t="shared" si="22"/>
        <v>9.7316396125189206E-2</v>
      </c>
      <c r="I130" s="5">
        <f>SUM(H$127:H$131)</f>
        <v>0.49740854707777177</v>
      </c>
      <c r="J130" s="5">
        <f t="shared" si="20"/>
        <v>9.9481709415554356E-2</v>
      </c>
    </row>
    <row r="131" spans="1:10" x14ac:dyDescent="0.2">
      <c r="A131" s="2">
        <v>2017</v>
      </c>
      <c r="B131" t="s">
        <v>90</v>
      </c>
      <c r="C131" s="15">
        <v>224889.6204895702</v>
      </c>
      <c r="D131" s="5">
        <v>0.13294122510041145</v>
      </c>
      <c r="E131" s="5">
        <f t="shared" si="34"/>
        <v>2.5933383895950444</v>
      </c>
      <c r="F131">
        <f>SUM(E127:E131)/5</f>
        <v>1</v>
      </c>
      <c r="G131" s="15">
        <f>AVERAGE(C$127:C$131)</f>
        <v>86718.193580856692</v>
      </c>
      <c r="H131" s="5">
        <f t="shared" si="22"/>
        <v>0.34476158261269335</v>
      </c>
      <c r="I131" s="5">
        <f>SUM(H$127:H$131)</f>
        <v>0.49740854707777177</v>
      </c>
      <c r="J131" s="5">
        <f t="shared" ref="J131:J155" si="35">I131/5</f>
        <v>9.9481709415554356E-2</v>
      </c>
    </row>
    <row r="132" spans="1:10" x14ac:dyDescent="0.2">
      <c r="A132" s="2">
        <v>2018</v>
      </c>
      <c r="B132" t="s">
        <v>83</v>
      </c>
      <c r="C132" s="15">
        <v>15320.695123135174</v>
      </c>
      <c r="D132" s="5">
        <v>5.1129093685799622E-3</v>
      </c>
      <c r="E132" s="5">
        <f>C132/AVERAGE(C$132:C$136)</f>
        <v>0.17227844686105961</v>
      </c>
      <c r="G132" s="15">
        <f>AVERAGE(C$132:C$136)</f>
        <v>88929.84237018993</v>
      </c>
      <c r="H132" s="5">
        <f t="shared" si="22"/>
        <v>8.8084408496031698E-4</v>
      </c>
      <c r="I132" s="5">
        <f>SUM(H$132:H$136)</f>
        <v>0.50417241747099717</v>
      </c>
      <c r="J132" s="5">
        <f t="shared" si="35"/>
        <v>0.10083448349419943</v>
      </c>
    </row>
    <row r="133" spans="1:10" x14ac:dyDescent="0.2">
      <c r="A133" s="2">
        <v>2018</v>
      </c>
      <c r="B133" t="s">
        <v>84</v>
      </c>
      <c r="C133" s="15">
        <v>36449.376794241784</v>
      </c>
      <c r="D133" s="5">
        <v>3.2312851919736103E-2</v>
      </c>
      <c r="E133" s="5">
        <f t="shared" ref="E133:E136" si="36">C133/AVERAGE(C$132:C$136)</f>
        <v>0.40986665243949583</v>
      </c>
      <c r="G133" s="15">
        <f>AVERAGE(C$132:C$136)</f>
        <v>88929.84237018993</v>
      </c>
      <c r="H133" s="5">
        <f t="shared" si="22"/>
        <v>1.3243960447115372E-2</v>
      </c>
      <c r="I133" s="5">
        <f>SUM(H$132:H$136)</f>
        <v>0.50417241747099717</v>
      </c>
      <c r="J133" s="5">
        <f t="shared" si="35"/>
        <v>0.10083448349419943</v>
      </c>
    </row>
    <row r="134" spans="1:10" x14ac:dyDescent="0.2">
      <c r="A134" s="2">
        <v>2018</v>
      </c>
      <c r="B134" t="s">
        <v>85</v>
      </c>
      <c r="C134" s="15">
        <v>62360.084135782206</v>
      </c>
      <c r="D134" s="5">
        <v>6.1669817521335296E-2</v>
      </c>
      <c r="E134" s="5">
        <f t="shared" si="36"/>
        <v>0.7012278721488644</v>
      </c>
      <c r="G134" s="15">
        <f>AVERAGE(C$132:C$136)</f>
        <v>88929.84237018993</v>
      </c>
      <c r="H134" s="5">
        <f>(D134*C134)/G134</f>
        <v>4.3244594916294704E-2</v>
      </c>
      <c r="I134" s="5">
        <f>SUM(H$132:H$136)</f>
        <v>0.50417241747099717</v>
      </c>
      <c r="J134" s="5">
        <f t="shared" si="35"/>
        <v>0.10083448349419943</v>
      </c>
    </row>
    <row r="135" spans="1:10" x14ac:dyDescent="0.2">
      <c r="A135" s="2">
        <v>2018</v>
      </c>
      <c r="B135" t="s">
        <v>86</v>
      </c>
      <c r="C135" s="15">
        <v>100642.49701822351</v>
      </c>
      <c r="D135" s="5">
        <v>8.7274350929943068E-2</v>
      </c>
      <c r="E135" s="5">
        <f t="shared" si="36"/>
        <v>1.1317066840091439</v>
      </c>
      <c r="G135" s="15">
        <f>AVERAGE(C$132:C$136)</f>
        <v>88929.84237018993</v>
      </c>
      <c r="H135" s="5">
        <f t="shared" ref="H135:H156" si="37">(D135*C135)/G135</f>
        <v>9.8768966289976223E-2</v>
      </c>
      <c r="I135" s="5">
        <f>SUM(H$132:H$136)</f>
        <v>0.50417241747099717</v>
      </c>
      <c r="J135" s="5">
        <f t="shared" si="35"/>
        <v>0.10083448349419943</v>
      </c>
    </row>
    <row r="136" spans="1:10" x14ac:dyDescent="0.2">
      <c r="A136" s="2">
        <v>2018</v>
      </c>
      <c r="B136" t="s">
        <v>90</v>
      </c>
      <c r="C136" s="15">
        <v>229876.55877956699</v>
      </c>
      <c r="D136" s="5">
        <v>0.13464014566932106</v>
      </c>
      <c r="E136" s="5">
        <f t="shared" si="36"/>
        <v>2.5849203445414366</v>
      </c>
      <c r="F136">
        <f>SUM(E132:E136)/5</f>
        <v>1</v>
      </c>
      <c r="G136" s="15">
        <f>AVERAGE(C$132:C$136)</f>
        <v>88929.84237018993</v>
      </c>
      <c r="H136" s="5">
        <f t="shared" si="37"/>
        <v>0.34803405173265056</v>
      </c>
      <c r="I136" s="5">
        <f>SUM(H$132:H$136)</f>
        <v>0.50417241747099717</v>
      </c>
      <c r="J136" s="5">
        <f t="shared" si="35"/>
        <v>0.10083448349419943</v>
      </c>
    </row>
    <row r="137" spans="1:10" x14ac:dyDescent="0.2">
      <c r="A137" s="2">
        <v>2019</v>
      </c>
      <c r="B137" t="s">
        <v>83</v>
      </c>
      <c r="C137" s="15">
        <v>15571.469589014527</v>
      </c>
      <c r="D137" s="5">
        <v>4.9124380444329398E-3</v>
      </c>
      <c r="E137" s="5">
        <f>C137/AVERAGE(C$137:C$141)</f>
        <v>0.17158433637764561</v>
      </c>
      <c r="G137" s="15">
        <f>AVERAGE(C$137:C$141)</f>
        <v>90751.113520891362</v>
      </c>
      <c r="H137" s="5">
        <f t="shared" si="37"/>
        <v>8.4289742185032518E-4</v>
      </c>
      <c r="I137" s="5">
        <f>SUM(H$137:H$141)</f>
        <v>0.50268047217716638</v>
      </c>
      <c r="J137" s="5">
        <f t="shared" si="35"/>
        <v>0.10053609443543328</v>
      </c>
    </row>
    <row r="138" spans="1:10" x14ac:dyDescent="0.2">
      <c r="A138" s="2">
        <v>2019</v>
      </c>
      <c r="B138" t="s">
        <v>84</v>
      </c>
      <c r="C138" s="15">
        <v>37083.064269284274</v>
      </c>
      <c r="D138" s="5">
        <v>3.2020177968636654E-2</v>
      </c>
      <c r="E138" s="5">
        <f t="shared" ref="E138:E141" si="38">C138/AVERAGE(C$137:C$141)</f>
        <v>0.40862379347827582</v>
      </c>
      <c r="G138" s="15">
        <f>AVERAGE(C$137:C$141)</f>
        <v>90751.113520891362</v>
      </c>
      <c r="H138" s="5">
        <f t="shared" si="37"/>
        <v>1.3084206589393821E-2</v>
      </c>
      <c r="I138" s="5">
        <f>SUM(H$137:H$141)</f>
        <v>0.50268047217716638</v>
      </c>
      <c r="J138" s="5">
        <f t="shared" si="35"/>
        <v>0.10053609443543328</v>
      </c>
    </row>
    <row r="139" spans="1:10" x14ac:dyDescent="0.2">
      <c r="A139" s="2">
        <v>2019</v>
      </c>
      <c r="B139" t="s">
        <v>85</v>
      </c>
      <c r="C139" s="15">
        <v>63425.044040614644</v>
      </c>
      <c r="D139" s="5">
        <v>6.1177258005856265E-2</v>
      </c>
      <c r="E139" s="5">
        <f t="shared" si="38"/>
        <v>0.69888998139966496</v>
      </c>
      <c r="G139" s="15">
        <f>AVERAGE(C$137:C$141)</f>
        <v>90751.113520891362</v>
      </c>
      <c r="H139" s="5">
        <f t="shared" si="37"/>
        <v>4.2756172709795384E-2</v>
      </c>
      <c r="I139" s="5">
        <f>SUM(H$137:H$141)</f>
        <v>0.50268047217716638</v>
      </c>
      <c r="J139" s="5">
        <f t="shared" si="35"/>
        <v>0.10053609443543328</v>
      </c>
    </row>
    <row r="140" spans="1:10" x14ac:dyDescent="0.2">
      <c r="A140" s="2">
        <v>2019</v>
      </c>
      <c r="B140" t="s">
        <v>86</v>
      </c>
      <c r="C140" s="15">
        <v>102618.89273094243</v>
      </c>
      <c r="D140" s="5">
        <v>8.6827486233743062E-2</v>
      </c>
      <c r="E140" s="5">
        <f t="shared" si="38"/>
        <v>1.1307728219480089</v>
      </c>
      <c r="G140" s="15">
        <f>AVERAGE(C$137:C$141)</f>
        <v>90751.113520891362</v>
      </c>
      <c r="H140" s="5">
        <f t="shared" si="37"/>
        <v>9.8182161631181541E-2</v>
      </c>
      <c r="I140" s="5">
        <f>SUM(H$137:H$141)</f>
        <v>0.50268047217716638</v>
      </c>
      <c r="J140" s="5">
        <f t="shared" si="35"/>
        <v>0.10053609443543328</v>
      </c>
    </row>
    <row r="141" spans="1:10" x14ac:dyDescent="0.2">
      <c r="A141" s="2">
        <v>2019</v>
      </c>
      <c r="B141" t="s">
        <v>90</v>
      </c>
      <c r="C141" s="15">
        <v>235057.09697460095</v>
      </c>
      <c r="D141" s="5">
        <v>0.13428482707046699</v>
      </c>
      <c r="E141" s="5">
        <f t="shared" si="38"/>
        <v>2.590129066796405</v>
      </c>
      <c r="F141">
        <f>SUM(E137:E141)/5</f>
        <v>1</v>
      </c>
      <c r="G141" s="15">
        <f>AVERAGE(C$137:C$141)</f>
        <v>90751.113520891362</v>
      </c>
      <c r="H141" s="5">
        <f t="shared" si="37"/>
        <v>0.34781503382494527</v>
      </c>
      <c r="I141" s="5">
        <f>SUM(H$137:H$141)</f>
        <v>0.50268047217716638</v>
      </c>
      <c r="J141" s="5">
        <f t="shared" si="35"/>
        <v>0.10053609443543328</v>
      </c>
    </row>
    <row r="142" spans="1:10" x14ac:dyDescent="0.2">
      <c r="A142" s="2">
        <v>2020</v>
      </c>
      <c r="B142" t="s">
        <v>83</v>
      </c>
      <c r="C142" s="15">
        <v>19499.583242982771</v>
      </c>
      <c r="D142" s="5">
        <v>8.9300788203316803E-3</v>
      </c>
      <c r="E142" s="5">
        <f>C142/AVERAGE(C$142:C$146)</f>
        <v>0.20196902901503966</v>
      </c>
      <c r="G142" s="15">
        <f>AVERAGE(C$142:C$146)</f>
        <v>96547.393122985857</v>
      </c>
      <c r="H142" s="5">
        <f t="shared" si="37"/>
        <v>1.8035993483701603E-3</v>
      </c>
      <c r="I142" s="5">
        <f>SUM(H$142:H$146)</f>
        <v>0.48917818434494997</v>
      </c>
      <c r="J142" s="5">
        <f t="shared" si="35"/>
        <v>9.7835636868989995E-2</v>
      </c>
    </row>
    <row r="143" spans="1:10" x14ac:dyDescent="0.2">
      <c r="A143" s="2">
        <v>2020</v>
      </c>
      <c r="B143" t="s">
        <v>84</v>
      </c>
      <c r="C143" s="15">
        <v>41751.619757228407</v>
      </c>
      <c r="D143" s="5">
        <v>3.5329446739921416E-2</v>
      </c>
      <c r="E143" s="5">
        <f t="shared" ref="E143:E146" si="39">C143/AVERAGE(C$142:C$146)</f>
        <v>0.43244688858707514</v>
      </c>
      <c r="G143" s="15">
        <f>AVERAGE(C$142:C$146)</f>
        <v>96547.393122985857</v>
      </c>
      <c r="H143" s="5">
        <f t="shared" si="37"/>
        <v>1.52781093181818E-2</v>
      </c>
      <c r="I143" s="5">
        <f>SUM(H$142:H$146)</f>
        <v>0.48917818434494997</v>
      </c>
      <c r="J143" s="5">
        <f t="shared" si="35"/>
        <v>9.7835636868989995E-2</v>
      </c>
    </row>
    <row r="144" spans="1:10" x14ac:dyDescent="0.2">
      <c r="A144" s="2">
        <v>2020</v>
      </c>
      <c r="B144" t="s">
        <v>85</v>
      </c>
      <c r="C144" s="15">
        <v>68622.219983647359</v>
      </c>
      <c r="D144" s="5">
        <v>6.0451505026372865E-2</v>
      </c>
      <c r="E144" s="5">
        <f t="shared" si="39"/>
        <v>0.7107620181544797</v>
      </c>
      <c r="G144" s="15">
        <f>AVERAGE(C$142:C$146)</f>
        <v>96547.393122985857</v>
      </c>
      <c r="H144" s="5">
        <f t="shared" si="37"/>
        <v>4.2966633713020452E-2</v>
      </c>
      <c r="I144" s="5">
        <f>SUM(H$142:H$146)</f>
        <v>0.48917818434494997</v>
      </c>
      <c r="J144" s="5">
        <f t="shared" si="35"/>
        <v>9.7835636868989995E-2</v>
      </c>
    </row>
    <row r="145" spans="1:10" x14ac:dyDescent="0.2">
      <c r="A145" s="2">
        <v>2020</v>
      </c>
      <c r="B145" t="s">
        <v>86</v>
      </c>
      <c r="C145" s="15">
        <v>107991.86221643313</v>
      </c>
      <c r="D145" s="5">
        <v>8.4186711096225303E-2</v>
      </c>
      <c r="E145" s="5">
        <f t="shared" si="39"/>
        <v>1.1185373185464351</v>
      </c>
      <c r="G145" s="15">
        <f>AVERAGE(C$142:C$146)</f>
        <v>96547.393122985857</v>
      </c>
      <c r="H145" s="5">
        <f t="shared" si="37"/>
        <v>9.4165978086815261E-2</v>
      </c>
      <c r="I145" s="5">
        <f>SUM(H$142:H$146)</f>
        <v>0.48917818434494997</v>
      </c>
      <c r="J145" s="5">
        <f t="shared" si="35"/>
        <v>9.7835636868989995E-2</v>
      </c>
    </row>
    <row r="146" spans="1:10" x14ac:dyDescent="0.2">
      <c r="A146" s="2">
        <v>2020</v>
      </c>
      <c r="B146" t="s">
        <v>90</v>
      </c>
      <c r="C146" s="15">
        <v>244871.68041463761</v>
      </c>
      <c r="D146" s="5">
        <v>0.13206871367533077</v>
      </c>
      <c r="E146" s="5">
        <f t="shared" si="39"/>
        <v>2.5362847456969702</v>
      </c>
      <c r="F146">
        <f>SUM(E142:E146)/5</f>
        <v>1</v>
      </c>
      <c r="G146" s="15">
        <f>AVERAGE(C$142:C$146)</f>
        <v>96547.393122985857</v>
      </c>
      <c r="H146" s="5">
        <f t="shared" si="37"/>
        <v>0.33496386387856231</v>
      </c>
      <c r="I146" s="5">
        <f>SUM(H$142:H$146)</f>
        <v>0.48917818434494997</v>
      </c>
      <c r="J146" s="5">
        <f t="shared" si="35"/>
        <v>9.7835636868989995E-2</v>
      </c>
    </row>
    <row r="147" spans="1:10" x14ac:dyDescent="0.2">
      <c r="A147" s="2">
        <v>2021</v>
      </c>
      <c r="B147" t="s">
        <v>83</v>
      </c>
      <c r="C147" s="15">
        <v>18090.443461706556</v>
      </c>
      <c r="D147" s="5">
        <v>7.4098243492917888E-3</v>
      </c>
      <c r="E147" s="5">
        <f>C147/AVERAGE(C$147:C$151)</f>
        <v>0.17641550389033039</v>
      </c>
      <c r="G147" s="15">
        <f>AVERAGE(C$147:C$151)</f>
        <v>102544.52167057025</v>
      </c>
      <c r="H147" s="5">
        <f t="shared" si="37"/>
        <v>1.3072078963191505E-3</v>
      </c>
      <c r="I147" s="5">
        <f>SUM(H$147:H$151)</f>
        <v>0.50550821734701912</v>
      </c>
      <c r="J147" s="5">
        <f t="shared" si="35"/>
        <v>0.10110164346940383</v>
      </c>
    </row>
    <row r="148" spans="1:10" x14ac:dyDescent="0.2">
      <c r="A148" s="2">
        <v>2021</v>
      </c>
      <c r="B148" t="s">
        <v>84</v>
      </c>
      <c r="C148" s="15">
        <v>41560.115639647542</v>
      </c>
      <c r="D148" s="5">
        <v>3.4803259665645125E-2</v>
      </c>
      <c r="E148" s="5">
        <f t="shared" ref="E148:E151" si="40">C148/AVERAGE(C$147:C$151)</f>
        <v>0.40528850261900518</v>
      </c>
      <c r="G148" s="15">
        <f>AVERAGE(C$147:C$151)</f>
        <v>102544.52167057025</v>
      </c>
      <c r="H148" s="5">
        <f t="shared" si="37"/>
        <v>1.4105360996149731E-2</v>
      </c>
      <c r="I148" s="5">
        <f>SUM(H$147:H$151)</f>
        <v>0.50550821734701912</v>
      </c>
      <c r="J148" s="5">
        <f t="shared" si="35"/>
        <v>0.10110164346940383</v>
      </c>
    </row>
    <row r="149" spans="1:10" x14ac:dyDescent="0.2">
      <c r="A149" s="2">
        <v>2021</v>
      </c>
      <c r="B149" t="s">
        <v>85</v>
      </c>
      <c r="C149" s="15">
        <v>70017.352535081067</v>
      </c>
      <c r="D149" s="5">
        <v>6.1659449892180494E-2</v>
      </c>
      <c r="E149" s="5">
        <f t="shared" si="40"/>
        <v>0.68279954301230783</v>
      </c>
      <c r="G149" s="15">
        <f>AVERAGE(C$147:C$151)</f>
        <v>102544.52167057025</v>
      </c>
      <c r="H149" s="5">
        <f t="shared" si="37"/>
        <v>4.2101044208771136E-2</v>
      </c>
      <c r="I149" s="5">
        <f>SUM(H$147:H$151)</f>
        <v>0.50550821734701912</v>
      </c>
      <c r="J149" s="5">
        <f t="shared" si="35"/>
        <v>0.10110164346940383</v>
      </c>
    </row>
    <row r="150" spans="1:10" x14ac:dyDescent="0.2">
      <c r="A150" s="2">
        <v>2021</v>
      </c>
      <c r="B150" t="s">
        <v>86</v>
      </c>
      <c r="C150" s="15">
        <v>112228.99210244452</v>
      </c>
      <c r="D150" s="5">
        <v>8.588875263184273E-2</v>
      </c>
      <c r="E150" s="5">
        <f t="shared" si="40"/>
        <v>1.0944416169104201</v>
      </c>
      <c r="G150" s="15">
        <f>AVERAGE(C$147:C$151)</f>
        <v>102544.52167057025</v>
      </c>
      <c r="H150" s="5">
        <f t="shared" si="37"/>
        <v>9.4000225304813056E-2</v>
      </c>
      <c r="I150" s="5">
        <f>SUM(H$147:H$151)</f>
        <v>0.50550821734701912</v>
      </c>
      <c r="J150" s="5">
        <f t="shared" si="35"/>
        <v>0.10110164346940383</v>
      </c>
    </row>
    <row r="151" spans="1:10" x14ac:dyDescent="0.2">
      <c r="A151" s="2">
        <v>2021</v>
      </c>
      <c r="B151" t="s">
        <v>90</v>
      </c>
      <c r="C151" s="15">
        <v>270825.70461397152</v>
      </c>
      <c r="D151" s="5">
        <v>0.13403522503269533</v>
      </c>
      <c r="E151" s="5">
        <f t="shared" si="40"/>
        <v>2.641054833567936</v>
      </c>
      <c r="F151">
        <f>SUM(E147:E151)/5</f>
        <v>0.99999999999999978</v>
      </c>
      <c r="G151" s="15">
        <f>AVERAGE(C$147:C$151)</f>
        <v>102544.52167057025</v>
      </c>
      <c r="H151" s="5">
        <f t="shared" si="37"/>
        <v>0.35399437894096597</v>
      </c>
      <c r="I151" s="5">
        <f>SUM(H$147:H$151)</f>
        <v>0.50550821734701912</v>
      </c>
      <c r="J151" s="5">
        <f t="shared" si="35"/>
        <v>0.10110164346940383</v>
      </c>
    </row>
    <row r="152" spans="1:10" x14ac:dyDescent="0.2">
      <c r="A152" s="2">
        <v>2022</v>
      </c>
      <c r="B152" t="s">
        <v>83</v>
      </c>
      <c r="C152" s="15">
        <v>17069.342290334549</v>
      </c>
      <c r="D152" s="5">
        <v>3.6400060022803429E-3</v>
      </c>
      <c r="E152" s="5">
        <f>C152/AVERAGE(C$152:C$156)</f>
        <v>0.16507151349140359</v>
      </c>
      <c r="G152" s="15">
        <f>AVERAGE(C$152:C$156)</f>
        <v>103405.74172553078</v>
      </c>
      <c r="H152" s="5">
        <f t="shared" si="37"/>
        <v>6.0086129991420963E-4</v>
      </c>
      <c r="I152" s="5">
        <f>SUM(H$152:H$156)</f>
        <v>0.50921384879337661</v>
      </c>
      <c r="J152" s="5">
        <f t="shared" si="35"/>
        <v>0.10184276975867532</v>
      </c>
    </row>
    <row r="153" spans="1:10" x14ac:dyDescent="0.2">
      <c r="A153" s="2">
        <v>2022</v>
      </c>
      <c r="B153" t="s">
        <v>84</v>
      </c>
      <c r="C153" s="15">
        <v>41404.171090232107</v>
      </c>
      <c r="D153" s="5">
        <v>3.0538561710166261E-2</v>
      </c>
      <c r="E153" s="5">
        <f t="shared" ref="E153:E156" si="41">C153/AVERAGE(C$152:C$156)</f>
        <v>0.40040495236841822</v>
      </c>
      <c r="G153" s="15">
        <f>AVERAGE(C$152:C$156)</f>
        <v>103405.74172553078</v>
      </c>
      <c r="H153" s="5">
        <f t="shared" si="37"/>
        <v>1.2227791346959121E-2</v>
      </c>
      <c r="I153" s="5">
        <f>SUM(H$152:H$156)</f>
        <v>0.50921384879337661</v>
      </c>
      <c r="J153" s="5">
        <f t="shared" si="35"/>
        <v>0.10184276975867532</v>
      </c>
    </row>
    <row r="154" spans="1:10" x14ac:dyDescent="0.2">
      <c r="A154" s="2">
        <v>2022</v>
      </c>
      <c r="B154" t="s">
        <v>85</v>
      </c>
      <c r="C154" s="15">
        <v>70882.502092507522</v>
      </c>
      <c r="D154" s="5">
        <v>6.0475568491529644E-2</v>
      </c>
      <c r="E154" s="5">
        <f t="shared" si="41"/>
        <v>0.6854793641986584</v>
      </c>
      <c r="G154" s="15">
        <f>AVERAGE(C$152:C$156)</f>
        <v>103405.74172553078</v>
      </c>
      <c r="H154" s="5">
        <f t="shared" si="37"/>
        <v>4.145475423912616E-2</v>
      </c>
      <c r="I154" s="5">
        <f>SUM(H$152:H$156)</f>
        <v>0.50921384879337661</v>
      </c>
      <c r="J154" s="5">
        <f t="shared" si="35"/>
        <v>0.10184276975867532</v>
      </c>
    </row>
    <row r="155" spans="1:10" x14ac:dyDescent="0.2">
      <c r="A155" s="2">
        <v>2022</v>
      </c>
      <c r="B155" t="s">
        <v>86</v>
      </c>
      <c r="C155" s="15">
        <v>115251.21347131779</v>
      </c>
      <c r="D155" s="5">
        <v>8.6037764257912958E-2</v>
      </c>
      <c r="E155" s="5">
        <f t="shared" si="41"/>
        <v>1.1145533270021735</v>
      </c>
      <c r="G155" s="15">
        <f>AVERAGE(C$152:C$156)</f>
        <v>103405.74172553078</v>
      </c>
      <c r="H155" s="5">
        <f t="shared" si="37"/>
        <v>9.5893676401485564E-2</v>
      </c>
      <c r="I155" s="5">
        <f>SUM(H$152:H$156)</f>
        <v>0.50921384879337661</v>
      </c>
      <c r="J155" s="5">
        <f t="shared" si="35"/>
        <v>0.10184276975867532</v>
      </c>
    </row>
    <row r="156" spans="1:10" x14ac:dyDescent="0.2">
      <c r="A156" s="2">
        <v>2022</v>
      </c>
      <c r="B156" t="s">
        <v>90</v>
      </c>
      <c r="C156" s="15">
        <v>272421.47968326195</v>
      </c>
      <c r="D156" s="5">
        <v>0.13628317079489566</v>
      </c>
      <c r="E156" s="5">
        <f t="shared" si="41"/>
        <v>2.6344908429393468</v>
      </c>
      <c r="F156">
        <f>SUM(E152:E156)/5</f>
        <v>1</v>
      </c>
      <c r="G156" s="15">
        <f>AVERAGE(C$152:C$156)</f>
        <v>103405.74172553078</v>
      </c>
      <c r="H156" s="5">
        <f t="shared" si="37"/>
        <v>0.35903676550589159</v>
      </c>
      <c r="I156" s="5">
        <f>SUM(H$152:H$156)</f>
        <v>0.50921384879337661</v>
      </c>
      <c r="J156" s="5">
        <f>I156/5</f>
        <v>0.10184276975867532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F3A7-A3E8-DC4C-B25A-4B66FCC98D6D}">
  <dimension ref="A1:H156"/>
  <sheetViews>
    <sheetView workbookViewId="0">
      <selection activeCell="I16" sqref="I16"/>
    </sheetView>
  </sheetViews>
  <sheetFormatPr baseColWidth="10" defaultRowHeight="16" x14ac:dyDescent="0.2"/>
  <cols>
    <col min="1" max="1" width="18.33203125" customWidth="1"/>
    <col min="2" max="2" width="25" bestFit="1" customWidth="1"/>
    <col min="3" max="3" width="12.6640625" customWidth="1"/>
    <col min="4" max="4" width="22" style="5" bestFit="1" customWidth="1"/>
    <col min="5" max="5" width="46" style="5" bestFit="1" customWidth="1"/>
    <col min="6" max="6" width="39" style="5" bestFit="1" customWidth="1"/>
    <col min="7" max="7" width="17.1640625" bestFit="1" customWidth="1"/>
    <col min="8" max="8" width="24.1640625" bestFit="1" customWidth="1"/>
  </cols>
  <sheetData>
    <row r="1" spans="1:8" x14ac:dyDescent="0.2">
      <c r="A1" t="s">
        <v>89</v>
      </c>
      <c r="B1" t="s">
        <v>104</v>
      </c>
      <c r="C1" s="5" t="s">
        <v>109</v>
      </c>
      <c r="D1" s="5" t="s">
        <v>88</v>
      </c>
      <c r="E1" s="5" t="s">
        <v>110</v>
      </c>
      <c r="F1" s="5" t="s">
        <v>111</v>
      </c>
      <c r="G1" t="s">
        <v>112</v>
      </c>
      <c r="H1" t="s">
        <v>113</v>
      </c>
    </row>
    <row r="2" spans="1:8" x14ac:dyDescent="0.2">
      <c r="A2" s="2">
        <v>1992</v>
      </c>
      <c r="B2" t="s">
        <v>83</v>
      </c>
      <c r="C2" s="5">
        <v>0.11319126224020359</v>
      </c>
      <c r="D2" s="5">
        <v>3.9403562865787049E-2</v>
      </c>
      <c r="E2" s="5">
        <v>4.3984753775429181E-2</v>
      </c>
      <c r="F2" s="5">
        <f>E2/D2</f>
        <v>1.1162633674839553</v>
      </c>
      <c r="G2">
        <f>LN(1-(1-C2)*F2)</f>
        <v>-4.5964193788250114</v>
      </c>
      <c r="H2">
        <f>LN(D2)</f>
        <v>-3.233899038700959</v>
      </c>
    </row>
    <row r="3" spans="1:8" x14ac:dyDescent="0.2">
      <c r="A3" s="2">
        <v>1992</v>
      </c>
      <c r="B3" t="s">
        <v>84</v>
      </c>
      <c r="C3" s="5">
        <v>0.11319126224020359</v>
      </c>
      <c r="D3" s="5">
        <v>8.9693125473511742E-2</v>
      </c>
      <c r="E3" s="5">
        <v>9.6660376493860597E-2</v>
      </c>
      <c r="F3" s="5">
        <f t="shared" ref="F3:F66" si="0">E3/D3</f>
        <v>1.0776787628211979</v>
      </c>
      <c r="G3">
        <f t="shared" ref="G3:G66" si="1">LN(1-(1-C3)*F3)</f>
        <v>-3.1166564632533653</v>
      </c>
      <c r="H3">
        <f t="shared" ref="H3:H66" si="2">LN(D3)</f>
        <v>-2.4113611519455969</v>
      </c>
    </row>
    <row r="4" spans="1:8" x14ac:dyDescent="0.2">
      <c r="A4" s="2">
        <v>1992</v>
      </c>
      <c r="B4" t="s">
        <v>85</v>
      </c>
      <c r="C4" s="5">
        <v>0.11319126224020359</v>
      </c>
      <c r="D4" s="5">
        <v>0.15370932436625542</v>
      </c>
      <c r="E4" s="5">
        <v>0.15914221628903139</v>
      </c>
      <c r="F4" s="5">
        <f t="shared" si="0"/>
        <v>1.0353452332522819</v>
      </c>
      <c r="G4">
        <f t="shared" si="1"/>
        <v>-2.5029060650686157</v>
      </c>
      <c r="H4">
        <f t="shared" si="2"/>
        <v>-1.8726919642643221</v>
      </c>
    </row>
    <row r="5" spans="1:8" x14ac:dyDescent="0.2">
      <c r="A5" s="2">
        <v>1992</v>
      </c>
      <c r="B5" t="s">
        <v>86</v>
      </c>
      <c r="C5" s="5">
        <v>0.11319126224020359</v>
      </c>
      <c r="D5" s="5">
        <v>0.23918023153785348</v>
      </c>
      <c r="E5" s="5">
        <v>0.23964243442098765</v>
      </c>
      <c r="F5" s="5">
        <f t="shared" si="0"/>
        <v>1.001932446005936</v>
      </c>
      <c r="G5">
        <f t="shared" si="1"/>
        <v>-2.1939320335802899</v>
      </c>
      <c r="H5">
        <f t="shared" si="2"/>
        <v>-1.4305379043933888</v>
      </c>
    </row>
    <row r="6" spans="1:8" x14ac:dyDescent="0.2">
      <c r="A6" s="2">
        <v>1992</v>
      </c>
      <c r="B6" t="s">
        <v>90</v>
      </c>
      <c r="C6" s="5">
        <v>0.11319126224020359</v>
      </c>
      <c r="D6" s="5">
        <v>0.47801375575659227</v>
      </c>
      <c r="E6" s="5">
        <v>0.46057021878726689</v>
      </c>
      <c r="F6" s="5">
        <f t="shared" si="0"/>
        <v>0.9635082949826077</v>
      </c>
      <c r="G6">
        <f t="shared" si="1"/>
        <v>-1.9272189472640382</v>
      </c>
      <c r="H6">
        <f t="shared" si="2"/>
        <v>-0.73811576917129551</v>
      </c>
    </row>
    <row r="7" spans="1:8" x14ac:dyDescent="0.2">
      <c r="A7" s="2">
        <v>1993</v>
      </c>
      <c r="B7" t="s">
        <v>83</v>
      </c>
      <c r="C7" s="5">
        <v>0.10970943754042158</v>
      </c>
      <c r="D7" s="5">
        <v>3.7079799448703835E-2</v>
      </c>
      <c r="E7" s="5">
        <v>4.1291406453156689E-2</v>
      </c>
      <c r="F7" s="5">
        <f t="shared" si="0"/>
        <v>1.1135822487464957</v>
      </c>
      <c r="G7">
        <f t="shared" si="1"/>
        <v>-4.7573622197261756</v>
      </c>
      <c r="H7">
        <f t="shared" si="2"/>
        <v>-3.2946829469101169</v>
      </c>
    </row>
    <row r="8" spans="1:8" x14ac:dyDescent="0.2">
      <c r="A8" s="2">
        <v>1993</v>
      </c>
      <c r="B8" t="s">
        <v>84</v>
      </c>
      <c r="C8" s="5">
        <v>0.10970943754042158</v>
      </c>
      <c r="D8" s="5">
        <v>8.6986299312918777E-2</v>
      </c>
      <c r="E8" s="5">
        <v>9.3802140129035774E-2</v>
      </c>
      <c r="F8" s="5">
        <f t="shared" si="0"/>
        <v>1.0783553372192343</v>
      </c>
      <c r="G8">
        <f t="shared" si="1"/>
        <v>-3.2201160862795204</v>
      </c>
      <c r="H8">
        <f t="shared" si="2"/>
        <v>-2.4420046518905516</v>
      </c>
    </row>
    <row r="9" spans="1:8" x14ac:dyDescent="0.2">
      <c r="A9" s="2">
        <v>1993</v>
      </c>
      <c r="B9" t="s">
        <v>85</v>
      </c>
      <c r="C9" s="5">
        <v>0.10970943754042158</v>
      </c>
      <c r="D9" s="5">
        <v>0.15068990855020931</v>
      </c>
      <c r="E9" s="5">
        <v>0.15604485259213632</v>
      </c>
      <c r="F9" s="5">
        <f t="shared" si="0"/>
        <v>1.0355361821733589</v>
      </c>
      <c r="G9">
        <f t="shared" si="1"/>
        <v>-2.5501249548781959</v>
      </c>
      <c r="H9">
        <f t="shared" si="2"/>
        <v>-1.8925311394259106</v>
      </c>
    </row>
    <row r="10" spans="1:8" x14ac:dyDescent="0.2">
      <c r="A10" s="2">
        <v>1993</v>
      </c>
      <c r="B10" t="s">
        <v>86</v>
      </c>
      <c r="C10" s="5">
        <v>0.10970943754042158</v>
      </c>
      <c r="D10" s="5">
        <v>0.23747347777387989</v>
      </c>
      <c r="E10" s="5">
        <v>0.23790859342345652</v>
      </c>
      <c r="F10" s="5">
        <f t="shared" si="0"/>
        <v>1.0018322705072393</v>
      </c>
      <c r="G10">
        <f t="shared" si="1"/>
        <v>-2.2249003841393775</v>
      </c>
      <c r="H10">
        <f t="shared" si="2"/>
        <v>-1.4376993342743145</v>
      </c>
    </row>
    <row r="11" spans="1:8" x14ac:dyDescent="0.2">
      <c r="A11" s="2">
        <v>1993</v>
      </c>
      <c r="B11" t="s">
        <v>90</v>
      </c>
      <c r="C11" s="5">
        <v>0.10970943754042158</v>
      </c>
      <c r="D11" s="5">
        <v>0.48777051471499572</v>
      </c>
      <c r="E11" s="5">
        <v>0.47095300717836347</v>
      </c>
      <c r="F11" s="5">
        <f t="shared" si="0"/>
        <v>0.96552168073041744</v>
      </c>
      <c r="G11">
        <f t="shared" si="1"/>
        <v>-1.9632230373848101</v>
      </c>
      <c r="H11">
        <f t="shared" si="2"/>
        <v>-0.71791024046592944</v>
      </c>
    </row>
    <row r="12" spans="1:8" x14ac:dyDescent="0.2">
      <c r="A12" s="2">
        <v>1994</v>
      </c>
      <c r="B12" t="s">
        <v>83</v>
      </c>
      <c r="C12" s="5">
        <v>0.1023061382326584</v>
      </c>
      <c r="D12" s="5">
        <v>3.437503871711426E-2</v>
      </c>
      <c r="E12" s="5">
        <v>3.7963633824023034E-2</v>
      </c>
      <c r="F12" s="5">
        <f t="shared" si="0"/>
        <v>1.1043953764369763</v>
      </c>
      <c r="G12">
        <f t="shared" si="1"/>
        <v>-4.757034360893603</v>
      </c>
      <c r="H12">
        <f t="shared" si="2"/>
        <v>-3.3704245966799848</v>
      </c>
    </row>
    <row r="13" spans="1:8" x14ac:dyDescent="0.2">
      <c r="A13" s="2">
        <v>1994</v>
      </c>
      <c r="B13" t="s">
        <v>84</v>
      </c>
      <c r="C13" s="5">
        <v>0.1023061382326584</v>
      </c>
      <c r="D13" s="5">
        <v>8.1438286679731325E-2</v>
      </c>
      <c r="E13" s="5">
        <v>8.7063133723498276E-2</v>
      </c>
      <c r="F13" s="5">
        <f t="shared" si="0"/>
        <v>1.0690688283495886</v>
      </c>
      <c r="G13">
        <f t="shared" si="1"/>
        <v>-3.2113175858617828</v>
      </c>
      <c r="H13">
        <f t="shared" si="2"/>
        <v>-2.5079097642237751</v>
      </c>
    </row>
    <row r="14" spans="1:8" x14ac:dyDescent="0.2">
      <c r="A14" s="2">
        <v>1994</v>
      </c>
      <c r="B14" t="s">
        <v>85</v>
      </c>
      <c r="C14" s="5">
        <v>0.1023061382326584</v>
      </c>
      <c r="D14" s="5">
        <v>0.14315934871805455</v>
      </c>
      <c r="E14" s="5">
        <v>0.14679052147766405</v>
      </c>
      <c r="F14" s="5">
        <f t="shared" si="0"/>
        <v>1.0253645521031318</v>
      </c>
      <c r="G14">
        <f t="shared" si="1"/>
        <v>-2.5315387968120229</v>
      </c>
      <c r="H14">
        <f t="shared" si="2"/>
        <v>-1.9437969424237007</v>
      </c>
    </row>
    <row r="15" spans="1:8" x14ac:dyDescent="0.2">
      <c r="A15" s="2">
        <v>1994</v>
      </c>
      <c r="B15" t="s">
        <v>86</v>
      </c>
      <c r="C15" s="5">
        <v>0.1023061382326584</v>
      </c>
      <c r="D15" s="5">
        <v>0.23033284430697559</v>
      </c>
      <c r="E15" s="5">
        <v>0.22869650413092191</v>
      </c>
      <c r="F15" s="5">
        <f t="shared" si="0"/>
        <v>0.99289575839269861</v>
      </c>
      <c r="G15">
        <f t="shared" si="1"/>
        <v>-2.2193146249232973</v>
      </c>
      <c r="H15">
        <f t="shared" si="2"/>
        <v>-1.4682298670093941</v>
      </c>
    </row>
    <row r="16" spans="1:8" x14ac:dyDescent="0.2">
      <c r="A16" s="2">
        <v>1994</v>
      </c>
      <c r="B16" t="s">
        <v>90</v>
      </c>
      <c r="C16" s="5">
        <v>0.1023061382326584</v>
      </c>
      <c r="D16" s="5">
        <v>0.51069448157812425</v>
      </c>
      <c r="E16" s="5">
        <v>0.49948620684389272</v>
      </c>
      <c r="F16" s="5">
        <f t="shared" si="0"/>
        <v>0.97805287674228192</v>
      </c>
      <c r="G16">
        <f t="shared" si="1"/>
        <v>-2.103669186654987</v>
      </c>
      <c r="H16">
        <f t="shared" si="2"/>
        <v>-0.67198375099074936</v>
      </c>
    </row>
    <row r="17" spans="1:8" x14ac:dyDescent="0.2">
      <c r="A17" s="2">
        <v>1995</v>
      </c>
      <c r="B17" t="s">
        <v>83</v>
      </c>
      <c r="C17" s="5">
        <v>0.1144279848148851</v>
      </c>
      <c r="D17" s="5">
        <v>3.7256703245053625E-2</v>
      </c>
      <c r="E17" s="5">
        <v>4.1695752366808746E-2</v>
      </c>
      <c r="F17" s="5">
        <f t="shared" si="0"/>
        <v>1.1191476629737622</v>
      </c>
      <c r="G17">
        <f t="shared" si="1"/>
        <v>-4.7201155105637325</v>
      </c>
      <c r="H17">
        <f t="shared" si="2"/>
        <v>-3.2899233974588014</v>
      </c>
    </row>
    <row r="18" spans="1:8" x14ac:dyDescent="0.2">
      <c r="A18" s="2">
        <v>1995</v>
      </c>
      <c r="B18" t="s">
        <v>84</v>
      </c>
      <c r="C18" s="5">
        <v>0.1144279848148851</v>
      </c>
      <c r="D18" s="5">
        <v>8.723264346111638E-2</v>
      </c>
      <c r="E18" s="5">
        <v>9.4564086724549787E-2</v>
      </c>
      <c r="F18" s="5">
        <f t="shared" si="0"/>
        <v>1.084044721936019</v>
      </c>
      <c r="G18">
        <f t="shared" si="1"/>
        <v>-3.2188675487941425</v>
      </c>
      <c r="H18">
        <f t="shared" si="2"/>
        <v>-2.4391766665009809</v>
      </c>
    </row>
    <row r="19" spans="1:8" x14ac:dyDescent="0.2">
      <c r="A19" s="2">
        <v>1995</v>
      </c>
      <c r="B19" t="s">
        <v>85</v>
      </c>
      <c r="C19" s="5">
        <v>0.1144279848148851</v>
      </c>
      <c r="D19" s="5">
        <v>0.15129049348076884</v>
      </c>
      <c r="E19" s="5">
        <v>0.15726874815282607</v>
      </c>
      <c r="F19" s="5">
        <f t="shared" si="0"/>
        <v>1.0395150715323509</v>
      </c>
      <c r="G19">
        <f t="shared" si="1"/>
        <v>-2.5328219513351171</v>
      </c>
      <c r="H19">
        <f t="shared" si="2"/>
        <v>-1.888553492410574</v>
      </c>
    </row>
    <row r="20" spans="1:8" x14ac:dyDescent="0.2">
      <c r="A20" s="2">
        <v>1995</v>
      </c>
      <c r="B20" t="s">
        <v>86</v>
      </c>
      <c r="C20" s="5">
        <v>0.1144279848148851</v>
      </c>
      <c r="D20" s="5">
        <v>0.23924101077747334</v>
      </c>
      <c r="E20" s="5">
        <v>0.24041207495036776</v>
      </c>
      <c r="F20" s="5">
        <f t="shared" si="0"/>
        <v>1.0048949139994383</v>
      </c>
      <c r="G20">
        <f t="shared" si="1"/>
        <v>-2.2064281267214674</v>
      </c>
      <c r="H20">
        <f t="shared" si="2"/>
        <v>-1.4302838218628862</v>
      </c>
    </row>
    <row r="21" spans="1:8" x14ac:dyDescent="0.2">
      <c r="A21" s="2">
        <v>1995</v>
      </c>
      <c r="B21" t="s">
        <v>90</v>
      </c>
      <c r="C21" s="5">
        <v>0.1144279848148851</v>
      </c>
      <c r="D21" s="5">
        <v>0.48497914903558781</v>
      </c>
      <c r="E21" s="5">
        <v>0.46605933802112121</v>
      </c>
      <c r="F21" s="5">
        <f t="shared" si="0"/>
        <v>0.96098840320848877</v>
      </c>
      <c r="G21">
        <f t="shared" si="1"/>
        <v>-1.903972991848552</v>
      </c>
      <c r="H21">
        <f t="shared" si="2"/>
        <v>-0.72364938064802298</v>
      </c>
    </row>
    <row r="22" spans="1:8" x14ac:dyDescent="0.2">
      <c r="A22" s="2">
        <v>1996</v>
      </c>
      <c r="B22" t="s">
        <v>83</v>
      </c>
      <c r="C22" s="5">
        <v>0.11640222480638429</v>
      </c>
      <c r="D22" s="5">
        <v>3.6135099690039751E-2</v>
      </c>
      <c r="E22" s="5">
        <v>4.0529127925339796E-2</v>
      </c>
      <c r="F22" s="5">
        <f t="shared" si="0"/>
        <v>1.1216000031269102</v>
      </c>
      <c r="G22">
        <f t="shared" si="1"/>
        <v>-4.7153497859234239</v>
      </c>
      <c r="H22">
        <f t="shared" si="2"/>
        <v>-3.3204905954288106</v>
      </c>
    </row>
    <row r="23" spans="1:8" x14ac:dyDescent="0.2">
      <c r="A23" s="2">
        <v>1996</v>
      </c>
      <c r="B23" t="s">
        <v>84</v>
      </c>
      <c r="C23" s="5">
        <v>0.11640222480638429</v>
      </c>
      <c r="D23" s="5">
        <v>8.5845600815237233E-2</v>
      </c>
      <c r="E23" s="5">
        <v>9.3241020731401933E-2</v>
      </c>
      <c r="F23" s="5">
        <f t="shared" si="0"/>
        <v>1.0861479195897485</v>
      </c>
      <c r="G23">
        <f t="shared" si="1"/>
        <v>-3.2118477120301363</v>
      </c>
      <c r="H23">
        <f t="shared" si="2"/>
        <v>-2.4552049356395802</v>
      </c>
    </row>
    <row r="24" spans="1:8" x14ac:dyDescent="0.2">
      <c r="A24" s="2">
        <v>1996</v>
      </c>
      <c r="B24" t="s">
        <v>85</v>
      </c>
      <c r="C24" s="5">
        <v>0.11640222480638429</v>
      </c>
      <c r="D24" s="5">
        <v>0.15004106892775157</v>
      </c>
      <c r="E24" s="5">
        <v>0.15622310134852968</v>
      </c>
      <c r="F24" s="5">
        <f t="shared" si="0"/>
        <v>1.0412022685852425</v>
      </c>
      <c r="G24">
        <f t="shared" si="1"/>
        <v>-2.5257787461691543</v>
      </c>
      <c r="H24">
        <f t="shared" si="2"/>
        <v>-1.896846229508627</v>
      </c>
    </row>
    <row r="25" spans="1:8" x14ac:dyDescent="0.2">
      <c r="A25" s="2">
        <v>1996</v>
      </c>
      <c r="B25" t="s">
        <v>86</v>
      </c>
      <c r="C25" s="5">
        <v>0.11640222480638429</v>
      </c>
      <c r="D25" s="5">
        <v>0.23793278400590034</v>
      </c>
      <c r="E25" s="5">
        <v>0.23948362230086978</v>
      </c>
      <c r="F25" s="5">
        <f t="shared" si="0"/>
        <v>1.0065179680952709</v>
      </c>
      <c r="G25">
        <f t="shared" si="1"/>
        <v>-2.2014468141585941</v>
      </c>
      <c r="H25">
        <f t="shared" si="2"/>
        <v>-1.4357670653420171</v>
      </c>
    </row>
    <row r="26" spans="1:8" x14ac:dyDescent="0.2">
      <c r="A26" s="2">
        <v>1996</v>
      </c>
      <c r="B26" t="s">
        <v>90</v>
      </c>
      <c r="C26" s="5">
        <v>0.11640222480638429</v>
      </c>
      <c r="D26" s="5">
        <v>0.49004544656107113</v>
      </c>
      <c r="E26" s="5">
        <v>0.47052312727504114</v>
      </c>
      <c r="F26" s="5">
        <f t="shared" si="0"/>
        <v>0.96016222694644082</v>
      </c>
      <c r="G26">
        <f t="shared" si="1"/>
        <v>-1.8864913861204389</v>
      </c>
      <c r="H26">
        <f t="shared" si="2"/>
        <v>-0.71325714409448371</v>
      </c>
    </row>
    <row r="27" spans="1:8" x14ac:dyDescent="0.2">
      <c r="A27" s="2">
        <v>1997</v>
      </c>
      <c r="B27" t="s">
        <v>83</v>
      </c>
      <c r="C27" s="5">
        <v>0.12000732267852821</v>
      </c>
      <c r="D27" s="5">
        <v>3.5437826486489972E-2</v>
      </c>
      <c r="E27" s="5">
        <v>3.9908782805806106E-2</v>
      </c>
      <c r="F27" s="5">
        <f t="shared" si="0"/>
        <v>1.1261633898743932</v>
      </c>
      <c r="G27">
        <f t="shared" si="1"/>
        <v>-4.7122584775015657</v>
      </c>
      <c r="H27">
        <f t="shared" si="2"/>
        <v>-3.3399754845139613</v>
      </c>
    </row>
    <row r="28" spans="1:8" x14ac:dyDescent="0.2">
      <c r="A28" s="2">
        <v>1997</v>
      </c>
      <c r="B28" t="s">
        <v>84</v>
      </c>
      <c r="C28" s="5">
        <v>0.12000732267852821</v>
      </c>
      <c r="D28" s="5">
        <v>8.429054483394538E-2</v>
      </c>
      <c r="E28" s="5">
        <v>9.1768389368233866E-2</v>
      </c>
      <c r="F28" s="5">
        <f t="shared" si="0"/>
        <v>1.088715104986212</v>
      </c>
      <c r="G28">
        <f t="shared" si="1"/>
        <v>-3.1715467293767312</v>
      </c>
      <c r="H28">
        <f t="shared" si="2"/>
        <v>-2.473485581190749</v>
      </c>
    </row>
    <row r="29" spans="1:8" x14ac:dyDescent="0.2">
      <c r="A29" s="2">
        <v>1997</v>
      </c>
      <c r="B29" t="s">
        <v>85</v>
      </c>
      <c r="C29" s="5">
        <v>0.12000732267852821</v>
      </c>
      <c r="D29" s="5">
        <v>0.14761407874918245</v>
      </c>
      <c r="E29" s="5">
        <v>0.1540095693494328</v>
      </c>
      <c r="F29" s="5">
        <f t="shared" si="0"/>
        <v>1.0433257495114487</v>
      </c>
      <c r="G29">
        <f t="shared" si="1"/>
        <v>-2.5024885450195331</v>
      </c>
      <c r="H29">
        <f t="shared" si="2"/>
        <v>-1.9131539868850194</v>
      </c>
    </row>
    <row r="30" spans="1:8" x14ac:dyDescent="0.2">
      <c r="A30" s="2">
        <v>1997</v>
      </c>
      <c r="B30" t="s">
        <v>86</v>
      </c>
      <c r="C30" s="5">
        <v>0.12000732267852821</v>
      </c>
      <c r="D30" s="5">
        <v>0.23491910311658043</v>
      </c>
      <c r="E30" s="5">
        <v>0.23683993442462672</v>
      </c>
      <c r="F30" s="5">
        <f t="shared" si="0"/>
        <v>1.0081765649645489</v>
      </c>
      <c r="G30">
        <f t="shared" si="1"/>
        <v>-2.1820325148715791</v>
      </c>
      <c r="H30">
        <f t="shared" si="2"/>
        <v>-1.4485140661599809</v>
      </c>
    </row>
    <row r="31" spans="1:8" x14ac:dyDescent="0.2">
      <c r="A31" s="2">
        <v>1997</v>
      </c>
      <c r="B31" t="s">
        <v>90</v>
      </c>
      <c r="C31" s="5">
        <v>0.12000732267852821</v>
      </c>
      <c r="D31" s="5">
        <v>0.49773844663781086</v>
      </c>
      <c r="E31" s="5">
        <v>0.47747332365191764</v>
      </c>
      <c r="F31" s="5">
        <f t="shared" si="0"/>
        <v>0.95928559844476002</v>
      </c>
      <c r="G31">
        <f t="shared" si="1"/>
        <v>-1.8589530452911791</v>
      </c>
      <c r="H31">
        <f t="shared" si="2"/>
        <v>-0.69768054748187913</v>
      </c>
    </row>
    <row r="32" spans="1:8" x14ac:dyDescent="0.2">
      <c r="A32" s="2">
        <v>1998</v>
      </c>
      <c r="B32" t="s">
        <v>83</v>
      </c>
      <c r="C32" s="5">
        <v>0.12152149241363977</v>
      </c>
      <c r="D32" s="5">
        <v>3.5861711674273343E-2</v>
      </c>
      <c r="E32" s="5">
        <v>4.0462690792149904E-2</v>
      </c>
      <c r="F32" s="5">
        <f t="shared" si="0"/>
        <v>1.1282978113166091</v>
      </c>
      <c r="G32">
        <f t="shared" si="1"/>
        <v>-4.7313432772503381</v>
      </c>
      <c r="H32">
        <f t="shared" si="2"/>
        <v>-3.3280850798117396</v>
      </c>
    </row>
    <row r="33" spans="1:8" x14ac:dyDescent="0.2">
      <c r="A33" s="2">
        <v>1998</v>
      </c>
      <c r="B33" t="s">
        <v>84</v>
      </c>
      <c r="C33" s="5">
        <v>0.12152149241363977</v>
      </c>
      <c r="D33" s="5">
        <v>8.4751988680745627E-2</v>
      </c>
      <c r="E33" s="5">
        <v>9.2405274981735203E-2</v>
      </c>
      <c r="F33" s="5">
        <f t="shared" si="0"/>
        <v>1.0903021441752705</v>
      </c>
      <c r="G33">
        <f t="shared" si="1"/>
        <v>-3.1655009587459784</v>
      </c>
      <c r="H33">
        <f t="shared" si="2"/>
        <v>-2.4680260677373469</v>
      </c>
    </row>
    <row r="34" spans="1:8" x14ac:dyDescent="0.2">
      <c r="A34" s="2">
        <v>1998</v>
      </c>
      <c r="B34" t="s">
        <v>85</v>
      </c>
      <c r="C34" s="5">
        <v>0.12152149241363977</v>
      </c>
      <c r="D34" s="5">
        <v>0.14627541072357519</v>
      </c>
      <c r="E34" s="5">
        <v>0.15279699766054142</v>
      </c>
      <c r="F34" s="5">
        <f t="shared" si="0"/>
        <v>1.0445843009751683</v>
      </c>
      <c r="G34">
        <f t="shared" si="1"/>
        <v>-2.4967143806991103</v>
      </c>
      <c r="H34">
        <f t="shared" si="2"/>
        <v>-1.9222640594254339</v>
      </c>
    </row>
    <row r="35" spans="1:8" x14ac:dyDescent="0.2">
      <c r="A35" s="2">
        <v>1998</v>
      </c>
      <c r="B35" t="s">
        <v>86</v>
      </c>
      <c r="C35" s="5">
        <v>0.12152149241363977</v>
      </c>
      <c r="D35" s="5">
        <v>0.2324129421082666</v>
      </c>
      <c r="E35" s="5">
        <v>0.23457955588870194</v>
      </c>
      <c r="F35" s="5">
        <f t="shared" si="0"/>
        <v>1.009322259598719</v>
      </c>
      <c r="G35">
        <f t="shared" si="1"/>
        <v>-2.1774329408590463</v>
      </c>
      <c r="H35">
        <f t="shared" si="2"/>
        <v>-1.4592395666209306</v>
      </c>
    </row>
    <row r="36" spans="1:8" x14ac:dyDescent="0.2">
      <c r="A36" s="2">
        <v>1998</v>
      </c>
      <c r="B36" t="s">
        <v>90</v>
      </c>
      <c r="C36" s="5">
        <v>0.12152149241363977</v>
      </c>
      <c r="D36" s="5">
        <v>0.50069794698125014</v>
      </c>
      <c r="E36" s="5">
        <v>0.47975548067687157</v>
      </c>
      <c r="F36" s="5">
        <f t="shared" si="0"/>
        <v>0.95817345281592936</v>
      </c>
      <c r="G36">
        <f t="shared" si="1"/>
        <v>-1.8434830762201058</v>
      </c>
      <c r="H36">
        <f t="shared" si="2"/>
        <v>-0.69175225995172795</v>
      </c>
    </row>
    <row r="37" spans="1:8" x14ac:dyDescent="0.2">
      <c r="A37" s="2">
        <v>1999</v>
      </c>
      <c r="B37" t="s">
        <v>83</v>
      </c>
      <c r="C37" s="5">
        <v>0.1208122547730682</v>
      </c>
      <c r="D37" s="5">
        <v>3.5321049116584118E-2</v>
      </c>
      <c r="E37" s="5">
        <v>3.9830506905801116E-2</v>
      </c>
      <c r="F37" s="5">
        <f t="shared" si="0"/>
        <v>1.1276705506207543</v>
      </c>
      <c r="G37">
        <f t="shared" si="1"/>
        <v>-4.7599694313137393</v>
      </c>
      <c r="H37">
        <f t="shared" si="2"/>
        <v>-3.3432762004999628</v>
      </c>
    </row>
    <row r="38" spans="1:8" x14ac:dyDescent="0.2">
      <c r="A38" s="2">
        <v>1999</v>
      </c>
      <c r="B38" t="s">
        <v>84</v>
      </c>
      <c r="C38" s="5">
        <v>0.1208122547730682</v>
      </c>
      <c r="D38" s="5">
        <v>8.4427009990969207E-2</v>
      </c>
      <c r="E38" s="5">
        <v>9.2005662014611495E-2</v>
      </c>
      <c r="F38" s="5">
        <f t="shared" si="0"/>
        <v>1.0897657281058863</v>
      </c>
      <c r="G38">
        <f t="shared" si="1"/>
        <v>-3.172676473935053</v>
      </c>
      <c r="H38">
        <f t="shared" si="2"/>
        <v>-2.4718679049871697</v>
      </c>
    </row>
    <row r="39" spans="1:8" x14ac:dyDescent="0.2">
      <c r="A39" s="2">
        <v>1999</v>
      </c>
      <c r="B39" t="s">
        <v>85</v>
      </c>
      <c r="C39" s="5">
        <v>0.1208122547730682</v>
      </c>
      <c r="D39" s="5">
        <v>0.14572505341708086</v>
      </c>
      <c r="E39" s="5">
        <v>0.15221397288435112</v>
      </c>
      <c r="F39" s="5">
        <f t="shared" si="0"/>
        <v>1.04452850978684</v>
      </c>
      <c r="G39">
        <f t="shared" si="1"/>
        <v>-2.5051501580775293</v>
      </c>
      <c r="H39">
        <f t="shared" si="2"/>
        <v>-1.9260336284897339</v>
      </c>
    </row>
    <row r="40" spans="1:8" x14ac:dyDescent="0.2">
      <c r="A40" s="2">
        <v>1999</v>
      </c>
      <c r="B40" t="s">
        <v>86</v>
      </c>
      <c r="C40" s="5">
        <v>0.1208122547730682</v>
      </c>
      <c r="D40" s="5">
        <v>0.23133088563839793</v>
      </c>
      <c r="E40" s="5">
        <v>0.23370651823932789</v>
      </c>
      <c r="F40" s="5">
        <f t="shared" si="0"/>
        <v>1.0102694138500961</v>
      </c>
      <c r="G40">
        <f t="shared" si="1"/>
        <v>-2.1911912070852013</v>
      </c>
      <c r="H40">
        <f t="shared" si="2"/>
        <v>-1.4639061880132613</v>
      </c>
    </row>
    <row r="41" spans="1:8" x14ac:dyDescent="0.2">
      <c r="A41" s="2">
        <v>1999</v>
      </c>
      <c r="B41" t="s">
        <v>90</v>
      </c>
      <c r="C41" s="5">
        <v>0.1208122547730682</v>
      </c>
      <c r="D41" s="5">
        <v>0.50319600215422167</v>
      </c>
      <c r="E41" s="5">
        <v>0.48224334049718171</v>
      </c>
      <c r="F41" s="5">
        <f t="shared" si="0"/>
        <v>0.95836083441176012</v>
      </c>
      <c r="G41">
        <f t="shared" si="1"/>
        <v>-1.8488321762109321</v>
      </c>
      <c r="H41">
        <f t="shared" si="2"/>
        <v>-0.68677551847201823</v>
      </c>
    </row>
    <row r="42" spans="1:8" x14ac:dyDescent="0.2">
      <c r="A42" s="2">
        <v>2000</v>
      </c>
      <c r="B42" t="s">
        <v>83</v>
      </c>
      <c r="C42" s="5">
        <v>0.12047371745090192</v>
      </c>
      <c r="D42" s="5">
        <v>3.3997992669373561E-2</v>
      </c>
      <c r="E42" s="5">
        <v>3.831789922782973E-2</v>
      </c>
      <c r="F42" s="5">
        <f t="shared" si="0"/>
        <v>1.1270635769725215</v>
      </c>
      <c r="G42">
        <f t="shared" si="1"/>
        <v>-4.742369789838345</v>
      </c>
      <c r="H42">
        <f t="shared" si="2"/>
        <v>-3.381453795244926</v>
      </c>
    </row>
    <row r="43" spans="1:8" x14ac:dyDescent="0.2">
      <c r="A43" s="2">
        <v>2000</v>
      </c>
      <c r="B43" t="s">
        <v>84</v>
      </c>
      <c r="C43" s="5">
        <v>0.12047371745090192</v>
      </c>
      <c r="D43" s="5">
        <v>8.1966560898715929E-2</v>
      </c>
      <c r="E43" s="5">
        <v>8.9249419819708256E-2</v>
      </c>
      <c r="F43" s="5">
        <f t="shared" si="0"/>
        <v>1.0888515858313439</v>
      </c>
      <c r="G43">
        <f t="shared" si="1"/>
        <v>-3.1623439796103066</v>
      </c>
      <c r="H43">
        <f t="shared" si="2"/>
        <v>-2.5014439088065341</v>
      </c>
    </row>
    <row r="44" spans="1:8" x14ac:dyDescent="0.2">
      <c r="A44" s="2">
        <v>2000</v>
      </c>
      <c r="B44" t="s">
        <v>85</v>
      </c>
      <c r="C44" s="5">
        <v>0.12047371745090192</v>
      </c>
      <c r="D44" s="5">
        <v>0.14206504739764764</v>
      </c>
      <c r="E44" s="5">
        <v>0.14831707946745215</v>
      </c>
      <c r="F44" s="5">
        <f t="shared" si="0"/>
        <v>1.0440082355535683</v>
      </c>
      <c r="G44">
        <f t="shared" si="1"/>
        <v>-2.5038776551505513</v>
      </c>
      <c r="H44">
        <f t="shared" si="2"/>
        <v>-1.9514702460024869</v>
      </c>
    </row>
    <row r="45" spans="1:8" x14ac:dyDescent="0.2">
      <c r="A45" s="2">
        <v>2000</v>
      </c>
      <c r="B45" t="s">
        <v>86</v>
      </c>
      <c r="C45" s="5">
        <v>0.12047371745090192</v>
      </c>
      <c r="D45" s="5">
        <v>0.2271277924480159</v>
      </c>
      <c r="E45" s="5">
        <v>0.22963458712187237</v>
      </c>
      <c r="F45" s="5">
        <f t="shared" si="0"/>
        <v>1.0110369349643999</v>
      </c>
      <c r="G45">
        <f t="shared" si="1"/>
        <v>-2.2003314109111116</v>
      </c>
      <c r="H45">
        <f t="shared" si="2"/>
        <v>-1.482242457578516</v>
      </c>
    </row>
    <row r="46" spans="1:8" x14ac:dyDescent="0.2">
      <c r="A46" s="2">
        <v>2000</v>
      </c>
      <c r="B46" t="s">
        <v>90</v>
      </c>
      <c r="C46" s="5">
        <v>0.12047371745090192</v>
      </c>
      <c r="D46" s="5">
        <v>0.51484260673192317</v>
      </c>
      <c r="E46" s="5">
        <v>0.49448101452876775</v>
      </c>
      <c r="F46" s="5">
        <f t="shared" si="0"/>
        <v>0.96045084082608256</v>
      </c>
      <c r="G46">
        <f t="shared" si="1"/>
        <v>-1.8626654684533235</v>
      </c>
      <c r="H46">
        <f t="shared" si="2"/>
        <v>-0.6638940430253637</v>
      </c>
    </row>
    <row r="47" spans="1:8" x14ac:dyDescent="0.2">
      <c r="A47" s="2">
        <v>2001</v>
      </c>
      <c r="B47" t="s">
        <v>83</v>
      </c>
      <c r="C47" s="5">
        <v>0.1105671606039333</v>
      </c>
      <c r="D47" s="5">
        <v>3.6071566377916697E-2</v>
      </c>
      <c r="E47" s="5">
        <v>4.0166649152338932E-2</v>
      </c>
      <c r="F47" s="5">
        <f t="shared" si="0"/>
        <v>1.1135266134971415</v>
      </c>
      <c r="G47">
        <f t="shared" si="1"/>
        <v>-4.6467359555663981</v>
      </c>
      <c r="H47">
        <f t="shared" si="2"/>
        <v>-3.3222503589514449</v>
      </c>
    </row>
    <row r="48" spans="1:8" x14ac:dyDescent="0.2">
      <c r="A48" s="2">
        <v>2001</v>
      </c>
      <c r="B48" t="s">
        <v>84</v>
      </c>
      <c r="C48" s="5">
        <v>0.1105671606039333</v>
      </c>
      <c r="D48" s="5">
        <v>8.5189134274951964E-2</v>
      </c>
      <c r="E48" s="5">
        <v>9.1726096078086378E-2</v>
      </c>
      <c r="F48" s="5">
        <f t="shared" si="0"/>
        <v>1.0767346899199146</v>
      </c>
      <c r="G48">
        <f t="shared" si="1"/>
        <v>-3.1625709321725957</v>
      </c>
      <c r="H48">
        <f t="shared" si="2"/>
        <v>-2.462881385263894</v>
      </c>
    </row>
    <row r="49" spans="1:8" x14ac:dyDescent="0.2">
      <c r="A49" s="2">
        <v>2001</v>
      </c>
      <c r="B49" t="s">
        <v>85</v>
      </c>
      <c r="C49" s="5">
        <v>0.1105671606039333</v>
      </c>
      <c r="D49" s="5">
        <v>0.14493413407019451</v>
      </c>
      <c r="E49" s="5">
        <v>0.15035046782984857</v>
      </c>
      <c r="F49" s="5">
        <f t="shared" si="0"/>
        <v>1.0373710016236122</v>
      </c>
      <c r="G49">
        <f t="shared" si="1"/>
        <v>-2.5596970363370697</v>
      </c>
      <c r="H49">
        <f t="shared" si="2"/>
        <v>-1.9314758875551068</v>
      </c>
    </row>
    <row r="50" spans="1:8" x14ac:dyDescent="0.2">
      <c r="A50" s="2">
        <v>2001</v>
      </c>
      <c r="B50" t="s">
        <v>86</v>
      </c>
      <c r="C50" s="5">
        <v>0.1105671606039333</v>
      </c>
      <c r="D50" s="5">
        <v>0.2284615262091596</v>
      </c>
      <c r="E50" s="5">
        <v>0.23079128598665549</v>
      </c>
      <c r="F50" s="5">
        <f t="shared" si="0"/>
        <v>1.0101976022665757</v>
      </c>
      <c r="G50">
        <f t="shared" si="1"/>
        <v>-2.2877252664816896</v>
      </c>
      <c r="H50">
        <f t="shared" si="2"/>
        <v>-1.476387458276871</v>
      </c>
    </row>
    <row r="51" spans="1:8" x14ac:dyDescent="0.2">
      <c r="A51" s="2">
        <v>2001</v>
      </c>
      <c r="B51" t="s">
        <v>90</v>
      </c>
      <c r="C51" s="5">
        <v>0.1105671606039333</v>
      </c>
      <c r="D51" s="5">
        <v>0.50534363906777724</v>
      </c>
      <c r="E51" s="5">
        <v>0.48696550079608625</v>
      </c>
      <c r="F51" s="5">
        <f t="shared" si="0"/>
        <v>0.96363239417519198</v>
      </c>
      <c r="G51">
        <f t="shared" si="1"/>
        <v>-1.945514302809672</v>
      </c>
      <c r="H51">
        <f t="shared" si="2"/>
        <v>-0.68251660772228706</v>
      </c>
    </row>
    <row r="52" spans="1:8" x14ac:dyDescent="0.2">
      <c r="A52" s="2">
        <v>2002</v>
      </c>
      <c r="B52" t="s">
        <v>83</v>
      </c>
      <c r="C52" s="5">
        <v>0.10999480492167386</v>
      </c>
      <c r="D52" s="5">
        <v>3.5758566980586874E-2</v>
      </c>
      <c r="E52" s="5">
        <v>3.9832477602781947E-2</v>
      </c>
      <c r="F52" s="5">
        <f t="shared" si="0"/>
        <v>1.1139282405921573</v>
      </c>
      <c r="G52">
        <f t="shared" si="1"/>
        <v>-4.7562164810803873</v>
      </c>
      <c r="H52">
        <f t="shared" si="2"/>
        <v>-3.3309654027295856</v>
      </c>
    </row>
    <row r="53" spans="1:8" x14ac:dyDescent="0.2">
      <c r="A53" s="2">
        <v>2002</v>
      </c>
      <c r="B53" t="s">
        <v>84</v>
      </c>
      <c r="C53" s="5">
        <v>0.10999480492167386</v>
      </c>
      <c r="D53" s="5">
        <v>8.5019529939418567E-2</v>
      </c>
      <c r="E53" s="5">
        <v>9.1619388090056944E-2</v>
      </c>
      <c r="F53" s="5">
        <f t="shared" si="0"/>
        <v>1.0776275539907263</v>
      </c>
      <c r="G53">
        <f t="shared" si="1"/>
        <v>-3.1964814954864953</v>
      </c>
      <c r="H53">
        <f t="shared" si="2"/>
        <v>-2.4648742848903646</v>
      </c>
    </row>
    <row r="54" spans="1:8" x14ac:dyDescent="0.2">
      <c r="A54" s="2">
        <v>2002</v>
      </c>
      <c r="B54" t="s">
        <v>85</v>
      </c>
      <c r="C54" s="5">
        <v>0.10999480492167386</v>
      </c>
      <c r="D54" s="5">
        <v>0.14544554071985505</v>
      </c>
      <c r="E54" s="5">
        <v>0.1509458005463665</v>
      </c>
      <c r="F54" s="5">
        <f t="shared" si="0"/>
        <v>1.0378166274420582</v>
      </c>
      <c r="G54">
        <f t="shared" si="1"/>
        <v>-2.5725869190309396</v>
      </c>
      <c r="H54">
        <f t="shared" si="2"/>
        <v>-1.9279535530199829</v>
      </c>
    </row>
    <row r="55" spans="1:8" x14ac:dyDescent="0.2">
      <c r="A55" s="2">
        <v>2002</v>
      </c>
      <c r="B55" t="s">
        <v>86</v>
      </c>
      <c r="C55" s="5">
        <v>0.10999480492167386</v>
      </c>
      <c r="D55" s="5">
        <v>0.23050960993303973</v>
      </c>
      <c r="E55" s="5">
        <v>0.23277615876321334</v>
      </c>
      <c r="F55" s="5">
        <f t="shared" si="0"/>
        <v>1.009832773700116</v>
      </c>
      <c r="G55">
        <f t="shared" si="1"/>
        <v>-2.2902259305922561</v>
      </c>
      <c r="H55">
        <f t="shared" si="2"/>
        <v>-1.4674627257310384</v>
      </c>
    </row>
    <row r="56" spans="1:8" x14ac:dyDescent="0.2">
      <c r="A56" s="2">
        <v>2002</v>
      </c>
      <c r="B56" t="s">
        <v>90</v>
      </c>
      <c r="C56" s="5">
        <v>0.10999480492167386</v>
      </c>
      <c r="D56" s="5">
        <v>0.5032667527008633</v>
      </c>
      <c r="E56" s="5">
        <v>0.48482617545897783</v>
      </c>
      <c r="F56" s="5">
        <f t="shared" si="0"/>
        <v>0.96335824462291397</v>
      </c>
      <c r="G56">
        <f t="shared" si="1"/>
        <v>-1.9476685912604994</v>
      </c>
      <c r="H56">
        <f t="shared" si="2"/>
        <v>-0.68663492599322684</v>
      </c>
    </row>
    <row r="57" spans="1:8" x14ac:dyDescent="0.2">
      <c r="A57" s="2">
        <v>2003</v>
      </c>
      <c r="B57" t="s">
        <v>83</v>
      </c>
      <c r="C57" s="5">
        <v>0.11006063417579517</v>
      </c>
      <c r="D57" s="5">
        <v>3.5155867042550096E-2</v>
      </c>
      <c r="E57" s="5">
        <v>3.916472302835225E-2</v>
      </c>
      <c r="F57" s="5">
        <f t="shared" si="0"/>
        <v>1.1140309235141357</v>
      </c>
      <c r="G57">
        <f t="shared" si="1"/>
        <v>-4.7583182863172171</v>
      </c>
      <c r="H57">
        <f t="shared" si="2"/>
        <v>-3.3479637602145806</v>
      </c>
    </row>
    <row r="58" spans="1:8" x14ac:dyDescent="0.2">
      <c r="A58" s="2">
        <v>2003</v>
      </c>
      <c r="B58" t="s">
        <v>84</v>
      </c>
      <c r="C58" s="5">
        <v>0.11006063417579517</v>
      </c>
      <c r="D58" s="5">
        <v>8.4452384210922299E-2</v>
      </c>
      <c r="E58" s="5">
        <v>9.1024735959537653E-2</v>
      </c>
      <c r="F58" s="5">
        <f t="shared" si="0"/>
        <v>1.0778231640234184</v>
      </c>
      <c r="G58">
        <f t="shared" si="1"/>
        <v>-3.1990061179993297</v>
      </c>
      <c r="H58">
        <f t="shared" si="2"/>
        <v>-2.4715674039075211</v>
      </c>
    </row>
    <row r="59" spans="1:8" x14ac:dyDescent="0.2">
      <c r="A59" s="2">
        <v>2003</v>
      </c>
      <c r="B59" t="s">
        <v>85</v>
      </c>
      <c r="C59" s="5">
        <v>0.11006063417579517</v>
      </c>
      <c r="D59" s="5">
        <v>0.14494198347603846</v>
      </c>
      <c r="E59" s="5">
        <v>0.15043992908074777</v>
      </c>
      <c r="F59" s="5">
        <f t="shared" si="0"/>
        <v>1.0379320433793997</v>
      </c>
      <c r="G59">
        <f t="shared" si="1"/>
        <v>-2.5730375769974891</v>
      </c>
      <c r="H59">
        <f t="shared" si="2"/>
        <v>-1.9314217305868659</v>
      </c>
    </row>
    <row r="60" spans="1:8" x14ac:dyDescent="0.2">
      <c r="A60" s="2">
        <v>2003</v>
      </c>
      <c r="B60" t="s">
        <v>86</v>
      </c>
      <c r="C60" s="5">
        <v>0.11006063417579517</v>
      </c>
      <c r="D60" s="5">
        <v>0.23059726463845109</v>
      </c>
      <c r="E60" s="5">
        <v>0.23283500789302838</v>
      </c>
      <c r="F60" s="5">
        <f t="shared" si="0"/>
        <v>1.0097041188154847</v>
      </c>
      <c r="G60">
        <f t="shared" si="1"/>
        <v>-2.288440039322293</v>
      </c>
      <c r="H60">
        <f t="shared" si="2"/>
        <v>-1.4670825331496604</v>
      </c>
    </row>
    <row r="61" spans="1:8" x14ac:dyDescent="0.2">
      <c r="A61" s="2">
        <v>2003</v>
      </c>
      <c r="B61" t="s">
        <v>90</v>
      </c>
      <c r="C61" s="5">
        <v>0.11006063417579517</v>
      </c>
      <c r="D61" s="5">
        <v>0.5048525005006691</v>
      </c>
      <c r="E61" s="5">
        <v>0.48653560403833396</v>
      </c>
      <c r="F61" s="5">
        <f t="shared" si="0"/>
        <v>0.96371832080821618</v>
      </c>
      <c r="G61">
        <f t="shared" si="1"/>
        <v>-1.9494725857772175</v>
      </c>
      <c r="H61">
        <f t="shared" si="2"/>
        <v>-0.68348897058642388</v>
      </c>
    </row>
    <row r="62" spans="1:8" x14ac:dyDescent="0.2">
      <c r="A62" s="2">
        <v>2004</v>
      </c>
      <c r="B62" t="s">
        <v>83</v>
      </c>
      <c r="C62" s="5">
        <v>0.10889665987483628</v>
      </c>
      <c r="D62" s="5">
        <v>3.4492631858955999E-2</v>
      </c>
      <c r="E62" s="5">
        <v>3.8372628482907456E-2</v>
      </c>
      <c r="F62" s="5">
        <f t="shared" si="0"/>
        <v>1.1124876941781994</v>
      </c>
      <c r="G62">
        <f t="shared" si="1"/>
        <v>-4.7492137966249137</v>
      </c>
      <c r="H62">
        <f t="shared" si="2"/>
        <v>-3.367009547059618</v>
      </c>
    </row>
    <row r="63" spans="1:8" x14ac:dyDescent="0.2">
      <c r="A63" s="2">
        <v>2004</v>
      </c>
      <c r="B63" t="s">
        <v>84</v>
      </c>
      <c r="C63" s="5">
        <v>0.10889665987483628</v>
      </c>
      <c r="D63" s="5">
        <v>8.33243702005141E-2</v>
      </c>
      <c r="E63" s="5">
        <v>8.968898428852963E-2</v>
      </c>
      <c r="F63" s="5">
        <f t="shared" si="0"/>
        <v>1.0763835846907639</v>
      </c>
      <c r="G63">
        <f t="shared" si="1"/>
        <v>-3.1983138676476557</v>
      </c>
      <c r="H63">
        <f t="shared" si="2"/>
        <v>-2.485014213166564</v>
      </c>
    </row>
    <row r="64" spans="1:8" x14ac:dyDescent="0.2">
      <c r="A64" s="2">
        <v>2004</v>
      </c>
      <c r="B64" t="s">
        <v>85</v>
      </c>
      <c r="C64" s="5">
        <v>0.10889665987483628</v>
      </c>
      <c r="D64" s="5">
        <v>0.14329834297957864</v>
      </c>
      <c r="E64" s="5">
        <v>0.14874257513860151</v>
      </c>
      <c r="F64" s="5">
        <f t="shared" si="0"/>
        <v>1.0379922896931106</v>
      </c>
      <c r="G64">
        <f t="shared" si="1"/>
        <v>-2.5897126041726559</v>
      </c>
      <c r="H64">
        <f t="shared" si="2"/>
        <v>-1.942826507511596</v>
      </c>
    </row>
    <row r="65" spans="1:8" x14ac:dyDescent="0.2">
      <c r="A65" s="2">
        <v>2004</v>
      </c>
      <c r="B65" t="s">
        <v>86</v>
      </c>
      <c r="C65" s="5">
        <v>0.10889665987483628</v>
      </c>
      <c r="D65" s="5">
        <v>0.22855573810821053</v>
      </c>
      <c r="E65" s="5">
        <v>0.23087290387935436</v>
      </c>
      <c r="F65" s="5">
        <f t="shared" si="0"/>
        <v>1.0101382961999701</v>
      </c>
      <c r="G65">
        <f t="shared" si="1"/>
        <v>-2.303962138006828</v>
      </c>
      <c r="H65">
        <f t="shared" si="2"/>
        <v>-1.4759751679423858</v>
      </c>
    </row>
    <row r="66" spans="1:8" x14ac:dyDescent="0.2">
      <c r="A66" s="2">
        <v>2004</v>
      </c>
      <c r="B66" t="s">
        <v>90</v>
      </c>
      <c r="C66" s="5">
        <v>0.10889665987483628</v>
      </c>
      <c r="D66" s="5">
        <v>0.51032891685274073</v>
      </c>
      <c r="E66" s="5">
        <v>0.49232290848781118</v>
      </c>
      <c r="F66" s="5">
        <f t="shared" si="0"/>
        <v>0.96471685657952766</v>
      </c>
      <c r="G66">
        <f t="shared" si="1"/>
        <v>-1.9637044244965529</v>
      </c>
      <c r="H66">
        <f t="shared" si="2"/>
        <v>-0.67269982613959711</v>
      </c>
    </row>
    <row r="67" spans="1:8" x14ac:dyDescent="0.2">
      <c r="A67" s="2">
        <v>2005</v>
      </c>
      <c r="B67" t="s">
        <v>83</v>
      </c>
      <c r="C67" s="5">
        <v>0.10582905246593299</v>
      </c>
      <c r="D67" s="5">
        <v>3.3600899590664021E-2</v>
      </c>
      <c r="E67" s="5">
        <v>3.7295086874080216E-2</v>
      </c>
      <c r="F67" s="5">
        <f t="shared" ref="F67:F130" si="3">E67/D67</f>
        <v>1.109943106536428</v>
      </c>
      <c r="G67">
        <f t="shared" ref="G67:G130" si="4">LN(1-(1-C67)*F67)</f>
        <v>-4.8900401202872636</v>
      </c>
      <c r="H67">
        <f t="shared" ref="H67:H130" si="5">LN(D67)</f>
        <v>-3.3932024388397157</v>
      </c>
    </row>
    <row r="68" spans="1:8" x14ac:dyDescent="0.2">
      <c r="A68" s="2">
        <v>2005</v>
      </c>
      <c r="B68" t="s">
        <v>84</v>
      </c>
      <c r="C68" s="5">
        <v>0.10582905246593299</v>
      </c>
      <c r="D68" s="5">
        <v>8.1716260594880644E-2</v>
      </c>
      <c r="E68" s="5">
        <v>8.8038692575017202E-2</v>
      </c>
      <c r="F68" s="5">
        <f t="shared" si="3"/>
        <v>1.0773705494366765</v>
      </c>
      <c r="G68">
        <f t="shared" si="4"/>
        <v>-3.306435853296549</v>
      </c>
      <c r="H68">
        <f t="shared" si="5"/>
        <v>-2.5045022688305281</v>
      </c>
    </row>
    <row r="69" spans="1:8" x14ac:dyDescent="0.2">
      <c r="A69" s="2">
        <v>2005</v>
      </c>
      <c r="B69" t="s">
        <v>85</v>
      </c>
      <c r="C69" s="5">
        <v>0.10582905246593299</v>
      </c>
      <c r="D69" s="5">
        <v>0.14110894429664012</v>
      </c>
      <c r="E69" s="5">
        <v>0.14685750090191843</v>
      </c>
      <c r="F69" s="5">
        <f t="shared" si="3"/>
        <v>1.0407384282685417</v>
      </c>
      <c r="G69">
        <f t="shared" si="4"/>
        <v>-2.6678405522032373</v>
      </c>
      <c r="H69">
        <f t="shared" si="5"/>
        <v>-1.9582230323617553</v>
      </c>
    </row>
    <row r="70" spans="1:8" x14ac:dyDescent="0.2">
      <c r="A70" s="2">
        <v>2005</v>
      </c>
      <c r="B70" t="s">
        <v>86</v>
      </c>
      <c r="C70" s="5">
        <v>0.10582905246593299</v>
      </c>
      <c r="D70" s="5">
        <v>0.22603792424677568</v>
      </c>
      <c r="E70" s="5">
        <v>0.22883114704040733</v>
      </c>
      <c r="F70" s="5">
        <f t="shared" si="3"/>
        <v>1.0123573192548971</v>
      </c>
      <c r="G70">
        <f t="shared" si="4"/>
        <v>-2.3562021737165519</v>
      </c>
      <c r="H70">
        <f t="shared" si="5"/>
        <v>-1.4870524873861082</v>
      </c>
    </row>
    <row r="71" spans="1:8" x14ac:dyDescent="0.2">
      <c r="A71" s="2">
        <v>2005</v>
      </c>
      <c r="B71" t="s">
        <v>90</v>
      </c>
      <c r="C71" s="5">
        <v>0.10582905246593299</v>
      </c>
      <c r="D71" s="5">
        <v>0.51753597138674035</v>
      </c>
      <c r="E71" s="5">
        <v>0.49897757273797144</v>
      </c>
      <c r="F71" s="5">
        <f t="shared" si="3"/>
        <v>0.96414085266567739</v>
      </c>
      <c r="G71">
        <f t="shared" si="4"/>
        <v>-1.9812753698107197</v>
      </c>
      <c r="H71">
        <f t="shared" si="5"/>
        <v>-0.65867624633224753</v>
      </c>
    </row>
    <row r="72" spans="1:8" x14ac:dyDescent="0.2">
      <c r="A72" s="2">
        <v>2006</v>
      </c>
      <c r="B72" t="s">
        <v>83</v>
      </c>
      <c r="C72" s="5">
        <v>0.10638439230124641</v>
      </c>
      <c r="D72" s="5">
        <v>3.3606180989673537E-2</v>
      </c>
      <c r="E72" s="5">
        <v>3.7327298020531856E-2</v>
      </c>
      <c r="F72" s="5">
        <f t="shared" si="3"/>
        <v>1.1107271615302476</v>
      </c>
      <c r="G72">
        <f t="shared" si="4"/>
        <v>-4.9013048731297006</v>
      </c>
      <c r="H72">
        <f t="shared" si="5"/>
        <v>-3.393045270905183</v>
      </c>
    </row>
    <row r="73" spans="1:8" x14ac:dyDescent="0.2">
      <c r="A73" s="2">
        <v>2006</v>
      </c>
      <c r="B73" t="s">
        <v>84</v>
      </c>
      <c r="C73" s="5">
        <v>0.10638439230124641</v>
      </c>
      <c r="D73" s="5">
        <v>8.0978887852619141E-2</v>
      </c>
      <c r="E73" s="5">
        <v>8.7409536825616835E-2</v>
      </c>
      <c r="F73" s="5">
        <f t="shared" si="3"/>
        <v>1.0794114261571661</v>
      </c>
      <c r="G73">
        <f t="shared" si="4"/>
        <v>-3.3404475218270862</v>
      </c>
      <c r="H73">
        <f t="shared" si="5"/>
        <v>-2.5135668020780209</v>
      </c>
    </row>
    <row r="74" spans="1:8" x14ac:dyDescent="0.2">
      <c r="A74" s="2">
        <v>2006</v>
      </c>
      <c r="B74" t="s">
        <v>85</v>
      </c>
      <c r="C74" s="5">
        <v>0.10638439230124641</v>
      </c>
      <c r="D74" s="5">
        <v>0.139214044301222</v>
      </c>
      <c r="E74" s="5">
        <v>0.14506430284239025</v>
      </c>
      <c r="F74" s="5">
        <f t="shared" si="3"/>
        <v>1.0420234795313457</v>
      </c>
      <c r="G74">
        <f t="shared" si="4"/>
        <v>-2.6760929894488132</v>
      </c>
      <c r="H74">
        <f t="shared" si="5"/>
        <v>-1.9717426432026222</v>
      </c>
    </row>
    <row r="75" spans="1:8" x14ac:dyDescent="0.2">
      <c r="A75" s="2">
        <v>2006</v>
      </c>
      <c r="B75" t="s">
        <v>86</v>
      </c>
      <c r="C75" s="5">
        <v>0.10638439230124641</v>
      </c>
      <c r="D75" s="5">
        <v>0.22329614241172252</v>
      </c>
      <c r="E75" s="5">
        <v>0.22617674277487432</v>
      </c>
      <c r="F75" s="5">
        <f t="shared" si="3"/>
        <v>1.0129003588330712</v>
      </c>
      <c r="G75">
        <f t="shared" si="4"/>
        <v>-2.3553907904541451</v>
      </c>
      <c r="H75">
        <f t="shared" si="5"/>
        <v>-1.4992563956469898</v>
      </c>
    </row>
    <row r="76" spans="1:8" x14ac:dyDescent="0.2">
      <c r="A76" s="2">
        <v>2006</v>
      </c>
      <c r="B76" t="s">
        <v>90</v>
      </c>
      <c r="C76" s="5">
        <v>0.10638439230124641</v>
      </c>
      <c r="D76" s="5">
        <v>0.52290474433691336</v>
      </c>
      <c r="E76" s="5">
        <v>0.50402211953658671</v>
      </c>
      <c r="F76" s="5">
        <f t="shared" si="3"/>
        <v>0.9638889778591101</v>
      </c>
      <c r="G76">
        <f t="shared" si="4"/>
        <v>-1.9757753504459536</v>
      </c>
      <c r="H76">
        <f t="shared" si="5"/>
        <v>-0.64835596470449786</v>
      </c>
    </row>
    <row r="77" spans="1:8" x14ac:dyDescent="0.2">
      <c r="A77" s="2">
        <v>2007</v>
      </c>
      <c r="B77" t="s">
        <v>83</v>
      </c>
      <c r="C77" s="5">
        <v>0.10212761272918147</v>
      </c>
      <c r="D77" s="5">
        <v>3.3669205596989993E-2</v>
      </c>
      <c r="E77" s="5">
        <v>3.7274162186489705E-2</v>
      </c>
      <c r="F77" s="5">
        <f t="shared" si="3"/>
        <v>1.1070698439591933</v>
      </c>
      <c r="G77">
        <f t="shared" si="4"/>
        <v>-5.1172371918122943</v>
      </c>
      <c r="H77">
        <f t="shared" si="5"/>
        <v>-3.3911716398804828</v>
      </c>
    </row>
    <row r="78" spans="1:8" x14ac:dyDescent="0.2">
      <c r="A78" s="2">
        <v>2007</v>
      </c>
      <c r="B78" t="s">
        <v>84</v>
      </c>
      <c r="C78" s="5">
        <v>0.10212761272918147</v>
      </c>
      <c r="D78" s="5">
        <v>8.1002036111466794E-2</v>
      </c>
      <c r="E78" s="5">
        <v>8.7388399244575324E-2</v>
      </c>
      <c r="F78" s="5">
        <f t="shared" si="3"/>
        <v>1.078842007432014</v>
      </c>
      <c r="G78">
        <f t="shared" si="4"/>
        <v>-3.4629381785154059</v>
      </c>
      <c r="H78">
        <f t="shared" si="5"/>
        <v>-2.5132809874470294</v>
      </c>
    </row>
    <row r="79" spans="1:8" x14ac:dyDescent="0.2">
      <c r="A79" s="2">
        <v>2007</v>
      </c>
      <c r="B79" t="s">
        <v>85</v>
      </c>
      <c r="C79" s="5">
        <v>0.10212761272918147</v>
      </c>
      <c r="D79" s="5">
        <v>0.13857060782370909</v>
      </c>
      <c r="E79" s="5">
        <v>0.14471865608701331</v>
      </c>
      <c r="F79" s="5">
        <f t="shared" si="3"/>
        <v>1.0443676213871114</v>
      </c>
      <c r="G79">
        <f t="shared" si="4"/>
        <v>-2.7759359082731314</v>
      </c>
      <c r="H79">
        <f t="shared" si="5"/>
        <v>-1.9763752794792495</v>
      </c>
    </row>
    <row r="80" spans="1:8" x14ac:dyDescent="0.2">
      <c r="A80" s="2">
        <v>2007</v>
      </c>
      <c r="B80" t="s">
        <v>86</v>
      </c>
      <c r="C80" s="5">
        <v>0.10212761272918147</v>
      </c>
      <c r="D80" s="5">
        <v>0.22214737439863419</v>
      </c>
      <c r="E80" s="5">
        <v>0.22550610842637062</v>
      </c>
      <c r="F80" s="5">
        <f t="shared" si="3"/>
        <v>1.0151193955671487</v>
      </c>
      <c r="G80">
        <f t="shared" si="4"/>
        <v>-2.4241616594546715</v>
      </c>
      <c r="H80">
        <f t="shared" si="5"/>
        <v>-1.5044142687174016</v>
      </c>
    </row>
    <row r="81" spans="1:8" x14ac:dyDescent="0.2">
      <c r="A81" s="2">
        <v>2007</v>
      </c>
      <c r="B81" t="s">
        <v>90</v>
      </c>
      <c r="C81" s="5">
        <v>0.10212761272918147</v>
      </c>
      <c r="D81" s="5">
        <v>0.52461077606919992</v>
      </c>
      <c r="E81" s="5">
        <v>0.50511267360501122</v>
      </c>
      <c r="F81" s="5">
        <f t="shared" si="3"/>
        <v>0.96283320253105753</v>
      </c>
      <c r="G81">
        <f t="shared" si="4"/>
        <v>-1.9987935730303112</v>
      </c>
      <c r="H81">
        <f t="shared" si="5"/>
        <v>-0.64509867026357814</v>
      </c>
    </row>
    <row r="82" spans="1:8" x14ac:dyDescent="0.2">
      <c r="A82" s="2">
        <v>2008</v>
      </c>
      <c r="B82" t="s">
        <v>83</v>
      </c>
      <c r="C82" s="5">
        <v>0.10338905875077975</v>
      </c>
      <c r="D82" s="5">
        <v>3.414862996065423E-2</v>
      </c>
      <c r="E82" s="5">
        <v>3.7851285843113557E-2</v>
      </c>
      <c r="F82" s="5">
        <f t="shared" si="3"/>
        <v>1.1084276554205981</v>
      </c>
      <c r="G82">
        <f t="shared" si="4"/>
        <v>-5.0877912304224848</v>
      </c>
      <c r="H82">
        <f t="shared" si="5"/>
        <v>-3.3770328120525508</v>
      </c>
    </row>
    <row r="83" spans="1:8" x14ac:dyDescent="0.2">
      <c r="A83" s="2">
        <v>2008</v>
      </c>
      <c r="B83" t="s">
        <v>84</v>
      </c>
      <c r="C83" s="5">
        <v>0.10338905875077975</v>
      </c>
      <c r="D83" s="5">
        <v>8.2299583947804233E-2</v>
      </c>
      <c r="E83" s="5">
        <v>8.8836591462728126E-2</v>
      </c>
      <c r="F83" s="5">
        <f t="shared" si="3"/>
        <v>1.0794294114423442</v>
      </c>
      <c r="G83">
        <f t="shared" si="4"/>
        <v>-3.4366656270262408</v>
      </c>
      <c r="H83">
        <f t="shared" si="5"/>
        <v>-2.497389226624112</v>
      </c>
    </row>
    <row r="84" spans="1:8" x14ac:dyDescent="0.2">
      <c r="A84" s="2">
        <v>2008</v>
      </c>
      <c r="B84" t="s">
        <v>85</v>
      </c>
      <c r="C84" s="5">
        <v>0.10338905875077975</v>
      </c>
      <c r="D84" s="5">
        <v>0.14056026523760734</v>
      </c>
      <c r="E84" s="5">
        <v>0.14684682175814351</v>
      </c>
      <c r="F84" s="5">
        <f t="shared" si="3"/>
        <v>1.0447249904509583</v>
      </c>
      <c r="G84">
        <f t="shared" si="4"/>
        <v>-2.7600572823036478</v>
      </c>
      <c r="H84">
        <f t="shared" si="5"/>
        <v>-1.9621189480987629</v>
      </c>
    </row>
    <row r="85" spans="1:8" x14ac:dyDescent="0.2">
      <c r="A85" s="2">
        <v>2008</v>
      </c>
      <c r="B85" t="s">
        <v>86</v>
      </c>
      <c r="C85" s="5">
        <v>0.10338905875077975</v>
      </c>
      <c r="D85" s="5">
        <v>0.22575832452914071</v>
      </c>
      <c r="E85" s="5">
        <v>0.22910433117883405</v>
      </c>
      <c r="F85" s="5">
        <f t="shared" si="3"/>
        <v>1.0148211883511806</v>
      </c>
      <c r="G85">
        <f t="shared" si="4"/>
        <v>-2.4068326824862765</v>
      </c>
      <c r="H85">
        <f t="shared" si="5"/>
        <v>-1.4882902123742514</v>
      </c>
    </row>
    <row r="86" spans="1:8" x14ac:dyDescent="0.2">
      <c r="A86" s="2">
        <v>2008</v>
      </c>
      <c r="B86" t="s">
        <v>90</v>
      </c>
      <c r="C86" s="5">
        <v>0.10338905875077975</v>
      </c>
      <c r="D86" s="5">
        <v>0.51723319622585451</v>
      </c>
      <c r="E86" s="5">
        <v>0.49736096942613756</v>
      </c>
      <c r="F86" s="5">
        <f t="shared" si="3"/>
        <v>0.96157975368804527</v>
      </c>
      <c r="G86">
        <f t="shared" si="4"/>
        <v>-1.9816829293011398</v>
      </c>
      <c r="H86">
        <f t="shared" si="5"/>
        <v>-0.65926144963942601</v>
      </c>
    </row>
    <row r="87" spans="1:8" x14ac:dyDescent="0.2">
      <c r="A87" s="2">
        <v>2009</v>
      </c>
      <c r="B87" t="s">
        <v>83</v>
      </c>
      <c r="C87" s="5">
        <v>9.5544071257147353E-2</v>
      </c>
      <c r="D87" s="5">
        <v>3.4686631076199015E-2</v>
      </c>
      <c r="E87" s="5">
        <v>3.8163220128408053E-2</v>
      </c>
      <c r="F87" s="5">
        <f t="shared" si="3"/>
        <v>1.1002285014238404</v>
      </c>
      <c r="G87">
        <f t="shared" si="4"/>
        <v>-5.3201931225612542</v>
      </c>
      <c r="H87">
        <f t="shared" si="5"/>
        <v>-3.3614009378447656</v>
      </c>
    </row>
    <row r="88" spans="1:8" x14ac:dyDescent="0.2">
      <c r="A88" s="2">
        <v>2009</v>
      </c>
      <c r="B88" t="s">
        <v>84</v>
      </c>
      <c r="C88" s="5">
        <v>9.5544071257147353E-2</v>
      </c>
      <c r="D88" s="5">
        <v>8.3582112169825515E-2</v>
      </c>
      <c r="E88" s="5">
        <v>8.9895223007270236E-2</v>
      </c>
      <c r="F88" s="5">
        <f t="shared" si="3"/>
        <v>1.0755318413659789</v>
      </c>
      <c r="G88">
        <f t="shared" si="4"/>
        <v>-3.6034782234709661</v>
      </c>
      <c r="H88">
        <f t="shared" si="5"/>
        <v>-2.4819257510466297</v>
      </c>
    </row>
    <row r="89" spans="1:8" x14ac:dyDescent="0.2">
      <c r="A89" s="2">
        <v>2009</v>
      </c>
      <c r="B89" t="s">
        <v>85</v>
      </c>
      <c r="C89" s="5">
        <v>9.5544071257147353E-2</v>
      </c>
      <c r="D89" s="5">
        <v>0.14220909687880126</v>
      </c>
      <c r="E89" s="5">
        <v>0.14858801108538863</v>
      </c>
      <c r="F89" s="5">
        <f t="shared" si="3"/>
        <v>1.044855880155289</v>
      </c>
      <c r="G89">
        <f t="shared" si="4"/>
        <v>-2.9008966697663725</v>
      </c>
      <c r="H89">
        <f t="shared" si="5"/>
        <v>-1.9504567912343822</v>
      </c>
    </row>
    <row r="90" spans="1:8" x14ac:dyDescent="0.2">
      <c r="A90" s="2">
        <v>2009</v>
      </c>
      <c r="B90" t="s">
        <v>86</v>
      </c>
      <c r="C90" s="5">
        <v>9.5544071257147353E-2</v>
      </c>
      <c r="D90" s="5">
        <v>0.22818845332442816</v>
      </c>
      <c r="E90" s="5">
        <v>0.23161395870457138</v>
      </c>
      <c r="F90" s="5">
        <f t="shared" si="3"/>
        <v>1.0150117384566912</v>
      </c>
      <c r="G90">
        <f t="shared" si="4"/>
        <v>-2.5014432437728762</v>
      </c>
      <c r="H90">
        <f t="shared" si="5"/>
        <v>-1.477583441763217</v>
      </c>
    </row>
    <row r="91" spans="1:8" x14ac:dyDescent="0.2">
      <c r="A91" s="2">
        <v>2009</v>
      </c>
      <c r="B91" t="s">
        <v>90</v>
      </c>
      <c r="C91" s="5">
        <v>9.5544071257147353E-2</v>
      </c>
      <c r="D91" s="5">
        <v>0.51133370665009681</v>
      </c>
      <c r="E91" s="5">
        <v>0.49173958729405359</v>
      </c>
      <c r="F91" s="5">
        <f t="shared" si="3"/>
        <v>0.9616803682190046</v>
      </c>
      <c r="G91">
        <f t="shared" si="4"/>
        <v>-2.0386644295078722</v>
      </c>
      <c r="H91">
        <f t="shared" si="5"/>
        <v>-0.6707328556383767</v>
      </c>
    </row>
    <row r="92" spans="1:8" x14ac:dyDescent="0.2">
      <c r="A92" s="2">
        <v>2010</v>
      </c>
      <c r="B92" t="s">
        <v>83</v>
      </c>
      <c r="C92" s="5">
        <v>9.7123372884855272E-2</v>
      </c>
      <c r="D92" s="5">
        <v>3.4337051014654327E-2</v>
      </c>
      <c r="E92" s="5">
        <v>3.785750872616038E-2</v>
      </c>
      <c r="F92" s="5">
        <f t="shared" si="3"/>
        <v>1.102526501475144</v>
      </c>
      <c r="G92">
        <f t="shared" si="4"/>
        <v>-5.3916195342851747</v>
      </c>
      <c r="H92">
        <f t="shared" si="5"/>
        <v>-3.3715303033024582</v>
      </c>
    </row>
    <row r="93" spans="1:8" x14ac:dyDescent="0.2">
      <c r="A93" s="2">
        <v>2010</v>
      </c>
      <c r="B93" t="s">
        <v>84</v>
      </c>
      <c r="C93" s="5">
        <v>9.7123372884855272E-2</v>
      </c>
      <c r="D93" s="5">
        <v>8.225298120691607E-2</v>
      </c>
      <c r="E93" s="5">
        <v>8.8593080335240437E-2</v>
      </c>
      <c r="F93" s="5">
        <f t="shared" si="3"/>
        <v>1.0770804782427907</v>
      </c>
      <c r="G93">
        <f t="shared" si="4"/>
        <v>-3.5925076317758142</v>
      </c>
      <c r="H93">
        <f t="shared" si="5"/>
        <v>-2.4979556443167232</v>
      </c>
    </row>
    <row r="94" spans="1:8" x14ac:dyDescent="0.2">
      <c r="A94" s="2">
        <v>2010</v>
      </c>
      <c r="B94" t="s">
        <v>85</v>
      </c>
      <c r="C94" s="5">
        <v>9.7123372884855272E-2</v>
      </c>
      <c r="D94" s="5">
        <v>0.14110561062039811</v>
      </c>
      <c r="E94" s="5">
        <v>0.14742775886939041</v>
      </c>
      <c r="F94" s="5">
        <f t="shared" si="3"/>
        <v>1.0448043718544979</v>
      </c>
      <c r="G94">
        <f t="shared" si="4"/>
        <v>-2.8705005551009832</v>
      </c>
      <c r="H94">
        <f t="shared" si="5"/>
        <v>-1.9582466574809003</v>
      </c>
    </row>
    <row r="95" spans="1:8" x14ac:dyDescent="0.2">
      <c r="A95" s="2">
        <v>2010</v>
      </c>
      <c r="B95" t="s">
        <v>86</v>
      </c>
      <c r="C95" s="5">
        <v>9.7123372884855272E-2</v>
      </c>
      <c r="D95" s="5">
        <v>0.22761803449802606</v>
      </c>
      <c r="E95" s="5">
        <v>0.23074085952661402</v>
      </c>
      <c r="F95" s="5">
        <f t="shared" si="3"/>
        <v>1.0137195852493623</v>
      </c>
      <c r="G95">
        <f t="shared" si="4"/>
        <v>-2.4682114333843956</v>
      </c>
      <c r="H95">
        <f t="shared" si="5"/>
        <v>-1.4800863421800585</v>
      </c>
    </row>
    <row r="96" spans="1:8" x14ac:dyDescent="0.2">
      <c r="A96" s="2">
        <v>2010</v>
      </c>
      <c r="B96" t="s">
        <v>90</v>
      </c>
      <c r="C96" s="5">
        <v>9.7123372884855272E-2</v>
      </c>
      <c r="D96" s="5">
        <v>0.51468632256399105</v>
      </c>
      <c r="E96" s="5">
        <v>0.49538079275528046</v>
      </c>
      <c r="F96" s="5">
        <f t="shared" si="3"/>
        <v>0.96249068809029736</v>
      </c>
      <c r="G96">
        <f t="shared" si="4"/>
        <v>-2.0326369367067856</v>
      </c>
      <c r="H96">
        <f t="shared" si="5"/>
        <v>-0.6641976462844571</v>
      </c>
    </row>
    <row r="97" spans="1:8" x14ac:dyDescent="0.2">
      <c r="A97" s="2">
        <v>2011</v>
      </c>
      <c r="B97" t="s">
        <v>83</v>
      </c>
      <c r="C97" s="5">
        <v>9.8625249830000469E-2</v>
      </c>
      <c r="D97" s="5">
        <v>3.4397240732762832E-2</v>
      </c>
      <c r="E97" s="5">
        <v>3.7984678573462993E-2</v>
      </c>
      <c r="F97" s="5">
        <f t="shared" si="3"/>
        <v>1.1042943493221298</v>
      </c>
      <c r="G97">
        <f t="shared" si="4"/>
        <v>-5.3780194996720159</v>
      </c>
      <c r="H97">
        <f t="shared" si="5"/>
        <v>-3.3697789290767739</v>
      </c>
    </row>
    <row r="98" spans="1:8" x14ac:dyDescent="0.2">
      <c r="A98" s="2">
        <v>2011</v>
      </c>
      <c r="B98" t="s">
        <v>84</v>
      </c>
      <c r="C98" s="5">
        <v>9.8625249830000469E-2</v>
      </c>
      <c r="D98" s="5">
        <v>8.1940122343225272E-2</v>
      </c>
      <c r="E98" s="5">
        <v>8.8365094419341511E-2</v>
      </c>
      <c r="F98" s="5">
        <f t="shared" si="3"/>
        <v>1.0784105746047552</v>
      </c>
      <c r="G98">
        <f t="shared" si="4"/>
        <v>-3.5774118661835987</v>
      </c>
      <c r="H98">
        <f t="shared" si="5"/>
        <v>-2.5017665137814746</v>
      </c>
    </row>
    <row r="99" spans="1:8" x14ac:dyDescent="0.2">
      <c r="A99" s="2">
        <v>2011</v>
      </c>
      <c r="B99" t="s">
        <v>85</v>
      </c>
      <c r="C99" s="5">
        <v>9.8625249830000469E-2</v>
      </c>
      <c r="D99" s="5">
        <v>0.14051346369875906</v>
      </c>
      <c r="E99" s="5">
        <v>0.14684651590956305</v>
      </c>
      <c r="F99" s="5">
        <f t="shared" si="3"/>
        <v>1.0450707857033625</v>
      </c>
      <c r="G99">
        <f t="shared" si="4"/>
        <v>-2.8473194817950715</v>
      </c>
      <c r="H99">
        <f t="shared" si="5"/>
        <v>-1.9624519677620229</v>
      </c>
    </row>
    <row r="100" spans="1:8" x14ac:dyDescent="0.2">
      <c r="A100" s="2">
        <v>2011</v>
      </c>
      <c r="B100" t="s">
        <v>86</v>
      </c>
      <c r="C100" s="5">
        <v>9.8625249830000469E-2</v>
      </c>
      <c r="D100" s="5">
        <v>0.22728096815226398</v>
      </c>
      <c r="E100" s="5">
        <v>0.23035939791092869</v>
      </c>
      <c r="F100" s="5">
        <f t="shared" si="3"/>
        <v>1.0135445998126968</v>
      </c>
      <c r="G100">
        <f t="shared" si="4"/>
        <v>-2.448576770019915</v>
      </c>
      <c r="H100">
        <f t="shared" si="5"/>
        <v>-1.4815682817116271</v>
      </c>
    </row>
    <row r="101" spans="1:8" x14ac:dyDescent="0.2">
      <c r="A101" s="2">
        <v>2011</v>
      </c>
      <c r="B101" t="s">
        <v>90</v>
      </c>
      <c r="C101" s="5">
        <v>9.8625249830000469E-2</v>
      </c>
      <c r="D101" s="5">
        <v>0.5158682052559892</v>
      </c>
      <c r="E101" s="5">
        <v>0.49644431338972744</v>
      </c>
      <c r="F101" s="5">
        <f t="shared" si="3"/>
        <v>0.9623471815701008</v>
      </c>
      <c r="G101">
        <f t="shared" si="4"/>
        <v>-2.0206855851232275</v>
      </c>
      <c r="H101">
        <f t="shared" si="5"/>
        <v>-0.66190396229540327</v>
      </c>
    </row>
    <row r="102" spans="1:8" x14ac:dyDescent="0.2">
      <c r="A102" s="2">
        <v>2012</v>
      </c>
      <c r="B102" t="s">
        <v>83</v>
      </c>
      <c r="C102" s="5">
        <v>9.8789676893421524E-2</v>
      </c>
      <c r="D102" s="5">
        <v>3.4749529680918316E-2</v>
      </c>
      <c r="E102" s="5">
        <v>3.8381874059076192E-2</v>
      </c>
      <c r="F102" s="5">
        <f t="shared" si="3"/>
        <v>1.1045293105118621</v>
      </c>
      <c r="G102">
        <f t="shared" si="4"/>
        <v>-5.3845763300349496</v>
      </c>
      <c r="H102">
        <f t="shared" si="5"/>
        <v>-3.359589241424989</v>
      </c>
    </row>
    <row r="103" spans="1:8" x14ac:dyDescent="0.2">
      <c r="A103" s="2">
        <v>2012</v>
      </c>
      <c r="B103" t="s">
        <v>84</v>
      </c>
      <c r="C103" s="5">
        <v>9.8789676893421524E-2</v>
      </c>
      <c r="D103" s="5">
        <v>8.2416475664467012E-2</v>
      </c>
      <c r="E103" s="5">
        <v>8.88928526688742E-2</v>
      </c>
      <c r="F103" s="5">
        <f t="shared" si="3"/>
        <v>1.078581096221267</v>
      </c>
      <c r="G103">
        <f t="shared" si="4"/>
        <v>-3.5765662207114475</v>
      </c>
      <c r="H103">
        <f t="shared" si="5"/>
        <v>-2.4959699146692169</v>
      </c>
    </row>
    <row r="104" spans="1:8" x14ac:dyDescent="0.2">
      <c r="A104" s="2">
        <v>2012</v>
      </c>
      <c r="B104" t="s">
        <v>85</v>
      </c>
      <c r="C104" s="5">
        <v>9.8789676893421524E-2</v>
      </c>
      <c r="D104" s="5">
        <v>0.14088475666615041</v>
      </c>
      <c r="E104" s="5">
        <v>0.14724099142481667</v>
      </c>
      <c r="F104" s="5">
        <f t="shared" si="3"/>
        <v>1.0451165541899496</v>
      </c>
      <c r="G104">
        <f t="shared" si="4"/>
        <v>-2.8450704295381786</v>
      </c>
      <c r="H104">
        <f t="shared" si="5"/>
        <v>-1.959813051407969</v>
      </c>
    </row>
    <row r="105" spans="1:8" x14ac:dyDescent="0.2">
      <c r="A105" s="2">
        <v>2012</v>
      </c>
      <c r="B105" t="s">
        <v>86</v>
      </c>
      <c r="C105" s="5">
        <v>9.8789676893421524E-2</v>
      </c>
      <c r="D105" s="5">
        <v>0.22791999138438937</v>
      </c>
      <c r="E105" s="5">
        <v>0.23100104024357529</v>
      </c>
      <c r="F105" s="5">
        <f t="shared" si="3"/>
        <v>1.0135181158987923</v>
      </c>
      <c r="G105">
        <f t="shared" si="4"/>
        <v>-2.4463745048378769</v>
      </c>
      <c r="H105">
        <f t="shared" si="5"/>
        <v>-1.4787606265935143</v>
      </c>
    </row>
    <row r="106" spans="1:8" x14ac:dyDescent="0.2">
      <c r="A106" s="2">
        <v>2012</v>
      </c>
      <c r="B106" t="s">
        <v>90</v>
      </c>
      <c r="C106" s="5">
        <v>9.8789676893421524E-2</v>
      </c>
      <c r="D106" s="5">
        <v>0.51402924678008488</v>
      </c>
      <c r="E106" s="5">
        <v>0.49448324189661369</v>
      </c>
      <c r="F106" s="5">
        <f t="shared" si="3"/>
        <v>0.96197491678555502</v>
      </c>
      <c r="G106">
        <f t="shared" si="4"/>
        <v>-2.016968093163233</v>
      </c>
      <c r="H106">
        <f t="shared" si="5"/>
        <v>-0.6654751147953758</v>
      </c>
    </row>
    <row r="107" spans="1:8" x14ac:dyDescent="0.2">
      <c r="A107" s="2">
        <v>2013</v>
      </c>
      <c r="B107" t="s">
        <v>83</v>
      </c>
      <c r="C107" s="5">
        <v>9.9079346121384831E-2</v>
      </c>
      <c r="D107" s="5">
        <v>3.4248822330003613E-2</v>
      </c>
      <c r="E107" s="5">
        <v>3.7845524493854352E-2</v>
      </c>
      <c r="F107" s="5">
        <f t="shared" si="3"/>
        <v>1.1050168128175273</v>
      </c>
      <c r="G107">
        <f t="shared" si="4"/>
        <v>-5.4109194951576267</v>
      </c>
      <c r="H107">
        <f t="shared" si="5"/>
        <v>-3.3741030993905059</v>
      </c>
    </row>
    <row r="108" spans="1:8" x14ac:dyDescent="0.2">
      <c r="A108" s="2">
        <v>2013</v>
      </c>
      <c r="B108" t="s">
        <v>84</v>
      </c>
      <c r="C108" s="5">
        <v>9.9079346121384831E-2</v>
      </c>
      <c r="D108" s="5">
        <v>8.1705250980954311E-2</v>
      </c>
      <c r="E108" s="5">
        <v>8.8158146396191628E-2</v>
      </c>
      <c r="F108" s="5">
        <f t="shared" si="3"/>
        <v>1.078977732003314</v>
      </c>
      <c r="G108">
        <f t="shared" si="4"/>
        <v>-3.5781729120821533</v>
      </c>
      <c r="H108">
        <f t="shared" si="5"/>
        <v>-2.5046370076887947</v>
      </c>
    </row>
    <row r="109" spans="1:8" x14ac:dyDescent="0.2">
      <c r="A109" s="2">
        <v>2013</v>
      </c>
      <c r="B109" t="s">
        <v>85</v>
      </c>
      <c r="C109" s="5">
        <v>9.9079346121384831E-2</v>
      </c>
      <c r="D109" s="5">
        <v>0.14031846246059729</v>
      </c>
      <c r="E109" s="5">
        <v>0.14665864980446508</v>
      </c>
      <c r="F109" s="5">
        <f t="shared" si="3"/>
        <v>1.0451842703567835</v>
      </c>
      <c r="G109">
        <f t="shared" si="4"/>
        <v>-2.8409206054872005</v>
      </c>
      <c r="H109">
        <f t="shared" si="5"/>
        <v>-1.9638407077971642</v>
      </c>
    </row>
    <row r="110" spans="1:8" x14ac:dyDescent="0.2">
      <c r="A110" s="2">
        <v>2013</v>
      </c>
      <c r="B110" t="s">
        <v>86</v>
      </c>
      <c r="C110" s="5">
        <v>9.9079346121384831E-2</v>
      </c>
      <c r="D110" s="5">
        <v>0.22770442187407208</v>
      </c>
      <c r="E110" s="5">
        <v>0.23077116342523843</v>
      </c>
      <c r="F110" s="5">
        <f t="shared" si="3"/>
        <v>1.0134680807949454</v>
      </c>
      <c r="G110">
        <f t="shared" si="4"/>
        <v>-2.4424717925522637</v>
      </c>
      <c r="H110">
        <f t="shared" si="5"/>
        <v>-1.4797068863641918</v>
      </c>
    </row>
    <row r="111" spans="1:8" x14ac:dyDescent="0.2">
      <c r="A111" s="2">
        <v>2013</v>
      </c>
      <c r="B111" t="s">
        <v>90</v>
      </c>
      <c r="C111" s="5">
        <v>9.9079346121384831E-2</v>
      </c>
      <c r="D111" s="5">
        <v>0.51602304235437269</v>
      </c>
      <c r="E111" s="5">
        <v>0.49656651588025053</v>
      </c>
      <c r="F111" s="5">
        <f t="shared" si="3"/>
        <v>0.96229523707826869</v>
      </c>
      <c r="G111">
        <f t="shared" si="4"/>
        <v>-2.0170427146521206</v>
      </c>
      <c r="H111">
        <f t="shared" si="5"/>
        <v>-0.66160385877208305</v>
      </c>
    </row>
    <row r="112" spans="1:8" x14ac:dyDescent="0.2">
      <c r="A112" s="2">
        <v>2014</v>
      </c>
      <c r="B112" t="s">
        <v>83</v>
      </c>
      <c r="C112" s="5">
        <v>9.9020035281864552E-2</v>
      </c>
      <c r="D112" s="5">
        <v>3.3910454600521077E-2</v>
      </c>
      <c r="E112" s="5">
        <v>3.7468447142783384E-2</v>
      </c>
      <c r="F112" s="5">
        <f t="shared" si="3"/>
        <v>1.1049231744067398</v>
      </c>
      <c r="G112">
        <f t="shared" si="4"/>
        <v>-5.406714196754737</v>
      </c>
      <c r="H112">
        <f t="shared" si="5"/>
        <v>-3.3840319168441799</v>
      </c>
    </row>
    <row r="113" spans="1:8" x14ac:dyDescent="0.2">
      <c r="A113" s="2">
        <v>2014</v>
      </c>
      <c r="B113" t="s">
        <v>84</v>
      </c>
      <c r="C113" s="5">
        <v>9.9020035281864552E-2</v>
      </c>
      <c r="D113" s="5">
        <v>8.126174603877645E-2</v>
      </c>
      <c r="E113" s="5">
        <v>8.7577609470774476E-2</v>
      </c>
      <c r="F113" s="5">
        <f t="shared" si="3"/>
        <v>1.077722467703121</v>
      </c>
      <c r="G113">
        <f t="shared" si="4"/>
        <v>-3.5406784704653163</v>
      </c>
      <c r="H113">
        <f t="shared" si="5"/>
        <v>-2.5100799015899438</v>
      </c>
    </row>
    <row r="114" spans="1:8" x14ac:dyDescent="0.2">
      <c r="A114" s="2">
        <v>2014</v>
      </c>
      <c r="B114" t="s">
        <v>85</v>
      </c>
      <c r="C114" s="5">
        <v>9.9020035281864552E-2</v>
      </c>
      <c r="D114" s="5">
        <v>0.13982587954587225</v>
      </c>
      <c r="E114" s="5">
        <v>0.14596018583652332</v>
      </c>
      <c r="F114" s="5">
        <f t="shared" si="3"/>
        <v>1.0438710366820085</v>
      </c>
      <c r="G114">
        <f t="shared" si="4"/>
        <v>-2.8218947680939537</v>
      </c>
      <c r="H114">
        <f t="shared" si="5"/>
        <v>-1.9673573479608366</v>
      </c>
    </row>
    <row r="115" spans="1:8" x14ac:dyDescent="0.2">
      <c r="A115" s="2">
        <v>2014</v>
      </c>
      <c r="B115" t="s">
        <v>86</v>
      </c>
      <c r="C115" s="5">
        <v>9.9020035281864552E-2</v>
      </c>
      <c r="D115" s="5">
        <v>0.22707073955873</v>
      </c>
      <c r="E115" s="5">
        <v>0.23030496895153288</v>
      </c>
      <c r="F115" s="5">
        <f t="shared" si="3"/>
        <v>1.0142432679749402</v>
      </c>
      <c r="G115">
        <f t="shared" si="4"/>
        <v>-2.4512343444169948</v>
      </c>
      <c r="H115">
        <f t="shared" si="5"/>
        <v>-1.4824936820346317</v>
      </c>
    </row>
    <row r="116" spans="1:8" x14ac:dyDescent="0.2">
      <c r="A116" s="2">
        <v>2014</v>
      </c>
      <c r="B116" t="s">
        <v>90</v>
      </c>
      <c r="C116" s="5">
        <v>9.9020035281864552E-2</v>
      </c>
      <c r="D116" s="5">
        <v>0.51793118017562079</v>
      </c>
      <c r="E116" s="5">
        <v>0.49868878850906162</v>
      </c>
      <c r="F116" s="5">
        <f t="shared" si="3"/>
        <v>0.96284758978975848</v>
      </c>
      <c r="G116">
        <f t="shared" si="4"/>
        <v>-2.0212208420968798</v>
      </c>
      <c r="H116">
        <f t="shared" si="5"/>
        <v>-0.65791290235272182</v>
      </c>
    </row>
    <row r="117" spans="1:8" x14ac:dyDescent="0.2">
      <c r="A117" s="2">
        <v>2015</v>
      </c>
      <c r="B117" t="s">
        <v>83</v>
      </c>
      <c r="C117" s="5">
        <v>0.1016477561347016</v>
      </c>
      <c r="D117" s="5">
        <v>3.37648993420624E-2</v>
      </c>
      <c r="E117" s="5">
        <v>3.7405699698746228E-2</v>
      </c>
      <c r="F117" s="5">
        <f t="shared" si="3"/>
        <v>1.107827964176642</v>
      </c>
      <c r="G117">
        <f t="shared" si="4"/>
        <v>-5.3432598040316632</v>
      </c>
      <c r="H117">
        <f t="shared" si="5"/>
        <v>-3.3883334970922379</v>
      </c>
    </row>
    <row r="118" spans="1:8" x14ac:dyDescent="0.2">
      <c r="A118" s="2">
        <v>2015</v>
      </c>
      <c r="B118" t="s">
        <v>84</v>
      </c>
      <c r="C118" s="5">
        <v>0.1016477561347016</v>
      </c>
      <c r="D118" s="5">
        <v>8.1058019135065995E-2</v>
      </c>
      <c r="E118" s="5">
        <v>8.7512392246691675E-2</v>
      </c>
      <c r="F118" s="5">
        <f t="shared" si="3"/>
        <v>1.0796265832856196</v>
      </c>
      <c r="G118">
        <f t="shared" si="4"/>
        <v>-3.5027306848252815</v>
      </c>
      <c r="H118">
        <f t="shared" si="5"/>
        <v>-2.5125900951017082</v>
      </c>
    </row>
    <row r="119" spans="1:8" x14ac:dyDescent="0.2">
      <c r="A119" s="2">
        <v>2015</v>
      </c>
      <c r="B119" t="s">
        <v>85</v>
      </c>
      <c r="C119" s="5">
        <v>0.1016477561347016</v>
      </c>
      <c r="D119" s="5">
        <v>0.13861519822243901</v>
      </c>
      <c r="E119" s="5">
        <v>0.14483218455636218</v>
      </c>
      <c r="F119" s="5">
        <f t="shared" si="3"/>
        <v>1.0448506831404347</v>
      </c>
      <c r="G119">
        <f t="shared" si="4"/>
        <v>-2.7910615911361649</v>
      </c>
      <c r="H119">
        <f t="shared" si="5"/>
        <v>-1.9760535429534827</v>
      </c>
    </row>
    <row r="120" spans="1:8" x14ac:dyDescent="0.2">
      <c r="A120" s="2">
        <v>2015</v>
      </c>
      <c r="B120" t="s">
        <v>86</v>
      </c>
      <c r="C120" s="5">
        <v>0.1016477561347016</v>
      </c>
      <c r="D120" s="5">
        <v>0.22410140369625839</v>
      </c>
      <c r="E120" s="5">
        <v>0.22756235149865728</v>
      </c>
      <c r="F120" s="5">
        <f t="shared" si="3"/>
        <v>1.0154436685594785</v>
      </c>
      <c r="G120">
        <f t="shared" si="4"/>
        <v>-2.4329910681903892</v>
      </c>
      <c r="H120">
        <f t="shared" si="5"/>
        <v>-1.495656634490016</v>
      </c>
    </row>
    <row r="121" spans="1:8" x14ac:dyDescent="0.2">
      <c r="A121" s="2">
        <v>2015</v>
      </c>
      <c r="B121" t="s">
        <v>90</v>
      </c>
      <c r="C121" s="5">
        <v>0.1016477561347016</v>
      </c>
      <c r="D121" s="5">
        <v>0.5224604796812371</v>
      </c>
      <c r="E121" s="5">
        <v>0.5026873721711077</v>
      </c>
      <c r="F121" s="5">
        <f t="shared" si="3"/>
        <v>0.96215386947125003</v>
      </c>
      <c r="G121">
        <f t="shared" si="4"/>
        <v>-1.997700001530837</v>
      </c>
      <c r="H121">
        <f t="shared" si="5"/>
        <v>-0.64920593497750001</v>
      </c>
    </row>
    <row r="122" spans="1:8" x14ac:dyDescent="0.2">
      <c r="A122" s="2">
        <v>2016</v>
      </c>
      <c r="B122" t="s">
        <v>83</v>
      </c>
      <c r="C122" s="5">
        <v>9.7788594305895066E-2</v>
      </c>
      <c r="D122" s="5">
        <v>3.4957340188478396E-2</v>
      </c>
      <c r="E122" s="5">
        <v>3.8563938908434396E-2</v>
      </c>
      <c r="F122" s="5">
        <f t="shared" si="3"/>
        <v>1.1031714283898721</v>
      </c>
      <c r="G122">
        <f t="shared" si="4"/>
        <v>-5.3588840799962281</v>
      </c>
      <c r="H122">
        <f t="shared" si="5"/>
        <v>-3.3536268126544146</v>
      </c>
    </row>
    <row r="123" spans="1:8" x14ac:dyDescent="0.2">
      <c r="A123" s="2">
        <v>2016</v>
      </c>
      <c r="B123" t="s">
        <v>84</v>
      </c>
      <c r="C123" s="5">
        <v>9.7788594305895066E-2</v>
      </c>
      <c r="D123" s="5">
        <v>8.3116455456250446E-2</v>
      </c>
      <c r="E123" s="5">
        <v>8.9375636092436136E-2</v>
      </c>
      <c r="F123" s="5">
        <f t="shared" si="3"/>
        <v>1.0753061545012623</v>
      </c>
      <c r="G123">
        <f t="shared" si="4"/>
        <v>-3.5116869351787168</v>
      </c>
      <c r="H123">
        <f t="shared" si="5"/>
        <v>-2.4875125767932817</v>
      </c>
    </row>
    <row r="124" spans="1:8" x14ac:dyDescent="0.2">
      <c r="A124" s="2">
        <v>2016</v>
      </c>
      <c r="B124" t="s">
        <v>85</v>
      </c>
      <c r="C124" s="5">
        <v>9.7788594305895066E-2</v>
      </c>
      <c r="D124" s="5">
        <v>0.14200178639101327</v>
      </c>
      <c r="E124" s="5">
        <v>0.14803304388857022</v>
      </c>
      <c r="F124" s="5">
        <f t="shared" si="3"/>
        <v>1.0424731100279923</v>
      </c>
      <c r="G124">
        <f t="shared" si="4"/>
        <v>-2.8223022965650633</v>
      </c>
      <c r="H124">
        <f t="shared" si="5"/>
        <v>-1.9519156412416032</v>
      </c>
    </row>
    <row r="125" spans="1:8" x14ac:dyDescent="0.2">
      <c r="A125" s="2">
        <v>2016</v>
      </c>
      <c r="B125" t="s">
        <v>86</v>
      </c>
      <c r="C125" s="5">
        <v>9.7788594305895066E-2</v>
      </c>
      <c r="D125" s="5">
        <v>0.2289988828168549</v>
      </c>
      <c r="E125" s="5">
        <v>0.23208212949796309</v>
      </c>
      <c r="F125" s="5">
        <f t="shared" si="3"/>
        <v>1.0134640249907858</v>
      </c>
      <c r="G125">
        <f t="shared" si="4"/>
        <v>-2.4575888336599205</v>
      </c>
      <c r="H125">
        <f t="shared" si="5"/>
        <v>-1.4740381539688154</v>
      </c>
    </row>
    <row r="126" spans="1:8" x14ac:dyDescent="0.2">
      <c r="A126" s="2">
        <v>2016</v>
      </c>
      <c r="B126" t="s">
        <v>90</v>
      </c>
      <c r="C126" s="5">
        <v>9.7788594305895066E-2</v>
      </c>
      <c r="D126" s="5">
        <v>0.51092553514740302</v>
      </c>
      <c r="E126" s="5">
        <v>0.49194525169824327</v>
      </c>
      <c r="F126" s="5">
        <f t="shared" si="3"/>
        <v>0.96285117469479398</v>
      </c>
      <c r="G126">
        <f t="shared" si="4"/>
        <v>-2.0302347922606443</v>
      </c>
      <c r="H126">
        <f t="shared" si="5"/>
        <v>-0.6715314231791647</v>
      </c>
    </row>
    <row r="127" spans="1:8" x14ac:dyDescent="0.2">
      <c r="A127" s="2">
        <v>2017</v>
      </c>
      <c r="B127" t="s">
        <v>83</v>
      </c>
      <c r="C127" s="5">
        <v>9.9481709415554356E-2</v>
      </c>
      <c r="D127" s="5">
        <v>3.4085906471175813E-2</v>
      </c>
      <c r="E127" s="5">
        <v>3.7661544803436246E-2</v>
      </c>
      <c r="F127" s="5">
        <f t="shared" si="3"/>
        <v>1.1049007845892</v>
      </c>
      <c r="G127">
        <f t="shared" si="4"/>
        <v>-5.2949960489705212</v>
      </c>
      <c r="H127">
        <f t="shared" si="5"/>
        <v>-3.3788712800901557</v>
      </c>
    </row>
    <row r="128" spans="1:8" x14ac:dyDescent="0.2">
      <c r="A128" s="2">
        <v>2017</v>
      </c>
      <c r="B128" t="s">
        <v>84</v>
      </c>
      <c r="C128" s="5">
        <v>9.9481709415554356E-2</v>
      </c>
      <c r="D128" s="5">
        <v>8.1504988472511544E-2</v>
      </c>
      <c r="E128" s="5">
        <v>8.7740825154061924E-2</v>
      </c>
      <c r="F128" s="5">
        <f t="shared" si="3"/>
        <v>1.0765086505552171</v>
      </c>
      <c r="G128">
        <f t="shared" si="4"/>
        <v>-3.4872694478556832</v>
      </c>
      <c r="H128">
        <f t="shared" si="5"/>
        <v>-2.5070910523567931</v>
      </c>
    </row>
    <row r="129" spans="1:8" x14ac:dyDescent="0.2">
      <c r="A129" s="2">
        <v>2017</v>
      </c>
      <c r="B129" t="s">
        <v>85</v>
      </c>
      <c r="C129" s="5">
        <v>9.9481709415554356E-2</v>
      </c>
      <c r="D129" s="5">
        <v>0.13983787514280954</v>
      </c>
      <c r="E129" s="5">
        <v>0.14595526394649463</v>
      </c>
      <c r="F129" s="5">
        <f t="shared" si="3"/>
        <v>1.0437462940382762</v>
      </c>
      <c r="G129">
        <f t="shared" si="4"/>
        <v>-2.8119555844986697</v>
      </c>
      <c r="H129">
        <f t="shared" si="5"/>
        <v>-1.9672715621073356</v>
      </c>
    </row>
    <row r="130" spans="1:8" x14ac:dyDescent="0.2">
      <c r="A130" s="2">
        <v>2017</v>
      </c>
      <c r="B130" t="s">
        <v>86</v>
      </c>
      <c r="C130" s="5">
        <v>9.9481709415554356E-2</v>
      </c>
      <c r="D130" s="5">
        <v>0.22590510679690151</v>
      </c>
      <c r="E130" s="5">
        <v>0.2292477188373381</v>
      </c>
      <c r="F130" s="5">
        <f t="shared" si="3"/>
        <v>1.0147965315518155</v>
      </c>
      <c r="G130">
        <f t="shared" si="4"/>
        <v>-2.4515821840495406</v>
      </c>
      <c r="H130">
        <f t="shared" si="5"/>
        <v>-1.4876402493143808</v>
      </c>
    </row>
    <row r="131" spans="1:8" x14ac:dyDescent="0.2">
      <c r="A131" s="2">
        <v>2017</v>
      </c>
      <c r="B131" t="s">
        <v>90</v>
      </c>
      <c r="C131" s="5">
        <v>9.9481709415554356E-2</v>
      </c>
      <c r="D131" s="5">
        <v>0.51866612311660154</v>
      </c>
      <c r="E131" s="5">
        <v>0.49939464725866911</v>
      </c>
      <c r="F131" s="5">
        <f t="shared" ref="F131:F156" si="6">E131/D131</f>
        <v>0.96284415927893563</v>
      </c>
      <c r="G131">
        <f t="shared" ref="G131:G156" si="7">LN(1-(1-C131)*F131)</f>
        <v>-2.0178481763572358</v>
      </c>
      <c r="H131">
        <f t="shared" ref="H131:H156" si="8">LN(D131)</f>
        <v>-0.65649491088816292</v>
      </c>
    </row>
    <row r="132" spans="1:8" x14ac:dyDescent="0.2">
      <c r="A132" s="2">
        <v>2018</v>
      </c>
      <c r="B132" t="s">
        <v>83</v>
      </c>
      <c r="C132" s="5">
        <v>0.10083448349419943</v>
      </c>
      <c r="D132" s="5">
        <v>3.4454287012461941E-2</v>
      </c>
      <c r="E132" s="5">
        <v>3.8122160105098689E-2</v>
      </c>
      <c r="F132" s="5">
        <f t="shared" si="6"/>
        <v>1.106456218098784</v>
      </c>
      <c r="G132">
        <f t="shared" si="7"/>
        <v>-5.2760231082671512</v>
      </c>
      <c r="H132">
        <f t="shared" si="8"/>
        <v>-3.3681218476837826</v>
      </c>
    </row>
    <row r="133" spans="1:8" x14ac:dyDescent="0.2">
      <c r="A133" s="2">
        <v>2018</v>
      </c>
      <c r="B133" t="s">
        <v>84</v>
      </c>
      <c r="C133" s="5">
        <v>0.10083448349419943</v>
      </c>
      <c r="D133" s="5">
        <v>8.1973783663065916E-2</v>
      </c>
      <c r="E133" s="5">
        <v>8.8220678307651304E-2</v>
      </c>
      <c r="F133" s="5">
        <f t="shared" si="6"/>
        <v>1.076206005937969</v>
      </c>
      <c r="G133">
        <f t="shared" si="7"/>
        <v>-3.4322958407192137</v>
      </c>
      <c r="H133">
        <f t="shared" si="8"/>
        <v>-2.5013557942625031</v>
      </c>
    </row>
    <row r="134" spans="1:8" x14ac:dyDescent="0.2">
      <c r="A134" s="2">
        <v>2018</v>
      </c>
      <c r="B134" t="s">
        <v>85</v>
      </c>
      <c r="C134" s="5">
        <v>0.10083448349419943</v>
      </c>
      <c r="D134" s="5">
        <v>0.14024634975281028</v>
      </c>
      <c r="E134" s="5">
        <v>0.14635504272575467</v>
      </c>
      <c r="F134" s="5">
        <f t="shared" si="6"/>
        <v>1.0435568767651437</v>
      </c>
      <c r="G134">
        <f t="shared" si="7"/>
        <v>-2.7859634967040519</v>
      </c>
      <c r="H134">
        <f t="shared" si="8"/>
        <v>-1.9643547616359625</v>
      </c>
    </row>
    <row r="135" spans="1:8" x14ac:dyDescent="0.2">
      <c r="A135" s="2">
        <v>2018</v>
      </c>
      <c r="B135" t="s">
        <v>86</v>
      </c>
      <c r="C135" s="5">
        <v>0.10083448349419943</v>
      </c>
      <c r="D135" s="5">
        <v>0.22633944904994927</v>
      </c>
      <c r="E135" s="5">
        <v>0.22975287132048414</v>
      </c>
      <c r="F135" s="5">
        <f t="shared" si="6"/>
        <v>1.0150809869197022</v>
      </c>
      <c r="G135">
        <f t="shared" si="7"/>
        <v>-2.4387006204650916</v>
      </c>
      <c r="H135">
        <f t="shared" si="8"/>
        <v>-1.4857194196173613</v>
      </c>
    </row>
    <row r="136" spans="1:8" x14ac:dyDescent="0.2">
      <c r="A136" s="2">
        <v>2018</v>
      </c>
      <c r="B136" t="s">
        <v>90</v>
      </c>
      <c r="C136" s="5">
        <v>0.10083448349419943</v>
      </c>
      <c r="D136" s="5">
        <v>0.51698613031377916</v>
      </c>
      <c r="E136" s="5">
        <v>0.49754924754101121</v>
      </c>
      <c r="F136" s="5">
        <f t="shared" si="6"/>
        <v>0.96240347345300936</v>
      </c>
      <c r="G136">
        <f t="shared" si="7"/>
        <v>-2.0051508501212192</v>
      </c>
      <c r="H136">
        <f t="shared" si="8"/>
        <v>-0.65973923207964003</v>
      </c>
    </row>
    <row r="137" spans="1:8" x14ac:dyDescent="0.2">
      <c r="A137" s="2">
        <v>2019</v>
      </c>
      <c r="B137" t="s">
        <v>83</v>
      </c>
      <c r="C137" s="5">
        <v>0.1005360944354334</v>
      </c>
      <c r="D137" s="5">
        <v>3.4315761966383682E-2</v>
      </c>
      <c r="E137" s="5">
        <v>3.7963934176224401E-2</v>
      </c>
      <c r="F137" s="5">
        <f t="shared" si="6"/>
        <v>1.106311852070035</v>
      </c>
      <c r="G137">
        <f t="shared" si="7"/>
        <v>-5.315988431236466</v>
      </c>
      <c r="H137">
        <f t="shared" si="8"/>
        <v>-3.3721504978153596</v>
      </c>
    </row>
    <row r="138" spans="1:8" x14ac:dyDescent="0.2">
      <c r="A138" s="2">
        <v>2019</v>
      </c>
      <c r="B138" t="s">
        <v>84</v>
      </c>
      <c r="C138" s="5">
        <v>0.1005360944354334</v>
      </c>
      <c r="D138" s="5">
        <v>8.1724107794260079E-2</v>
      </c>
      <c r="E138" s="5">
        <v>8.7949375403125488E-2</v>
      </c>
      <c r="F138" s="5">
        <f t="shared" si="6"/>
        <v>1.0761741887049716</v>
      </c>
      <c r="G138">
        <f t="shared" si="7"/>
        <v>-3.4413895383329383</v>
      </c>
      <c r="H138">
        <f t="shared" si="8"/>
        <v>-2.5044062436017205</v>
      </c>
    </row>
    <row r="139" spans="1:8" x14ac:dyDescent="0.2">
      <c r="A139" s="2">
        <v>2019</v>
      </c>
      <c r="B139" t="s">
        <v>85</v>
      </c>
      <c r="C139" s="5">
        <v>0.1005360944354334</v>
      </c>
      <c r="D139" s="5">
        <v>0.13978048364036422</v>
      </c>
      <c r="E139" s="5">
        <v>0.14589701531707563</v>
      </c>
      <c r="F139" s="5">
        <f t="shared" si="6"/>
        <v>1.043758123576453</v>
      </c>
      <c r="G139">
        <f t="shared" si="7"/>
        <v>-2.7939800262188541</v>
      </c>
      <c r="H139">
        <f t="shared" si="8"/>
        <v>-1.9676820609279493</v>
      </c>
    </row>
    <row r="140" spans="1:8" x14ac:dyDescent="0.2">
      <c r="A140" s="2">
        <v>2019</v>
      </c>
      <c r="B140" t="s">
        <v>86</v>
      </c>
      <c r="C140" s="5">
        <v>0.1005360944354334</v>
      </c>
      <c r="D140" s="5">
        <v>0.22615481928386985</v>
      </c>
      <c r="E140" s="5">
        <v>0.22960161840221394</v>
      </c>
      <c r="F140" s="5">
        <f t="shared" si="6"/>
        <v>1.0152408829016271</v>
      </c>
      <c r="G140">
        <f t="shared" si="7"/>
        <v>-2.443832228392997</v>
      </c>
      <c r="H140">
        <f t="shared" si="8"/>
        <v>-1.486535473164317</v>
      </c>
    </row>
    <row r="141" spans="1:8" x14ac:dyDescent="0.2">
      <c r="A141" s="2">
        <v>2019</v>
      </c>
      <c r="B141" t="s">
        <v>90</v>
      </c>
      <c r="C141" s="5">
        <v>0.1005360944354334</v>
      </c>
      <c r="D141" s="5">
        <v>0.51802482731512223</v>
      </c>
      <c r="E141" s="5">
        <v>0.49858805670136053</v>
      </c>
      <c r="F141" s="5">
        <f t="shared" si="6"/>
        <v>0.96247907515456199</v>
      </c>
      <c r="G141">
        <f t="shared" si="7"/>
        <v>-2.0077922716671002</v>
      </c>
      <c r="H141">
        <f t="shared" si="8"/>
        <v>-0.65773210869144783</v>
      </c>
    </row>
    <row r="142" spans="1:8" x14ac:dyDescent="0.2">
      <c r="A142" s="2">
        <v>2020</v>
      </c>
      <c r="B142" t="s">
        <v>83</v>
      </c>
      <c r="C142" s="5">
        <v>9.7835636868989995E-2</v>
      </c>
      <c r="D142" s="5">
        <v>4.0392891807580523E-2</v>
      </c>
      <c r="E142" s="5">
        <v>4.4373497247360512E-2</v>
      </c>
      <c r="F142" s="5">
        <f t="shared" si="6"/>
        <v>1.0985471765364654</v>
      </c>
      <c r="G142">
        <f t="shared" si="7"/>
        <v>-4.7183516377461077</v>
      </c>
      <c r="H142">
        <f t="shared" si="8"/>
        <v>-3.2091014548521506</v>
      </c>
    </row>
    <row r="143" spans="1:8" x14ac:dyDescent="0.2">
      <c r="A143" s="2">
        <v>2020</v>
      </c>
      <c r="B143" t="s">
        <v>84</v>
      </c>
      <c r="C143" s="5">
        <v>9.7835636868989995E-2</v>
      </c>
      <c r="D143" s="5">
        <v>8.6487550948471673E-2</v>
      </c>
      <c r="E143" s="5">
        <v>9.2479833227999936E-2</v>
      </c>
      <c r="F143" s="5">
        <f t="shared" si="6"/>
        <v>1.0692849111093272</v>
      </c>
      <c r="G143">
        <f t="shared" si="7"/>
        <v>-3.343043786881172</v>
      </c>
      <c r="H143">
        <f t="shared" si="8"/>
        <v>-2.4477547950725809</v>
      </c>
    </row>
    <row r="144" spans="1:8" x14ac:dyDescent="0.2">
      <c r="A144" s="2">
        <v>2020</v>
      </c>
      <c r="B144" t="s">
        <v>85</v>
      </c>
      <c r="C144" s="5">
        <v>9.7835636868989995E-2</v>
      </c>
      <c r="D144" s="5">
        <v>0.14215625092390208</v>
      </c>
      <c r="E144" s="5">
        <v>0.14804698903629801</v>
      </c>
      <c r="F144" s="5">
        <f t="shared" si="6"/>
        <v>1.0414384740319953</v>
      </c>
      <c r="G144">
        <f t="shared" si="7"/>
        <v>-2.80591682730874</v>
      </c>
      <c r="H144">
        <f t="shared" si="8"/>
        <v>-1.9508284677126584</v>
      </c>
    </row>
    <row r="145" spans="1:8" x14ac:dyDescent="0.2">
      <c r="A145" s="2">
        <v>2020</v>
      </c>
      <c r="B145" t="s">
        <v>86</v>
      </c>
      <c r="C145" s="5">
        <v>9.7835636868989995E-2</v>
      </c>
      <c r="D145" s="5">
        <v>0.22370408615712378</v>
      </c>
      <c r="E145" s="5">
        <v>0.22708856954863707</v>
      </c>
      <c r="F145" s="5">
        <f t="shared" si="6"/>
        <v>1.0151292873083066</v>
      </c>
      <c r="G145">
        <f t="shared" si="7"/>
        <v>-2.4747203109073284</v>
      </c>
      <c r="H145">
        <f t="shared" si="8"/>
        <v>-1.4974311444162951</v>
      </c>
    </row>
    <row r="146" spans="1:8" x14ac:dyDescent="0.2">
      <c r="A146" s="2">
        <v>2020</v>
      </c>
      <c r="B146" t="s">
        <v>90</v>
      </c>
      <c r="C146" s="5">
        <v>9.7835636868989995E-2</v>
      </c>
      <c r="D146" s="5">
        <v>0.50725922035008086</v>
      </c>
      <c r="E146" s="5">
        <v>0.48801111107800815</v>
      </c>
      <c r="F146" s="5">
        <f t="shared" si="6"/>
        <v>0.96205468821485629</v>
      </c>
      <c r="G146">
        <f t="shared" si="7"/>
        <v>-2.0244342115577867</v>
      </c>
      <c r="H146">
        <f t="shared" si="8"/>
        <v>-0.67873312330966362</v>
      </c>
    </row>
    <row r="147" spans="1:8" x14ac:dyDescent="0.2">
      <c r="A147" s="2">
        <v>2021</v>
      </c>
      <c r="B147" t="s">
        <v>83</v>
      </c>
      <c r="C147" s="5">
        <v>0.10110164346940383</v>
      </c>
      <c r="D147" s="5">
        <v>3.5281537121519435E-2</v>
      </c>
      <c r="E147" s="5">
        <v>3.8958921189767952E-2</v>
      </c>
      <c r="F147" s="5">
        <f t="shared" si="6"/>
        <v>1.1042297010921769</v>
      </c>
      <c r="G147">
        <f t="shared" si="7"/>
        <v>-4.9049604063024752</v>
      </c>
      <c r="H147">
        <f t="shared" si="8"/>
        <v>-3.3443954795885911</v>
      </c>
    </row>
    <row r="148" spans="1:8" x14ac:dyDescent="0.2">
      <c r="A148" s="2">
        <v>2021</v>
      </c>
      <c r="B148" t="s">
        <v>84</v>
      </c>
      <c r="C148" s="5">
        <v>0.10110164346940383</v>
      </c>
      <c r="D148" s="5">
        <v>8.1059271816019865E-2</v>
      </c>
      <c r="E148" s="5">
        <v>8.7037818336450648E-2</v>
      </c>
      <c r="F148" s="5">
        <f t="shared" si="6"/>
        <v>1.0737552458403559</v>
      </c>
      <c r="G148">
        <f t="shared" si="7"/>
        <v>-3.3580466837751755</v>
      </c>
      <c r="H148">
        <f t="shared" si="8"/>
        <v>-2.51257464109373</v>
      </c>
    </row>
    <row r="149" spans="1:8" x14ac:dyDescent="0.2">
      <c r="A149" s="2">
        <v>2021</v>
      </c>
      <c r="B149" t="s">
        <v>85</v>
      </c>
      <c r="C149" s="5">
        <v>0.10110164346940383</v>
      </c>
      <c r="D149" s="5">
        <v>0.13655850966713257</v>
      </c>
      <c r="E149" s="5">
        <v>0.1425504869361548</v>
      </c>
      <c r="F149" s="5">
        <f t="shared" si="6"/>
        <v>1.0438784612077852</v>
      </c>
      <c r="G149">
        <f t="shared" si="7"/>
        <v>-2.786130125752432</v>
      </c>
      <c r="H149">
        <f t="shared" si="8"/>
        <v>-1.9910021139479128</v>
      </c>
    </row>
    <row r="150" spans="1:8" x14ac:dyDescent="0.2">
      <c r="A150" s="2">
        <v>2021</v>
      </c>
      <c r="B150" t="s">
        <v>86</v>
      </c>
      <c r="C150" s="5">
        <v>0.10110164346940383</v>
      </c>
      <c r="D150" s="5">
        <v>0.21888964805521069</v>
      </c>
      <c r="E150" s="5">
        <v>0.22259414035398861</v>
      </c>
      <c r="F150" s="5">
        <f t="shared" si="6"/>
        <v>1.0169240177947727</v>
      </c>
      <c r="G150">
        <f t="shared" si="7"/>
        <v>-2.4547033365955899</v>
      </c>
      <c r="H150">
        <f t="shared" si="8"/>
        <v>-1.5191875663198005</v>
      </c>
    </row>
    <row r="151" spans="1:8" x14ac:dyDescent="0.2">
      <c r="A151" s="2">
        <v>2021</v>
      </c>
      <c r="B151" t="s">
        <v>90</v>
      </c>
      <c r="C151" s="5">
        <v>0.10110164346940383</v>
      </c>
      <c r="D151" s="5">
        <v>0.52821103328232988</v>
      </c>
      <c r="E151" s="5">
        <v>0.508858633183638</v>
      </c>
      <c r="F151" s="5">
        <f t="shared" si="6"/>
        <v>0.96336237056913576</v>
      </c>
      <c r="G151">
        <f t="shared" si="7"/>
        <v>-2.0096532122919397</v>
      </c>
      <c r="H151">
        <f t="shared" si="8"/>
        <v>-0.63825939088151085</v>
      </c>
    </row>
    <row r="152" spans="1:8" x14ac:dyDescent="0.2">
      <c r="A152" s="2">
        <v>2022</v>
      </c>
      <c r="B152" t="s">
        <v>83</v>
      </c>
      <c r="C152" s="5">
        <v>0.10184276975867532</v>
      </c>
      <c r="D152" s="5">
        <v>3.3013538827770118E-2</v>
      </c>
      <c r="E152" s="5">
        <v>3.6623179738177684E-2</v>
      </c>
      <c r="F152" s="5">
        <f t="shared" si="6"/>
        <v>1.1093381999802829</v>
      </c>
      <c r="G152">
        <f t="shared" si="7"/>
        <v>-5.6158059647338412</v>
      </c>
      <c r="H152">
        <f t="shared" si="8"/>
        <v>-3.4108375341441741</v>
      </c>
    </row>
    <row r="153" spans="1:8" x14ac:dyDescent="0.2">
      <c r="A153" s="2">
        <v>2022</v>
      </c>
      <c r="B153" t="s">
        <v>84</v>
      </c>
      <c r="C153" s="5">
        <v>0.10184276975867532</v>
      </c>
      <c r="D153" s="5">
        <v>8.007994377367128E-2</v>
      </c>
      <c r="E153" s="5">
        <v>8.6437457796771949E-2</v>
      </c>
      <c r="F153" s="5">
        <f t="shared" si="6"/>
        <v>1.0793895914945797</v>
      </c>
      <c r="G153">
        <f t="shared" si="7"/>
        <v>-3.4887692525456164</v>
      </c>
      <c r="H153">
        <f t="shared" si="8"/>
        <v>-2.5247298461024004</v>
      </c>
    </row>
    <row r="154" spans="1:8" x14ac:dyDescent="0.2">
      <c r="A154" s="2">
        <v>2022</v>
      </c>
      <c r="B154" t="s">
        <v>85</v>
      </c>
      <c r="C154" s="5">
        <v>0.10184276975867532</v>
      </c>
      <c r="D154" s="5">
        <v>0.13709585540471225</v>
      </c>
      <c r="E154" s="5">
        <v>0.14341021618715688</v>
      </c>
      <c r="F154" s="5">
        <f t="shared" si="6"/>
        <v>1.0460579990824987</v>
      </c>
      <c r="G154">
        <f t="shared" si="7"/>
        <v>-2.8055178662124693</v>
      </c>
      <c r="H154">
        <f t="shared" si="8"/>
        <v>-1.9870749233251412</v>
      </c>
    </row>
    <row r="155" spans="1:8" x14ac:dyDescent="0.2">
      <c r="A155" s="2">
        <v>2022</v>
      </c>
      <c r="B155" t="s">
        <v>86</v>
      </c>
      <c r="C155" s="5">
        <v>0.10184276975867532</v>
      </c>
      <c r="D155" s="5">
        <v>0.22291256052494476</v>
      </c>
      <c r="E155" s="5">
        <v>0.22683521563832887</v>
      </c>
      <c r="F155" s="5">
        <f t="shared" si="6"/>
        <v>1.0175972816612331</v>
      </c>
      <c r="G155">
        <f t="shared" si="7"/>
        <v>-2.4529703575464783</v>
      </c>
      <c r="H155">
        <f t="shared" si="8"/>
        <v>-1.5009756896846962</v>
      </c>
    </row>
    <row r="156" spans="1:8" x14ac:dyDescent="0.2">
      <c r="A156" s="2">
        <v>2022</v>
      </c>
      <c r="B156" t="s">
        <v>90</v>
      </c>
      <c r="C156" s="5">
        <v>0.10184276975867532</v>
      </c>
      <c r="D156" s="5">
        <v>0.52689810158016426</v>
      </c>
      <c r="E156" s="5">
        <v>0.50669393082538283</v>
      </c>
      <c r="F156" s="5">
        <f t="shared" si="6"/>
        <v>0.9616545007579469</v>
      </c>
      <c r="G156">
        <f t="shared" si="7"/>
        <v>-1.9930212535811473</v>
      </c>
      <c r="H156">
        <f t="shared" si="8"/>
        <v>-0.64074810477174748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E15F-C14E-5640-A652-69C96368774A}">
  <dimension ref="A1:I18"/>
  <sheetViews>
    <sheetView workbookViewId="0">
      <selection activeCell="H43" sqref="H43"/>
    </sheetView>
  </sheetViews>
  <sheetFormatPr baseColWidth="10" defaultRowHeight="16" x14ac:dyDescent="0.2"/>
  <cols>
    <col min="1" max="1" width="24.1640625" bestFit="1" customWidth="1"/>
    <col min="2" max="2" width="21.33203125" customWidth="1"/>
    <col min="3" max="3" width="13.33203125" bestFit="1" customWidth="1"/>
    <col min="4" max="4" width="12.83203125" bestFit="1" customWidth="1"/>
    <col min="5" max="5" width="12.1640625" bestFit="1" customWidth="1"/>
    <col min="6" max="6" width="13" bestFit="1" customWidth="1"/>
    <col min="7" max="9" width="12.83203125" bestFit="1" customWidth="1"/>
  </cols>
  <sheetData>
    <row r="1" spans="1:9" x14ac:dyDescent="0.2">
      <c r="A1" t="s">
        <v>114</v>
      </c>
    </row>
    <row r="2" spans="1:9" ht="17" thickBot="1" x14ac:dyDescent="0.25"/>
    <row r="3" spans="1:9" x14ac:dyDescent="0.2">
      <c r="A3" s="11" t="s">
        <v>115</v>
      </c>
      <c r="B3" s="11"/>
    </row>
    <row r="4" spans="1:9" x14ac:dyDescent="0.2">
      <c r="A4" t="s">
        <v>116</v>
      </c>
      <c r="B4">
        <v>0.94291007474159116</v>
      </c>
    </row>
    <row r="5" spans="1:9" x14ac:dyDescent="0.2">
      <c r="A5" t="s">
        <v>117</v>
      </c>
      <c r="B5">
        <v>0.88907940904919303</v>
      </c>
    </row>
    <row r="6" spans="1:9" x14ac:dyDescent="0.2">
      <c r="A6" t="s">
        <v>118</v>
      </c>
      <c r="B6">
        <v>0.88835443786650803</v>
      </c>
    </row>
    <row r="7" spans="1:9" x14ac:dyDescent="0.2">
      <c r="A7" t="s">
        <v>119</v>
      </c>
      <c r="B7">
        <v>0.36387168484615123</v>
      </c>
    </row>
    <row r="8" spans="1:9" ht="17" thickBot="1" x14ac:dyDescent="0.25">
      <c r="A8" s="9" t="s">
        <v>120</v>
      </c>
      <c r="B8" s="9">
        <v>155</v>
      </c>
    </row>
    <row r="10" spans="1:9" ht="17" thickBot="1" x14ac:dyDescent="0.25">
      <c r="A10" t="s">
        <v>121</v>
      </c>
    </row>
    <row r="11" spans="1:9" x14ac:dyDescent="0.2">
      <c r="A11" s="10"/>
      <c r="B11" s="10" t="s">
        <v>126</v>
      </c>
      <c r="C11" s="10" t="s">
        <v>127</v>
      </c>
      <c r="D11" s="10" t="s">
        <v>128</v>
      </c>
      <c r="E11" s="10" t="s">
        <v>51</v>
      </c>
      <c r="F11" s="10" t="s">
        <v>129</v>
      </c>
    </row>
    <row r="12" spans="1:9" x14ac:dyDescent="0.2">
      <c r="A12" t="s">
        <v>122</v>
      </c>
      <c r="B12">
        <v>1</v>
      </c>
      <c r="C12">
        <v>162.37394102339348</v>
      </c>
      <c r="D12">
        <v>162.37394102339348</v>
      </c>
      <c r="E12">
        <v>1226.3651718629517</v>
      </c>
      <c r="F12" s="8">
        <v>5.9909671192920507E-75</v>
      </c>
    </row>
    <row r="13" spans="1:9" x14ac:dyDescent="0.2">
      <c r="A13" t="s">
        <v>123</v>
      </c>
      <c r="B13">
        <v>153</v>
      </c>
      <c r="C13">
        <v>20.257598264014849</v>
      </c>
      <c r="D13">
        <v>0.13240260303277679</v>
      </c>
    </row>
    <row r="14" spans="1:9" ht="17" thickBot="1" x14ac:dyDescent="0.25">
      <c r="A14" s="9" t="s">
        <v>124</v>
      </c>
      <c r="B14" s="9">
        <v>154</v>
      </c>
      <c r="C14" s="9">
        <v>182.63153928740834</v>
      </c>
      <c r="D14" s="9"/>
      <c r="E14" s="9"/>
      <c r="F14" s="9"/>
    </row>
    <row r="15" spans="1:9" ht="17" thickBot="1" x14ac:dyDescent="0.25"/>
    <row r="16" spans="1:9" x14ac:dyDescent="0.2">
      <c r="A16" s="10"/>
      <c r="B16" s="10" t="s">
        <v>130</v>
      </c>
      <c r="C16" s="10" t="s">
        <v>119</v>
      </c>
      <c r="D16" s="10" t="s">
        <v>131</v>
      </c>
      <c r="E16" s="10" t="s">
        <v>132</v>
      </c>
      <c r="F16" s="10" t="s">
        <v>133</v>
      </c>
      <c r="G16" s="10" t="s">
        <v>134</v>
      </c>
      <c r="H16" s="10" t="s">
        <v>135</v>
      </c>
      <c r="I16" s="10" t="s">
        <v>136</v>
      </c>
    </row>
    <row r="17" spans="1:9" x14ac:dyDescent="0.2">
      <c r="A17" t="s">
        <v>125</v>
      </c>
      <c r="B17">
        <v>-0.83214498251693003</v>
      </c>
      <c r="C17">
        <v>7.0447882700299239E-2</v>
      </c>
      <c r="D17" s="8">
        <v>-11.812207132711958</v>
      </c>
      <c r="E17" s="8">
        <v>2.7144078627008612E-23</v>
      </c>
      <c r="F17">
        <v>-0.97132113729226688</v>
      </c>
      <c r="G17">
        <v>-0.69296882774159319</v>
      </c>
      <c r="H17">
        <v>-0.97132113729226688</v>
      </c>
      <c r="I17">
        <v>-0.69296882774159319</v>
      </c>
    </row>
    <row r="18" spans="1:9" ht="17" thickBot="1" x14ac:dyDescent="0.25">
      <c r="A18" s="9" t="s">
        <v>113</v>
      </c>
      <c r="B18" s="9">
        <v>1.1300205233349727</v>
      </c>
      <c r="C18" s="9">
        <v>3.22683253428213E-2</v>
      </c>
      <c r="D18" s="12">
        <v>35.01949702469971</v>
      </c>
      <c r="E18" s="12">
        <v>5.9909671192920507E-75</v>
      </c>
      <c r="F18" s="9">
        <v>1.0662715323062566</v>
      </c>
      <c r="G18" s="9">
        <v>1.1937695143636888</v>
      </c>
      <c r="H18" s="9">
        <v>1.0662715323062566</v>
      </c>
      <c r="I18" s="9">
        <v>1.1937695143636888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05B9-4218-AA49-8677-A305A3E0A68A}">
  <dimension ref="A1:I18"/>
  <sheetViews>
    <sheetView workbookViewId="0">
      <selection activeCell="G30" sqref="G30"/>
    </sheetView>
  </sheetViews>
  <sheetFormatPr baseColWidth="10" defaultRowHeight="16" x14ac:dyDescent="0.2"/>
  <cols>
    <col min="1" max="1" width="24.1640625" bestFit="1" customWidth="1"/>
    <col min="2" max="2" width="12.83203125" bestFit="1" customWidth="1"/>
    <col min="3" max="3" width="13.33203125" bestFit="1" customWidth="1"/>
    <col min="6" max="6" width="13" bestFit="1" customWidth="1"/>
  </cols>
  <sheetData>
    <row r="1" spans="1:9" x14ac:dyDescent="0.2">
      <c r="A1" t="s">
        <v>114</v>
      </c>
    </row>
    <row r="2" spans="1:9" ht="17" thickBot="1" x14ac:dyDescent="0.25"/>
    <row r="3" spans="1:9" x14ac:dyDescent="0.2">
      <c r="A3" s="11" t="s">
        <v>115</v>
      </c>
      <c r="B3" s="11"/>
    </row>
    <row r="4" spans="1:9" x14ac:dyDescent="0.2">
      <c r="A4" t="s">
        <v>116</v>
      </c>
      <c r="B4">
        <v>0.95143257895989186</v>
      </c>
    </row>
    <row r="5" spans="1:9" x14ac:dyDescent="0.2">
      <c r="A5" t="s">
        <v>117</v>
      </c>
      <c r="B5">
        <v>0.90522395230627084</v>
      </c>
    </row>
    <row r="6" spans="1:9" x14ac:dyDescent="0.2">
      <c r="A6" t="s">
        <v>118</v>
      </c>
      <c r="B6">
        <v>0.90392565028306904</v>
      </c>
    </row>
    <row r="7" spans="1:9" x14ac:dyDescent="0.2">
      <c r="A7" t="s">
        <v>119</v>
      </c>
      <c r="B7">
        <v>0.31212159243612153</v>
      </c>
    </row>
    <row r="8" spans="1:9" ht="17" thickBot="1" x14ac:dyDescent="0.25">
      <c r="A8" s="9" t="s">
        <v>120</v>
      </c>
      <c r="B8" s="9">
        <v>75</v>
      </c>
    </row>
    <row r="10" spans="1:9" ht="17" thickBot="1" x14ac:dyDescent="0.25">
      <c r="A10" t="s">
        <v>121</v>
      </c>
    </row>
    <row r="11" spans="1:9" x14ac:dyDescent="0.2">
      <c r="A11" s="10"/>
      <c r="B11" s="10" t="s">
        <v>126</v>
      </c>
      <c r="C11" s="10" t="s">
        <v>127</v>
      </c>
      <c r="D11" s="10" t="s">
        <v>128</v>
      </c>
      <c r="E11" s="10" t="s">
        <v>51</v>
      </c>
      <c r="F11" s="10" t="s">
        <v>129</v>
      </c>
    </row>
    <row r="12" spans="1:9" x14ac:dyDescent="0.2">
      <c r="A12" t="s">
        <v>122</v>
      </c>
      <c r="B12">
        <v>1</v>
      </c>
      <c r="C12">
        <v>67.924731605915269</v>
      </c>
      <c r="D12">
        <v>67.924731605915269</v>
      </c>
      <c r="E12">
        <v>697.2368032469667</v>
      </c>
      <c r="F12" s="8">
        <v>4.3582064372988209E-39</v>
      </c>
    </row>
    <row r="13" spans="1:9" x14ac:dyDescent="0.2">
      <c r="A13" t="s">
        <v>123</v>
      </c>
      <c r="B13">
        <v>73</v>
      </c>
      <c r="C13">
        <v>7.1116518579348051</v>
      </c>
      <c r="D13">
        <v>9.7419888464860341E-2</v>
      </c>
    </row>
    <row r="14" spans="1:9" ht="17" thickBot="1" x14ac:dyDescent="0.25">
      <c r="A14" s="9" t="s">
        <v>124</v>
      </c>
      <c r="B14" s="9">
        <v>74</v>
      </c>
      <c r="C14" s="9">
        <v>75.036383463850072</v>
      </c>
      <c r="D14" s="9"/>
      <c r="E14" s="9"/>
      <c r="F14" s="9"/>
    </row>
    <row r="15" spans="1:9" ht="17" thickBot="1" x14ac:dyDescent="0.25"/>
    <row r="16" spans="1:9" x14ac:dyDescent="0.2">
      <c r="A16" s="10"/>
      <c r="B16" s="10" t="s">
        <v>130</v>
      </c>
      <c r="C16" s="10" t="s">
        <v>119</v>
      </c>
      <c r="D16" s="10" t="s">
        <v>131</v>
      </c>
      <c r="E16" s="10" t="s">
        <v>132</v>
      </c>
      <c r="F16" s="10" t="s">
        <v>133</v>
      </c>
      <c r="G16" s="10" t="s">
        <v>134</v>
      </c>
      <c r="H16" s="10" t="s">
        <v>135</v>
      </c>
      <c r="I16" s="10" t="s">
        <v>136</v>
      </c>
    </row>
    <row r="17" spans="1:9" x14ac:dyDescent="0.2">
      <c r="A17" t="s">
        <v>125</v>
      </c>
      <c r="B17">
        <v>-0.8389070881663363</v>
      </c>
      <c r="C17">
        <v>8.7205215551080809E-2</v>
      </c>
      <c r="D17" s="8">
        <v>-9.6199187498704486</v>
      </c>
      <c r="E17" s="8">
        <v>1.2932231684367371E-14</v>
      </c>
      <c r="F17">
        <v>-1.0127068321222459</v>
      </c>
      <c r="G17">
        <v>-0.66510734421042683</v>
      </c>
      <c r="H17">
        <v>-1.0127068321222459</v>
      </c>
      <c r="I17">
        <v>-0.66510734421042683</v>
      </c>
    </row>
    <row r="18" spans="1:9" ht="17" thickBot="1" x14ac:dyDescent="0.25">
      <c r="A18" s="9" t="s">
        <v>113</v>
      </c>
      <c r="B18" s="9">
        <v>1.0606595755639687</v>
      </c>
      <c r="C18" s="9">
        <v>4.0168523240844065E-2</v>
      </c>
      <c r="D18" s="12">
        <v>26.405241965317543</v>
      </c>
      <c r="E18" s="12">
        <v>4.3582064372988209E-39</v>
      </c>
      <c r="F18" s="9">
        <v>0.9806038241937266</v>
      </c>
      <c r="G18" s="9">
        <v>1.140715326934211</v>
      </c>
      <c r="H18" s="9">
        <v>0.9806038241937266</v>
      </c>
      <c r="I18" s="9">
        <v>1.140715326934211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20195-B3A6-1744-88AC-12FCE313E422}">
  <dimension ref="A1:I18"/>
  <sheetViews>
    <sheetView tabSelected="1" workbookViewId="0">
      <selection activeCell="F3" sqref="F3"/>
    </sheetView>
  </sheetViews>
  <sheetFormatPr baseColWidth="10" defaultRowHeight="16" x14ac:dyDescent="0.2"/>
  <cols>
    <col min="1" max="1" width="24.1640625" bestFit="1" customWidth="1"/>
    <col min="2" max="2" width="12.83203125" bestFit="1" customWidth="1"/>
    <col min="3" max="3" width="13.33203125" bestFit="1" customWidth="1"/>
    <col min="4" max="4" width="12.83203125" bestFit="1" customWidth="1"/>
    <col min="6" max="6" width="13" bestFit="1" customWidth="1"/>
  </cols>
  <sheetData>
    <row r="1" spans="1:9" x14ac:dyDescent="0.2">
      <c r="A1" t="s">
        <v>114</v>
      </c>
    </row>
    <row r="2" spans="1:9" ht="17" thickBot="1" x14ac:dyDescent="0.25"/>
    <row r="3" spans="1:9" x14ac:dyDescent="0.2">
      <c r="A3" s="11" t="s">
        <v>115</v>
      </c>
      <c r="B3" s="11"/>
    </row>
    <row r="4" spans="1:9" x14ac:dyDescent="0.2">
      <c r="A4" t="s">
        <v>116</v>
      </c>
      <c r="B4">
        <v>0.9503148218032943</v>
      </c>
    </row>
    <row r="5" spans="1:9" x14ac:dyDescent="0.2">
      <c r="A5" t="s">
        <v>117</v>
      </c>
      <c r="B5">
        <v>0.90309826053902709</v>
      </c>
    </row>
    <row r="6" spans="1:9" x14ac:dyDescent="0.2">
      <c r="A6" t="s">
        <v>118</v>
      </c>
      <c r="B6">
        <v>0.90185593054593771</v>
      </c>
    </row>
    <row r="7" spans="1:9" x14ac:dyDescent="0.2">
      <c r="A7" t="s">
        <v>119</v>
      </c>
      <c r="B7">
        <v>0.36065586901623881</v>
      </c>
    </row>
    <row r="8" spans="1:9" ht="17" thickBot="1" x14ac:dyDescent="0.25">
      <c r="A8" s="9" t="s">
        <v>120</v>
      </c>
      <c r="B8" s="9">
        <v>80</v>
      </c>
    </row>
    <row r="10" spans="1:9" ht="17" thickBot="1" x14ac:dyDescent="0.25">
      <c r="A10" t="s">
        <v>121</v>
      </c>
    </row>
    <row r="11" spans="1:9" x14ac:dyDescent="0.2">
      <c r="A11" s="10"/>
      <c r="B11" s="10" t="s">
        <v>126</v>
      </c>
      <c r="C11" s="10" t="s">
        <v>127</v>
      </c>
      <c r="D11" s="10" t="s">
        <v>128</v>
      </c>
      <c r="E11" s="10" t="s">
        <v>51</v>
      </c>
      <c r="F11" s="10" t="s">
        <v>129</v>
      </c>
    </row>
    <row r="12" spans="1:9" x14ac:dyDescent="0.2">
      <c r="A12" t="s">
        <v>122</v>
      </c>
      <c r="B12">
        <v>1</v>
      </c>
      <c r="C12">
        <v>94.554900791696809</v>
      </c>
      <c r="D12">
        <v>94.554900791696809</v>
      </c>
      <c r="E12">
        <v>726.93911083417072</v>
      </c>
      <c r="F12" s="8">
        <v>2.7732183517349861E-41</v>
      </c>
    </row>
    <row r="13" spans="1:9" x14ac:dyDescent="0.2">
      <c r="A13" t="s">
        <v>123</v>
      </c>
      <c r="B13">
        <v>78</v>
      </c>
      <c r="C13">
        <v>10.145667156756957</v>
      </c>
      <c r="D13">
        <v>0.13007265585585842</v>
      </c>
    </row>
    <row r="14" spans="1:9" ht="17" thickBot="1" x14ac:dyDescent="0.25">
      <c r="A14" s="9" t="s">
        <v>124</v>
      </c>
      <c r="B14" s="9">
        <v>79</v>
      </c>
      <c r="C14" s="9">
        <v>104.70056794845377</v>
      </c>
      <c r="D14" s="9"/>
      <c r="E14" s="9"/>
      <c r="F14" s="9"/>
    </row>
    <row r="15" spans="1:9" ht="17" thickBot="1" x14ac:dyDescent="0.25"/>
    <row r="16" spans="1:9" x14ac:dyDescent="0.2">
      <c r="A16" s="10"/>
      <c r="B16" s="10" t="s">
        <v>130</v>
      </c>
      <c r="C16" s="10" t="s">
        <v>119</v>
      </c>
      <c r="D16" s="10" t="s">
        <v>131</v>
      </c>
      <c r="E16" s="10" t="s">
        <v>132</v>
      </c>
      <c r="F16" s="10" t="s">
        <v>133</v>
      </c>
      <c r="G16" s="10" t="s">
        <v>134</v>
      </c>
      <c r="H16" s="10" t="s">
        <v>135</v>
      </c>
      <c r="I16" s="10" t="s">
        <v>136</v>
      </c>
    </row>
    <row r="17" spans="1:9" x14ac:dyDescent="0.2">
      <c r="A17" t="s">
        <v>125</v>
      </c>
      <c r="B17">
        <v>-0.83459884857983235</v>
      </c>
      <c r="C17">
        <v>9.6863747019961463E-2</v>
      </c>
      <c r="D17" s="8">
        <v>-8.6162147785573495</v>
      </c>
      <c r="E17" s="8">
        <v>5.9989654279398058E-13</v>
      </c>
      <c r="F17">
        <v>-1.0274397554086399</v>
      </c>
      <c r="G17">
        <v>-0.64175794175102485</v>
      </c>
      <c r="H17">
        <v>-1.0274397554086399</v>
      </c>
      <c r="I17">
        <v>-0.64175794175102485</v>
      </c>
    </row>
    <row r="18" spans="1:9" ht="17" thickBot="1" x14ac:dyDescent="0.25">
      <c r="A18" s="9" t="s">
        <v>113</v>
      </c>
      <c r="B18" s="9">
        <v>1.1900372548652685</v>
      </c>
      <c r="C18" s="9">
        <v>4.4137887130072946E-2</v>
      </c>
      <c r="D18" s="12">
        <v>26.961808374702365</v>
      </c>
      <c r="E18" s="12">
        <v>2.7732183517349861E-41</v>
      </c>
      <c r="F18" s="9">
        <v>1.1021654716488214</v>
      </c>
      <c r="G18" s="9">
        <v>1.2779090380817155</v>
      </c>
      <c r="H18" s="9">
        <v>1.1021654716488214</v>
      </c>
      <c r="I18" s="9">
        <v>1.2779090380817155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4F3D-07D7-A841-9AE8-A51CBE92A3CB}">
  <dimension ref="A1:C156"/>
  <sheetViews>
    <sheetView workbookViewId="0">
      <selection activeCell="M24" sqref="M24"/>
    </sheetView>
  </sheetViews>
  <sheetFormatPr baseColWidth="10" defaultRowHeight="16" x14ac:dyDescent="0.2"/>
  <cols>
    <col min="1" max="1" width="23.6640625" customWidth="1"/>
    <col min="2" max="2" width="17.1640625" customWidth="1"/>
    <col min="3" max="3" width="24.1640625" bestFit="1" customWidth="1"/>
  </cols>
  <sheetData>
    <row r="1" spans="1:3" x14ac:dyDescent="0.2">
      <c r="A1" t="s">
        <v>89</v>
      </c>
      <c r="B1" t="s">
        <v>112</v>
      </c>
      <c r="C1" t="s">
        <v>113</v>
      </c>
    </row>
    <row r="2" spans="1:3" x14ac:dyDescent="0.2">
      <c r="A2" s="2">
        <v>1992</v>
      </c>
      <c r="B2">
        <v>-4.5964193788250114</v>
      </c>
      <c r="C2">
        <v>-3.233899038700959</v>
      </c>
    </row>
    <row r="3" spans="1:3" x14ac:dyDescent="0.2">
      <c r="A3" s="2">
        <v>1992</v>
      </c>
      <c r="B3">
        <v>-3.1166564632533653</v>
      </c>
      <c r="C3">
        <v>-2.4113611519455969</v>
      </c>
    </row>
    <row r="4" spans="1:3" x14ac:dyDescent="0.2">
      <c r="A4" s="2">
        <v>1992</v>
      </c>
      <c r="B4">
        <v>-2.5029060650686157</v>
      </c>
      <c r="C4">
        <v>-1.8726919642643221</v>
      </c>
    </row>
    <row r="5" spans="1:3" x14ac:dyDescent="0.2">
      <c r="A5" s="2">
        <v>1992</v>
      </c>
      <c r="B5">
        <v>-2.1939320335802899</v>
      </c>
      <c r="C5">
        <v>-1.4305379043933888</v>
      </c>
    </row>
    <row r="6" spans="1:3" x14ac:dyDescent="0.2">
      <c r="A6" s="2">
        <v>1992</v>
      </c>
      <c r="B6">
        <v>-1.9272189472640382</v>
      </c>
      <c r="C6">
        <v>-0.73811576917129551</v>
      </c>
    </row>
    <row r="7" spans="1:3" x14ac:dyDescent="0.2">
      <c r="A7" s="2">
        <v>1993</v>
      </c>
      <c r="B7">
        <v>-4.7573622197261756</v>
      </c>
      <c r="C7">
        <v>-3.2946829469101169</v>
      </c>
    </row>
    <row r="8" spans="1:3" x14ac:dyDescent="0.2">
      <c r="A8" s="2">
        <v>1993</v>
      </c>
      <c r="B8">
        <v>-3.2201160862795204</v>
      </c>
      <c r="C8">
        <v>-2.4420046518905516</v>
      </c>
    </row>
    <row r="9" spans="1:3" x14ac:dyDescent="0.2">
      <c r="A9" s="2">
        <v>1993</v>
      </c>
      <c r="B9">
        <v>-2.5501249548781959</v>
      </c>
      <c r="C9">
        <v>-1.8925311394259106</v>
      </c>
    </row>
    <row r="10" spans="1:3" x14ac:dyDescent="0.2">
      <c r="A10" s="2">
        <v>1993</v>
      </c>
      <c r="B10">
        <v>-2.2249003841393775</v>
      </c>
      <c r="C10">
        <v>-1.4376993342743145</v>
      </c>
    </row>
    <row r="11" spans="1:3" x14ac:dyDescent="0.2">
      <c r="A11" s="2">
        <v>1993</v>
      </c>
      <c r="B11">
        <v>-1.9632230373848101</v>
      </c>
      <c r="C11">
        <v>-0.71791024046592944</v>
      </c>
    </row>
    <row r="12" spans="1:3" x14ac:dyDescent="0.2">
      <c r="A12" s="2">
        <v>1994</v>
      </c>
      <c r="B12">
        <v>-4.757034360893603</v>
      </c>
      <c r="C12">
        <v>-3.3704245966799848</v>
      </c>
    </row>
    <row r="13" spans="1:3" x14ac:dyDescent="0.2">
      <c r="A13" s="2">
        <v>1994</v>
      </c>
      <c r="B13">
        <v>-3.2113175858617828</v>
      </c>
      <c r="C13">
        <v>-2.5079097642237751</v>
      </c>
    </row>
    <row r="14" spans="1:3" x14ac:dyDescent="0.2">
      <c r="A14" s="2">
        <v>1994</v>
      </c>
      <c r="B14">
        <v>-2.5315387968120229</v>
      </c>
      <c r="C14">
        <v>-1.9437969424237007</v>
      </c>
    </row>
    <row r="15" spans="1:3" x14ac:dyDescent="0.2">
      <c r="A15" s="2">
        <v>1994</v>
      </c>
      <c r="B15">
        <v>-2.2193146249232973</v>
      </c>
      <c r="C15">
        <v>-1.4682298670093941</v>
      </c>
    </row>
    <row r="16" spans="1:3" x14ac:dyDescent="0.2">
      <c r="A16" s="2">
        <v>1994</v>
      </c>
      <c r="B16">
        <v>-2.103669186654987</v>
      </c>
      <c r="C16">
        <v>-0.67198375099074936</v>
      </c>
    </row>
    <row r="17" spans="1:3" x14ac:dyDescent="0.2">
      <c r="A17" s="2">
        <v>1995</v>
      </c>
      <c r="B17">
        <v>-4.7201155105637325</v>
      </c>
      <c r="C17">
        <v>-3.2899233974588014</v>
      </c>
    </row>
    <row r="18" spans="1:3" x14ac:dyDescent="0.2">
      <c r="A18" s="2">
        <v>1995</v>
      </c>
      <c r="B18">
        <v>-3.2188675487941425</v>
      </c>
      <c r="C18">
        <v>-2.4391766665009809</v>
      </c>
    </row>
    <row r="19" spans="1:3" x14ac:dyDescent="0.2">
      <c r="A19" s="2">
        <v>1995</v>
      </c>
      <c r="B19">
        <v>-2.5328219513351171</v>
      </c>
      <c r="C19">
        <v>-1.888553492410574</v>
      </c>
    </row>
    <row r="20" spans="1:3" x14ac:dyDescent="0.2">
      <c r="A20" s="2">
        <v>1995</v>
      </c>
      <c r="B20">
        <v>-2.2064281267214674</v>
      </c>
      <c r="C20">
        <v>-1.4302838218628862</v>
      </c>
    </row>
    <row r="21" spans="1:3" x14ac:dyDescent="0.2">
      <c r="A21" s="2">
        <v>1995</v>
      </c>
      <c r="B21">
        <v>-1.903972991848552</v>
      </c>
      <c r="C21">
        <v>-0.72364938064802298</v>
      </c>
    </row>
    <row r="22" spans="1:3" x14ac:dyDescent="0.2">
      <c r="A22" s="2">
        <v>1996</v>
      </c>
      <c r="B22">
        <v>-4.7153497859234239</v>
      </c>
      <c r="C22">
        <v>-3.3204905954288106</v>
      </c>
    </row>
    <row r="23" spans="1:3" x14ac:dyDescent="0.2">
      <c r="A23" s="2">
        <v>1996</v>
      </c>
      <c r="B23">
        <v>-3.2118477120301363</v>
      </c>
      <c r="C23">
        <v>-2.4552049356395802</v>
      </c>
    </row>
    <row r="24" spans="1:3" x14ac:dyDescent="0.2">
      <c r="A24" s="2">
        <v>1996</v>
      </c>
      <c r="B24">
        <v>-2.5257787461691543</v>
      </c>
      <c r="C24">
        <v>-1.896846229508627</v>
      </c>
    </row>
    <row r="25" spans="1:3" x14ac:dyDescent="0.2">
      <c r="A25" s="2">
        <v>1996</v>
      </c>
      <c r="B25">
        <v>-2.2014468141585941</v>
      </c>
      <c r="C25">
        <v>-1.4357670653420171</v>
      </c>
    </row>
    <row r="26" spans="1:3" x14ac:dyDescent="0.2">
      <c r="A26" s="2">
        <v>1996</v>
      </c>
      <c r="B26">
        <v>-1.8864913861204389</v>
      </c>
      <c r="C26">
        <v>-0.71325714409448371</v>
      </c>
    </row>
    <row r="27" spans="1:3" x14ac:dyDescent="0.2">
      <c r="A27" s="2">
        <v>1997</v>
      </c>
      <c r="B27">
        <v>-4.7122584775015657</v>
      </c>
      <c r="C27">
        <v>-3.3399754845139613</v>
      </c>
    </row>
    <row r="28" spans="1:3" x14ac:dyDescent="0.2">
      <c r="A28" s="2">
        <v>1997</v>
      </c>
      <c r="B28">
        <v>-3.1715467293767312</v>
      </c>
      <c r="C28">
        <v>-2.473485581190749</v>
      </c>
    </row>
    <row r="29" spans="1:3" x14ac:dyDescent="0.2">
      <c r="A29" s="2">
        <v>1997</v>
      </c>
      <c r="B29">
        <v>-2.5024885450195331</v>
      </c>
      <c r="C29">
        <v>-1.9131539868850194</v>
      </c>
    </row>
    <row r="30" spans="1:3" x14ac:dyDescent="0.2">
      <c r="A30" s="2">
        <v>1997</v>
      </c>
      <c r="B30">
        <v>-2.1820325148715791</v>
      </c>
      <c r="C30">
        <v>-1.4485140661599809</v>
      </c>
    </row>
    <row r="31" spans="1:3" x14ac:dyDescent="0.2">
      <c r="A31" s="2">
        <v>1997</v>
      </c>
      <c r="B31">
        <v>-1.8589530452911791</v>
      </c>
      <c r="C31">
        <v>-0.69768054748187913</v>
      </c>
    </row>
    <row r="32" spans="1:3" x14ac:dyDescent="0.2">
      <c r="A32" s="2">
        <v>1998</v>
      </c>
      <c r="B32">
        <v>-4.7313432772503381</v>
      </c>
      <c r="C32">
        <v>-3.3280850798117396</v>
      </c>
    </row>
    <row r="33" spans="1:3" x14ac:dyDescent="0.2">
      <c r="A33" s="2">
        <v>1998</v>
      </c>
      <c r="B33">
        <v>-3.1655009587459784</v>
      </c>
      <c r="C33">
        <v>-2.4680260677373469</v>
      </c>
    </row>
    <row r="34" spans="1:3" x14ac:dyDescent="0.2">
      <c r="A34" s="2">
        <v>1998</v>
      </c>
      <c r="B34">
        <v>-2.4967143806991103</v>
      </c>
      <c r="C34">
        <v>-1.9222640594254339</v>
      </c>
    </row>
    <row r="35" spans="1:3" x14ac:dyDescent="0.2">
      <c r="A35" s="2">
        <v>1998</v>
      </c>
      <c r="B35">
        <v>-2.1774329408590463</v>
      </c>
      <c r="C35">
        <v>-1.4592395666209306</v>
      </c>
    </row>
    <row r="36" spans="1:3" x14ac:dyDescent="0.2">
      <c r="A36" s="2">
        <v>1998</v>
      </c>
      <c r="B36">
        <v>-1.8434830762201058</v>
      </c>
      <c r="C36">
        <v>-0.69175225995172795</v>
      </c>
    </row>
    <row r="37" spans="1:3" x14ac:dyDescent="0.2">
      <c r="A37" s="2">
        <v>1999</v>
      </c>
      <c r="B37">
        <v>-4.7599694313137393</v>
      </c>
      <c r="C37">
        <v>-3.3432762004999628</v>
      </c>
    </row>
    <row r="38" spans="1:3" x14ac:dyDescent="0.2">
      <c r="A38" s="2">
        <v>1999</v>
      </c>
      <c r="B38">
        <v>-3.172676473935053</v>
      </c>
      <c r="C38">
        <v>-2.4718679049871697</v>
      </c>
    </row>
    <row r="39" spans="1:3" x14ac:dyDescent="0.2">
      <c r="A39" s="2">
        <v>1999</v>
      </c>
      <c r="B39">
        <v>-2.5051501580775293</v>
      </c>
      <c r="C39">
        <v>-1.9260336284897339</v>
      </c>
    </row>
    <row r="40" spans="1:3" x14ac:dyDescent="0.2">
      <c r="A40" s="2">
        <v>1999</v>
      </c>
      <c r="B40">
        <v>-2.1911912070852013</v>
      </c>
      <c r="C40">
        <v>-1.4639061880132613</v>
      </c>
    </row>
    <row r="41" spans="1:3" x14ac:dyDescent="0.2">
      <c r="A41" s="2">
        <v>1999</v>
      </c>
      <c r="B41">
        <v>-1.8488321762109321</v>
      </c>
      <c r="C41">
        <v>-0.68677551847201823</v>
      </c>
    </row>
    <row r="42" spans="1:3" x14ac:dyDescent="0.2">
      <c r="A42" s="2">
        <v>2000</v>
      </c>
      <c r="B42">
        <v>-4.742369789838345</v>
      </c>
      <c r="C42">
        <v>-3.381453795244926</v>
      </c>
    </row>
    <row r="43" spans="1:3" x14ac:dyDescent="0.2">
      <c r="A43" s="2">
        <v>2000</v>
      </c>
      <c r="B43">
        <v>-3.1623439796103066</v>
      </c>
      <c r="C43">
        <v>-2.5014439088065341</v>
      </c>
    </row>
    <row r="44" spans="1:3" x14ac:dyDescent="0.2">
      <c r="A44" s="2">
        <v>2000</v>
      </c>
      <c r="B44">
        <v>-2.5038776551505513</v>
      </c>
      <c r="C44">
        <v>-1.9514702460024869</v>
      </c>
    </row>
    <row r="45" spans="1:3" x14ac:dyDescent="0.2">
      <c r="A45" s="2">
        <v>2000</v>
      </c>
      <c r="B45">
        <v>-2.2003314109111116</v>
      </c>
      <c r="C45">
        <v>-1.482242457578516</v>
      </c>
    </row>
    <row r="46" spans="1:3" x14ac:dyDescent="0.2">
      <c r="A46" s="2">
        <v>2000</v>
      </c>
      <c r="B46">
        <v>-1.8626654684533235</v>
      </c>
      <c r="C46">
        <v>-0.6638940430253637</v>
      </c>
    </row>
    <row r="47" spans="1:3" x14ac:dyDescent="0.2">
      <c r="A47" s="2">
        <v>2001</v>
      </c>
      <c r="B47">
        <v>-4.6467359555663981</v>
      </c>
      <c r="C47">
        <v>-3.3222503589514449</v>
      </c>
    </row>
    <row r="48" spans="1:3" x14ac:dyDescent="0.2">
      <c r="A48" s="2">
        <v>2001</v>
      </c>
      <c r="B48">
        <v>-3.1625709321725957</v>
      </c>
      <c r="C48">
        <v>-2.462881385263894</v>
      </c>
    </row>
    <row r="49" spans="1:3" x14ac:dyDescent="0.2">
      <c r="A49" s="2">
        <v>2001</v>
      </c>
      <c r="B49">
        <v>-2.5596970363370697</v>
      </c>
      <c r="C49">
        <v>-1.9314758875551068</v>
      </c>
    </row>
    <row r="50" spans="1:3" x14ac:dyDescent="0.2">
      <c r="A50" s="2">
        <v>2001</v>
      </c>
      <c r="B50">
        <v>-2.2877252664816896</v>
      </c>
      <c r="C50">
        <v>-1.476387458276871</v>
      </c>
    </row>
    <row r="51" spans="1:3" x14ac:dyDescent="0.2">
      <c r="A51" s="2">
        <v>2001</v>
      </c>
      <c r="B51">
        <v>-1.945514302809672</v>
      </c>
      <c r="C51">
        <v>-0.68251660772228706</v>
      </c>
    </row>
    <row r="52" spans="1:3" x14ac:dyDescent="0.2">
      <c r="A52" s="2">
        <v>2002</v>
      </c>
      <c r="B52">
        <v>-4.7562164810803873</v>
      </c>
      <c r="C52">
        <v>-3.3309654027295856</v>
      </c>
    </row>
    <row r="53" spans="1:3" x14ac:dyDescent="0.2">
      <c r="A53" s="2">
        <v>2002</v>
      </c>
      <c r="B53">
        <v>-3.1964814954864953</v>
      </c>
      <c r="C53">
        <v>-2.4648742848903646</v>
      </c>
    </row>
    <row r="54" spans="1:3" x14ac:dyDescent="0.2">
      <c r="A54" s="2">
        <v>2002</v>
      </c>
      <c r="B54">
        <v>-2.5725869190309396</v>
      </c>
      <c r="C54">
        <v>-1.9279535530199829</v>
      </c>
    </row>
    <row r="55" spans="1:3" x14ac:dyDescent="0.2">
      <c r="A55" s="2">
        <v>2002</v>
      </c>
      <c r="B55">
        <v>-2.2902259305922561</v>
      </c>
      <c r="C55">
        <v>-1.4674627257310384</v>
      </c>
    </row>
    <row r="56" spans="1:3" x14ac:dyDescent="0.2">
      <c r="A56" s="2">
        <v>2002</v>
      </c>
      <c r="B56">
        <v>-1.9476685912604994</v>
      </c>
      <c r="C56">
        <v>-0.68663492599322684</v>
      </c>
    </row>
    <row r="57" spans="1:3" x14ac:dyDescent="0.2">
      <c r="A57" s="2">
        <v>2003</v>
      </c>
      <c r="B57">
        <v>-4.7583182863172171</v>
      </c>
      <c r="C57">
        <v>-3.3479637602145806</v>
      </c>
    </row>
    <row r="58" spans="1:3" x14ac:dyDescent="0.2">
      <c r="A58" s="2">
        <v>2003</v>
      </c>
      <c r="B58">
        <v>-3.1990061179993297</v>
      </c>
      <c r="C58">
        <v>-2.4715674039075211</v>
      </c>
    </row>
    <row r="59" spans="1:3" x14ac:dyDescent="0.2">
      <c r="A59" s="2">
        <v>2003</v>
      </c>
      <c r="B59">
        <v>-2.5730375769974891</v>
      </c>
      <c r="C59">
        <v>-1.9314217305868659</v>
      </c>
    </row>
    <row r="60" spans="1:3" x14ac:dyDescent="0.2">
      <c r="A60" s="2">
        <v>2003</v>
      </c>
      <c r="B60">
        <v>-2.288440039322293</v>
      </c>
      <c r="C60">
        <v>-1.4670825331496604</v>
      </c>
    </row>
    <row r="61" spans="1:3" x14ac:dyDescent="0.2">
      <c r="A61" s="2">
        <v>2003</v>
      </c>
      <c r="B61">
        <v>-1.9494725857772175</v>
      </c>
      <c r="C61">
        <v>-0.68348897058642388</v>
      </c>
    </row>
    <row r="62" spans="1:3" x14ac:dyDescent="0.2">
      <c r="A62" s="2">
        <v>2004</v>
      </c>
      <c r="B62">
        <v>-4.7492137966249137</v>
      </c>
      <c r="C62">
        <v>-3.367009547059618</v>
      </c>
    </row>
    <row r="63" spans="1:3" x14ac:dyDescent="0.2">
      <c r="A63" s="2">
        <v>2004</v>
      </c>
      <c r="B63">
        <v>-3.1983138676476557</v>
      </c>
      <c r="C63">
        <v>-2.485014213166564</v>
      </c>
    </row>
    <row r="64" spans="1:3" x14ac:dyDescent="0.2">
      <c r="A64" s="2">
        <v>2004</v>
      </c>
      <c r="B64">
        <v>-2.5897126041726559</v>
      </c>
      <c r="C64">
        <v>-1.942826507511596</v>
      </c>
    </row>
    <row r="65" spans="1:3" x14ac:dyDescent="0.2">
      <c r="A65" s="2">
        <v>2004</v>
      </c>
      <c r="B65">
        <v>-2.303962138006828</v>
      </c>
      <c r="C65">
        <v>-1.4759751679423858</v>
      </c>
    </row>
    <row r="66" spans="1:3" x14ac:dyDescent="0.2">
      <c r="A66" s="2">
        <v>2004</v>
      </c>
      <c r="B66">
        <v>-1.9637044244965529</v>
      </c>
      <c r="C66">
        <v>-0.67269982613959711</v>
      </c>
    </row>
    <row r="67" spans="1:3" x14ac:dyDescent="0.2">
      <c r="A67" s="2">
        <v>2005</v>
      </c>
      <c r="B67">
        <v>-4.8900401202872636</v>
      </c>
      <c r="C67">
        <v>-3.3932024388397157</v>
      </c>
    </row>
    <row r="68" spans="1:3" x14ac:dyDescent="0.2">
      <c r="A68" s="2">
        <v>2005</v>
      </c>
      <c r="B68">
        <v>-3.306435853296549</v>
      </c>
      <c r="C68">
        <v>-2.5045022688305281</v>
      </c>
    </row>
    <row r="69" spans="1:3" x14ac:dyDescent="0.2">
      <c r="A69" s="2">
        <v>2005</v>
      </c>
      <c r="B69">
        <v>-2.6678405522032373</v>
      </c>
      <c r="C69">
        <v>-1.9582230323617553</v>
      </c>
    </row>
    <row r="70" spans="1:3" x14ac:dyDescent="0.2">
      <c r="A70" s="2">
        <v>2005</v>
      </c>
      <c r="B70">
        <v>-2.3562021737165519</v>
      </c>
      <c r="C70">
        <v>-1.4870524873861082</v>
      </c>
    </row>
    <row r="71" spans="1:3" x14ac:dyDescent="0.2">
      <c r="A71" s="2">
        <v>2005</v>
      </c>
      <c r="B71">
        <v>-1.9812753698107197</v>
      </c>
      <c r="C71">
        <v>-0.65867624633224753</v>
      </c>
    </row>
    <row r="72" spans="1:3" x14ac:dyDescent="0.2">
      <c r="A72" s="2">
        <v>2006</v>
      </c>
      <c r="B72">
        <v>-4.9013048731297006</v>
      </c>
      <c r="C72">
        <v>-3.393045270905183</v>
      </c>
    </row>
    <row r="73" spans="1:3" x14ac:dyDescent="0.2">
      <c r="A73" s="2">
        <v>2006</v>
      </c>
      <c r="B73">
        <v>-3.3404475218270862</v>
      </c>
      <c r="C73">
        <v>-2.5135668020780209</v>
      </c>
    </row>
    <row r="74" spans="1:3" x14ac:dyDescent="0.2">
      <c r="A74" s="2">
        <v>2006</v>
      </c>
      <c r="B74">
        <v>-2.6760929894488132</v>
      </c>
      <c r="C74">
        <v>-1.9717426432026222</v>
      </c>
    </row>
    <row r="75" spans="1:3" x14ac:dyDescent="0.2">
      <c r="A75" s="2">
        <v>2006</v>
      </c>
      <c r="B75">
        <v>-2.3553907904541451</v>
      </c>
      <c r="C75">
        <v>-1.4992563956469898</v>
      </c>
    </row>
    <row r="76" spans="1:3" x14ac:dyDescent="0.2">
      <c r="A76" s="2">
        <v>2006</v>
      </c>
      <c r="B76">
        <v>-1.9757753504459536</v>
      </c>
      <c r="C76">
        <v>-0.64835596470449786</v>
      </c>
    </row>
    <row r="77" spans="1:3" x14ac:dyDescent="0.2">
      <c r="A77" s="2">
        <v>2007</v>
      </c>
      <c r="B77">
        <v>-5.1172371918122943</v>
      </c>
      <c r="C77">
        <v>-3.3911716398804828</v>
      </c>
    </row>
    <row r="78" spans="1:3" x14ac:dyDescent="0.2">
      <c r="A78" s="2">
        <v>2007</v>
      </c>
      <c r="B78">
        <v>-3.4629381785154059</v>
      </c>
      <c r="C78">
        <v>-2.5132809874470294</v>
      </c>
    </row>
    <row r="79" spans="1:3" x14ac:dyDescent="0.2">
      <c r="A79" s="2">
        <v>2007</v>
      </c>
      <c r="B79">
        <v>-2.7759359082731314</v>
      </c>
      <c r="C79">
        <v>-1.9763752794792495</v>
      </c>
    </row>
    <row r="80" spans="1:3" x14ac:dyDescent="0.2">
      <c r="A80" s="2">
        <v>2007</v>
      </c>
      <c r="B80">
        <v>-2.4241616594546715</v>
      </c>
      <c r="C80">
        <v>-1.5044142687174016</v>
      </c>
    </row>
    <row r="81" spans="1:3" x14ac:dyDescent="0.2">
      <c r="A81" s="2">
        <v>2007</v>
      </c>
      <c r="B81">
        <v>-1.9987935730303112</v>
      </c>
      <c r="C81">
        <v>-0.64509867026357814</v>
      </c>
    </row>
    <row r="82" spans="1:3" x14ac:dyDescent="0.2">
      <c r="A82" s="2">
        <v>2008</v>
      </c>
      <c r="B82">
        <v>-5.0877912304224848</v>
      </c>
      <c r="C82">
        <v>-3.3770328120525508</v>
      </c>
    </row>
    <row r="83" spans="1:3" x14ac:dyDescent="0.2">
      <c r="A83" s="2">
        <v>2008</v>
      </c>
      <c r="B83">
        <v>-3.4366656270262408</v>
      </c>
      <c r="C83">
        <v>-2.497389226624112</v>
      </c>
    </row>
    <row r="84" spans="1:3" x14ac:dyDescent="0.2">
      <c r="A84" s="2">
        <v>2008</v>
      </c>
      <c r="B84">
        <v>-2.7600572823036478</v>
      </c>
      <c r="C84">
        <v>-1.9621189480987629</v>
      </c>
    </row>
    <row r="85" spans="1:3" x14ac:dyDescent="0.2">
      <c r="A85" s="2">
        <v>2008</v>
      </c>
      <c r="B85">
        <v>-2.4068326824862765</v>
      </c>
      <c r="C85">
        <v>-1.4882902123742514</v>
      </c>
    </row>
    <row r="86" spans="1:3" x14ac:dyDescent="0.2">
      <c r="A86" s="2">
        <v>2008</v>
      </c>
      <c r="B86">
        <v>-1.9816829293011398</v>
      </c>
      <c r="C86">
        <v>-0.65926144963942601</v>
      </c>
    </row>
    <row r="87" spans="1:3" x14ac:dyDescent="0.2">
      <c r="A87" s="2">
        <v>2009</v>
      </c>
      <c r="B87">
        <v>-5.3201931225612542</v>
      </c>
      <c r="C87">
        <v>-3.3614009378447656</v>
      </c>
    </row>
    <row r="88" spans="1:3" x14ac:dyDescent="0.2">
      <c r="A88" s="2">
        <v>2009</v>
      </c>
      <c r="B88">
        <v>-3.6034782234709661</v>
      </c>
      <c r="C88">
        <v>-2.4819257510466297</v>
      </c>
    </row>
    <row r="89" spans="1:3" x14ac:dyDescent="0.2">
      <c r="A89" s="2">
        <v>2009</v>
      </c>
      <c r="B89">
        <v>-2.9008966697663725</v>
      </c>
      <c r="C89">
        <v>-1.9504567912343822</v>
      </c>
    </row>
    <row r="90" spans="1:3" x14ac:dyDescent="0.2">
      <c r="A90" s="2">
        <v>2009</v>
      </c>
      <c r="B90">
        <v>-2.5014432437728762</v>
      </c>
      <c r="C90">
        <v>-1.477583441763217</v>
      </c>
    </row>
    <row r="91" spans="1:3" x14ac:dyDescent="0.2">
      <c r="A91" s="2">
        <v>2009</v>
      </c>
      <c r="B91">
        <v>-2.0386644295078722</v>
      </c>
      <c r="C91">
        <v>-0.6707328556383767</v>
      </c>
    </row>
    <row r="92" spans="1:3" x14ac:dyDescent="0.2">
      <c r="A92" s="2">
        <v>2010</v>
      </c>
      <c r="B92">
        <v>-5.3916195342851747</v>
      </c>
      <c r="C92">
        <v>-3.3715303033024582</v>
      </c>
    </row>
    <row r="93" spans="1:3" x14ac:dyDescent="0.2">
      <c r="A93" s="2">
        <v>2010</v>
      </c>
      <c r="B93">
        <v>-3.5925076317758142</v>
      </c>
      <c r="C93">
        <v>-2.4979556443167232</v>
      </c>
    </row>
    <row r="94" spans="1:3" x14ac:dyDescent="0.2">
      <c r="A94" s="2">
        <v>2010</v>
      </c>
      <c r="B94">
        <v>-2.8705005551009832</v>
      </c>
      <c r="C94">
        <v>-1.9582466574809003</v>
      </c>
    </row>
    <row r="95" spans="1:3" x14ac:dyDescent="0.2">
      <c r="A95" s="2">
        <v>2010</v>
      </c>
      <c r="B95">
        <v>-2.4682114333843956</v>
      </c>
      <c r="C95">
        <v>-1.4800863421800585</v>
      </c>
    </row>
    <row r="96" spans="1:3" x14ac:dyDescent="0.2">
      <c r="A96" s="2">
        <v>2010</v>
      </c>
      <c r="B96">
        <v>-2.0326369367067856</v>
      </c>
      <c r="C96">
        <v>-0.6641976462844571</v>
      </c>
    </row>
    <row r="97" spans="1:3" x14ac:dyDescent="0.2">
      <c r="A97" s="2">
        <v>2011</v>
      </c>
      <c r="B97">
        <v>-5.3780194996720159</v>
      </c>
      <c r="C97">
        <v>-3.3697789290767739</v>
      </c>
    </row>
    <row r="98" spans="1:3" x14ac:dyDescent="0.2">
      <c r="A98" s="2">
        <v>2011</v>
      </c>
      <c r="B98">
        <v>-3.5774118661835987</v>
      </c>
      <c r="C98">
        <v>-2.5017665137814746</v>
      </c>
    </row>
    <row r="99" spans="1:3" x14ac:dyDescent="0.2">
      <c r="A99" s="2">
        <v>2011</v>
      </c>
      <c r="B99">
        <v>-2.8473194817950715</v>
      </c>
      <c r="C99">
        <v>-1.9624519677620229</v>
      </c>
    </row>
    <row r="100" spans="1:3" x14ac:dyDescent="0.2">
      <c r="A100" s="2">
        <v>2011</v>
      </c>
      <c r="B100">
        <v>-2.448576770019915</v>
      </c>
      <c r="C100">
        <v>-1.4815682817116271</v>
      </c>
    </row>
    <row r="101" spans="1:3" x14ac:dyDescent="0.2">
      <c r="A101" s="2">
        <v>2011</v>
      </c>
      <c r="B101">
        <v>-2.0206855851232275</v>
      </c>
      <c r="C101">
        <v>-0.66190396229540327</v>
      </c>
    </row>
    <row r="102" spans="1:3" x14ac:dyDescent="0.2">
      <c r="A102" s="2">
        <v>2012</v>
      </c>
      <c r="B102">
        <v>-5.3845763300349496</v>
      </c>
      <c r="C102">
        <v>-3.359589241424989</v>
      </c>
    </row>
    <row r="103" spans="1:3" x14ac:dyDescent="0.2">
      <c r="A103" s="2">
        <v>2012</v>
      </c>
      <c r="B103">
        <v>-3.5765662207114475</v>
      </c>
      <c r="C103">
        <v>-2.4959699146692169</v>
      </c>
    </row>
    <row r="104" spans="1:3" x14ac:dyDescent="0.2">
      <c r="A104" s="2">
        <v>2012</v>
      </c>
      <c r="B104">
        <v>-2.8450704295381786</v>
      </c>
      <c r="C104">
        <v>-1.959813051407969</v>
      </c>
    </row>
    <row r="105" spans="1:3" x14ac:dyDescent="0.2">
      <c r="A105" s="2">
        <v>2012</v>
      </c>
      <c r="B105">
        <v>-2.4463745048378769</v>
      </c>
      <c r="C105">
        <v>-1.4787606265935143</v>
      </c>
    </row>
    <row r="106" spans="1:3" x14ac:dyDescent="0.2">
      <c r="A106" s="2">
        <v>2012</v>
      </c>
      <c r="B106">
        <v>-2.016968093163233</v>
      </c>
      <c r="C106">
        <v>-0.6654751147953758</v>
      </c>
    </row>
    <row r="107" spans="1:3" x14ac:dyDescent="0.2">
      <c r="A107" s="2">
        <v>2013</v>
      </c>
      <c r="B107">
        <v>-5.4109194951576267</v>
      </c>
      <c r="C107">
        <v>-3.3741030993905059</v>
      </c>
    </row>
    <row r="108" spans="1:3" x14ac:dyDescent="0.2">
      <c r="A108" s="2">
        <v>2013</v>
      </c>
      <c r="B108">
        <v>-3.5781729120821533</v>
      </c>
      <c r="C108">
        <v>-2.5046370076887947</v>
      </c>
    </row>
    <row r="109" spans="1:3" x14ac:dyDescent="0.2">
      <c r="A109" s="2">
        <v>2013</v>
      </c>
      <c r="B109">
        <v>-2.8409206054872005</v>
      </c>
      <c r="C109">
        <v>-1.9638407077971642</v>
      </c>
    </row>
    <row r="110" spans="1:3" x14ac:dyDescent="0.2">
      <c r="A110" s="2">
        <v>2013</v>
      </c>
      <c r="B110">
        <v>-2.4424717925522637</v>
      </c>
      <c r="C110">
        <v>-1.4797068863641918</v>
      </c>
    </row>
    <row r="111" spans="1:3" x14ac:dyDescent="0.2">
      <c r="A111" s="2">
        <v>2013</v>
      </c>
      <c r="B111">
        <v>-2.0170427146521206</v>
      </c>
      <c r="C111">
        <v>-0.66160385877208305</v>
      </c>
    </row>
    <row r="112" spans="1:3" x14ac:dyDescent="0.2">
      <c r="A112" s="2">
        <v>2014</v>
      </c>
      <c r="B112">
        <v>-5.406714196754737</v>
      </c>
      <c r="C112">
        <v>-3.3840319168441799</v>
      </c>
    </row>
    <row r="113" spans="1:3" x14ac:dyDescent="0.2">
      <c r="A113" s="2">
        <v>2014</v>
      </c>
      <c r="B113">
        <v>-3.5406784704653163</v>
      </c>
      <c r="C113">
        <v>-2.5100799015899438</v>
      </c>
    </row>
    <row r="114" spans="1:3" x14ac:dyDescent="0.2">
      <c r="A114" s="2">
        <v>2014</v>
      </c>
      <c r="B114">
        <v>-2.8218947680939537</v>
      </c>
      <c r="C114">
        <v>-1.9673573479608366</v>
      </c>
    </row>
    <row r="115" spans="1:3" x14ac:dyDescent="0.2">
      <c r="A115" s="2">
        <v>2014</v>
      </c>
      <c r="B115">
        <v>-2.4512343444169948</v>
      </c>
      <c r="C115">
        <v>-1.4824936820346317</v>
      </c>
    </row>
    <row r="116" spans="1:3" x14ac:dyDescent="0.2">
      <c r="A116" s="2">
        <v>2014</v>
      </c>
      <c r="B116">
        <v>-2.0212208420968798</v>
      </c>
      <c r="C116">
        <v>-0.65791290235272182</v>
      </c>
    </row>
    <row r="117" spans="1:3" x14ac:dyDescent="0.2">
      <c r="A117" s="2">
        <v>2015</v>
      </c>
      <c r="B117">
        <v>-5.3432598040316632</v>
      </c>
      <c r="C117">
        <v>-3.3883334970922379</v>
      </c>
    </row>
    <row r="118" spans="1:3" x14ac:dyDescent="0.2">
      <c r="A118" s="2">
        <v>2015</v>
      </c>
      <c r="B118">
        <v>-3.5027306848252815</v>
      </c>
      <c r="C118">
        <v>-2.5125900951017082</v>
      </c>
    </row>
    <row r="119" spans="1:3" x14ac:dyDescent="0.2">
      <c r="A119" s="2">
        <v>2015</v>
      </c>
      <c r="B119">
        <v>-2.7910615911361649</v>
      </c>
      <c r="C119">
        <v>-1.9760535429534827</v>
      </c>
    </row>
    <row r="120" spans="1:3" x14ac:dyDescent="0.2">
      <c r="A120" s="2">
        <v>2015</v>
      </c>
      <c r="B120">
        <v>-2.4329910681903892</v>
      </c>
      <c r="C120">
        <v>-1.495656634490016</v>
      </c>
    </row>
    <row r="121" spans="1:3" x14ac:dyDescent="0.2">
      <c r="A121" s="2">
        <v>2015</v>
      </c>
      <c r="B121">
        <v>-1.997700001530837</v>
      </c>
      <c r="C121">
        <v>-0.64920593497750001</v>
      </c>
    </row>
    <row r="122" spans="1:3" x14ac:dyDescent="0.2">
      <c r="A122" s="2">
        <v>2016</v>
      </c>
      <c r="B122">
        <v>-5.3588840799962281</v>
      </c>
      <c r="C122">
        <v>-3.3536268126544146</v>
      </c>
    </row>
    <row r="123" spans="1:3" x14ac:dyDescent="0.2">
      <c r="A123" s="2">
        <v>2016</v>
      </c>
      <c r="B123">
        <v>-3.5116869351787168</v>
      </c>
      <c r="C123">
        <v>-2.4875125767932817</v>
      </c>
    </row>
    <row r="124" spans="1:3" x14ac:dyDescent="0.2">
      <c r="A124" s="2">
        <v>2016</v>
      </c>
      <c r="B124">
        <v>-2.8223022965650633</v>
      </c>
      <c r="C124">
        <v>-1.9519156412416032</v>
      </c>
    </row>
    <row r="125" spans="1:3" x14ac:dyDescent="0.2">
      <c r="A125" s="2">
        <v>2016</v>
      </c>
      <c r="B125">
        <v>-2.4575888336599205</v>
      </c>
      <c r="C125">
        <v>-1.4740381539688154</v>
      </c>
    </row>
    <row r="126" spans="1:3" x14ac:dyDescent="0.2">
      <c r="A126" s="2">
        <v>2016</v>
      </c>
      <c r="B126">
        <v>-2.0302347922606443</v>
      </c>
      <c r="C126">
        <v>-0.6715314231791647</v>
      </c>
    </row>
    <row r="127" spans="1:3" x14ac:dyDescent="0.2">
      <c r="A127" s="2">
        <v>2017</v>
      </c>
      <c r="B127">
        <v>-5.2949960489705212</v>
      </c>
      <c r="C127">
        <v>-3.3788712800901557</v>
      </c>
    </row>
    <row r="128" spans="1:3" x14ac:dyDescent="0.2">
      <c r="A128" s="2">
        <v>2017</v>
      </c>
      <c r="B128">
        <v>-3.4872694478556832</v>
      </c>
      <c r="C128">
        <v>-2.5070910523567931</v>
      </c>
    </row>
    <row r="129" spans="1:3" x14ac:dyDescent="0.2">
      <c r="A129" s="2">
        <v>2017</v>
      </c>
      <c r="B129">
        <v>-2.8119555844986697</v>
      </c>
      <c r="C129">
        <v>-1.9672715621073356</v>
      </c>
    </row>
    <row r="130" spans="1:3" x14ac:dyDescent="0.2">
      <c r="A130" s="2">
        <v>2017</v>
      </c>
      <c r="B130">
        <v>-2.4515821840495406</v>
      </c>
      <c r="C130">
        <v>-1.4876402493143808</v>
      </c>
    </row>
    <row r="131" spans="1:3" x14ac:dyDescent="0.2">
      <c r="A131" s="2">
        <v>2017</v>
      </c>
      <c r="B131">
        <v>-2.0178481763572358</v>
      </c>
      <c r="C131">
        <v>-0.65649491088816292</v>
      </c>
    </row>
    <row r="132" spans="1:3" x14ac:dyDescent="0.2">
      <c r="A132" s="2">
        <v>2018</v>
      </c>
      <c r="B132">
        <v>-5.2760231082671512</v>
      </c>
      <c r="C132">
        <v>-3.3681218476837826</v>
      </c>
    </row>
    <row r="133" spans="1:3" x14ac:dyDescent="0.2">
      <c r="A133" s="2">
        <v>2018</v>
      </c>
      <c r="B133">
        <v>-3.4322958407192137</v>
      </c>
      <c r="C133">
        <v>-2.5013557942625031</v>
      </c>
    </row>
    <row r="134" spans="1:3" x14ac:dyDescent="0.2">
      <c r="A134" s="2">
        <v>2018</v>
      </c>
      <c r="B134">
        <v>-2.7859634967040519</v>
      </c>
      <c r="C134">
        <v>-1.9643547616359625</v>
      </c>
    </row>
    <row r="135" spans="1:3" x14ac:dyDescent="0.2">
      <c r="A135" s="2">
        <v>2018</v>
      </c>
      <c r="B135">
        <v>-2.4387006204650916</v>
      </c>
      <c r="C135">
        <v>-1.4857194196173613</v>
      </c>
    </row>
    <row r="136" spans="1:3" x14ac:dyDescent="0.2">
      <c r="A136" s="2">
        <v>2018</v>
      </c>
      <c r="B136">
        <v>-2.0051508501212192</v>
      </c>
      <c r="C136">
        <v>-0.65973923207964003</v>
      </c>
    </row>
    <row r="137" spans="1:3" x14ac:dyDescent="0.2">
      <c r="A137" s="2">
        <v>2019</v>
      </c>
      <c r="B137">
        <v>-5.315988431236466</v>
      </c>
      <c r="C137">
        <v>-3.3721504978153596</v>
      </c>
    </row>
    <row r="138" spans="1:3" x14ac:dyDescent="0.2">
      <c r="A138" s="2">
        <v>2019</v>
      </c>
      <c r="B138">
        <v>-3.4413895383329383</v>
      </c>
      <c r="C138">
        <v>-2.5044062436017205</v>
      </c>
    </row>
    <row r="139" spans="1:3" x14ac:dyDescent="0.2">
      <c r="A139" s="2">
        <v>2019</v>
      </c>
      <c r="B139">
        <v>-2.7939800262188541</v>
      </c>
      <c r="C139">
        <v>-1.9676820609279493</v>
      </c>
    </row>
    <row r="140" spans="1:3" x14ac:dyDescent="0.2">
      <c r="A140" s="2">
        <v>2019</v>
      </c>
      <c r="B140">
        <v>-2.443832228392997</v>
      </c>
      <c r="C140">
        <v>-1.486535473164317</v>
      </c>
    </row>
    <row r="141" spans="1:3" x14ac:dyDescent="0.2">
      <c r="A141" s="2">
        <v>2019</v>
      </c>
      <c r="B141">
        <v>-2.0077922716671002</v>
      </c>
      <c r="C141">
        <v>-0.65773210869144783</v>
      </c>
    </row>
    <row r="142" spans="1:3" x14ac:dyDescent="0.2">
      <c r="A142" s="2">
        <v>2020</v>
      </c>
      <c r="B142">
        <v>-4.7183516377461077</v>
      </c>
      <c r="C142">
        <v>-3.2091014548521506</v>
      </c>
    </row>
    <row r="143" spans="1:3" x14ac:dyDescent="0.2">
      <c r="A143" s="2">
        <v>2020</v>
      </c>
      <c r="B143">
        <v>-3.343043786881172</v>
      </c>
      <c r="C143">
        <v>-2.4477547950725809</v>
      </c>
    </row>
    <row r="144" spans="1:3" x14ac:dyDescent="0.2">
      <c r="A144" s="2">
        <v>2020</v>
      </c>
      <c r="B144">
        <v>-2.80591682730874</v>
      </c>
      <c r="C144">
        <v>-1.9508284677126584</v>
      </c>
    </row>
    <row r="145" spans="1:3" x14ac:dyDescent="0.2">
      <c r="A145" s="2">
        <v>2020</v>
      </c>
      <c r="B145">
        <v>-2.4747203109073284</v>
      </c>
      <c r="C145">
        <v>-1.4974311444162951</v>
      </c>
    </row>
    <row r="146" spans="1:3" x14ac:dyDescent="0.2">
      <c r="A146" s="2">
        <v>2020</v>
      </c>
      <c r="B146">
        <v>-2.0244342115577867</v>
      </c>
      <c r="C146">
        <v>-0.67873312330966362</v>
      </c>
    </row>
    <row r="147" spans="1:3" x14ac:dyDescent="0.2">
      <c r="A147" s="2">
        <v>2021</v>
      </c>
      <c r="B147">
        <v>-4.9049604063024752</v>
      </c>
      <c r="C147">
        <v>-3.3443954795885911</v>
      </c>
    </row>
    <row r="148" spans="1:3" x14ac:dyDescent="0.2">
      <c r="A148" s="2">
        <v>2021</v>
      </c>
      <c r="B148">
        <v>-3.3580466837751755</v>
      </c>
      <c r="C148">
        <v>-2.51257464109373</v>
      </c>
    </row>
    <row r="149" spans="1:3" x14ac:dyDescent="0.2">
      <c r="A149" s="2">
        <v>2021</v>
      </c>
      <c r="B149">
        <v>-2.786130125752432</v>
      </c>
      <c r="C149">
        <v>-1.9910021139479128</v>
      </c>
    </row>
    <row r="150" spans="1:3" x14ac:dyDescent="0.2">
      <c r="A150" s="2">
        <v>2021</v>
      </c>
      <c r="B150">
        <v>-2.4547033365955899</v>
      </c>
      <c r="C150">
        <v>-1.5191875663198005</v>
      </c>
    </row>
    <row r="151" spans="1:3" x14ac:dyDescent="0.2">
      <c r="A151" s="2">
        <v>2021</v>
      </c>
      <c r="B151">
        <v>-2.0096532122919397</v>
      </c>
      <c r="C151">
        <v>-0.63825939088151085</v>
      </c>
    </row>
    <row r="152" spans="1:3" x14ac:dyDescent="0.2">
      <c r="A152" s="2">
        <v>2022</v>
      </c>
      <c r="B152">
        <v>-5.6158059647338412</v>
      </c>
      <c r="C152">
        <v>-3.4108375341441741</v>
      </c>
    </row>
    <row r="153" spans="1:3" x14ac:dyDescent="0.2">
      <c r="A153" s="2">
        <v>2022</v>
      </c>
      <c r="B153">
        <v>-3.4887692525456164</v>
      </c>
      <c r="C153">
        <v>-2.5247298461024004</v>
      </c>
    </row>
    <row r="154" spans="1:3" x14ac:dyDescent="0.2">
      <c r="A154" s="2">
        <v>2022</v>
      </c>
      <c r="B154">
        <v>-2.8055178662124693</v>
      </c>
      <c r="C154">
        <v>-1.9870749233251412</v>
      </c>
    </row>
    <row r="155" spans="1:3" x14ac:dyDescent="0.2">
      <c r="A155" s="2">
        <v>2022</v>
      </c>
      <c r="B155">
        <v>-2.4529703575464783</v>
      </c>
      <c r="C155">
        <v>-1.5009756896846962</v>
      </c>
    </row>
    <row r="156" spans="1:3" x14ac:dyDescent="0.2">
      <c r="A156" s="2">
        <v>2022</v>
      </c>
      <c r="B156">
        <v>-1.9930212535811473</v>
      </c>
      <c r="C156">
        <v>-0.64074810477174748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Original Data</vt:lpstr>
      <vt:lpstr>Main Computations</vt:lpstr>
      <vt:lpstr>Equation 20</vt:lpstr>
      <vt:lpstr>Computation for Regression</vt:lpstr>
      <vt:lpstr>Results 1992-2022</vt:lpstr>
      <vt:lpstr>Results 1992-2006</vt:lpstr>
      <vt:lpstr>Results 2007-2022</vt:lpstr>
      <vt:lpstr>Table for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 Ghimire</dc:creator>
  <cp:lastModifiedBy>Nishan Ghimire</cp:lastModifiedBy>
  <dcterms:created xsi:type="dcterms:W3CDTF">2025-07-19T21:56:27Z</dcterms:created>
  <dcterms:modified xsi:type="dcterms:W3CDTF">2026-01-16T19:18:29Z</dcterms:modified>
</cp:coreProperties>
</file>